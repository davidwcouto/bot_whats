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avid Couto\Desktop\bot_whats\"/>
    </mc:Choice>
  </mc:AlternateContent>
  <xr:revisionPtr revIDLastSave="0" documentId="13_ncr:1_{EBEDA1CC-4234-43F1-AF33-F0DA41868987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Planilha1!$A$1:$C$3016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ElcuvLFO4j7zbiSG1h0HqhbaTCnSLHZV83pWfXjzL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6" i="1"/>
  <c r="I707" i="1"/>
  <c r="I708" i="1"/>
  <c r="I709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7" i="1"/>
  <c r="I788" i="1"/>
  <c r="I789" i="1"/>
  <c r="I790" i="1"/>
  <c r="I791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9" i="1"/>
  <c r="I1120" i="1"/>
  <c r="I1121" i="1"/>
  <c r="I1122" i="1"/>
  <c r="I1123" i="1"/>
  <c r="I1124" i="1"/>
  <c r="I1125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5" i="1"/>
  <c r="B1829" i="1" l="1"/>
  <c r="B1830" i="1" s="1"/>
  <c r="B1809" i="1"/>
  <c r="B1810" i="1" s="1"/>
  <c r="Q783" i="1"/>
  <c r="Q782" i="1"/>
  <c r="Q775" i="1"/>
  <c r="Q776" i="1"/>
  <c r="Q785" i="1"/>
  <c r="Q784" i="1"/>
  <c r="M781" i="1"/>
  <c r="Q1036" i="1"/>
  <c r="M997" i="1"/>
  <c r="B1825" i="1" l="1"/>
  <c r="B1826" i="1" s="1"/>
  <c r="B1827" i="1"/>
  <c r="B1828" i="1" s="1"/>
  <c r="B1831" i="1"/>
  <c r="B1832" i="1" s="1"/>
  <c r="B1821" i="1"/>
  <c r="B1822" i="1" s="1"/>
  <c r="B1803" i="1"/>
  <c r="B1804" i="1" s="1"/>
  <c r="B2403" i="1"/>
  <c r="B2404" i="1" s="1"/>
  <c r="B2298" i="1"/>
  <c r="B2299" i="1" s="1"/>
  <c r="K783" i="1"/>
  <c r="M783" i="1"/>
  <c r="O783" i="1"/>
  <c r="K782" i="1"/>
  <c r="M782" i="1"/>
  <c r="O782" i="1"/>
  <c r="K776" i="1"/>
  <c r="M776" i="1"/>
  <c r="O776" i="1"/>
  <c r="K775" i="1"/>
  <c r="M775" i="1"/>
  <c r="O775" i="1"/>
  <c r="Q781" i="1"/>
  <c r="K784" i="1"/>
  <c r="M784" i="1"/>
  <c r="K781" i="1"/>
  <c r="O784" i="1"/>
  <c r="O781" i="1"/>
  <c r="K785" i="1"/>
  <c r="M785" i="1"/>
  <c r="O785" i="1"/>
  <c r="O997" i="1"/>
  <c r="Q997" i="1"/>
  <c r="K1036" i="1"/>
  <c r="M1036" i="1"/>
  <c r="O1036" i="1"/>
  <c r="K997" i="1"/>
  <c r="M465" i="1"/>
  <c r="Q462" i="1"/>
  <c r="K456" i="1"/>
  <c r="B1260" i="1"/>
  <c r="M467" i="1"/>
  <c r="B1823" i="1" l="1"/>
  <c r="B1824" i="1"/>
  <c r="B1258" i="1"/>
  <c r="B1259" i="1" s="1"/>
  <c r="B1256" i="1"/>
  <c r="B1253" i="1"/>
  <c r="B1245" i="1"/>
  <c r="O465" i="1"/>
  <c r="Q465" i="1"/>
  <c r="K465" i="1"/>
  <c r="M456" i="1"/>
  <c r="O456" i="1"/>
  <c r="Q456" i="1"/>
  <c r="K462" i="1"/>
  <c r="M462" i="1"/>
  <c r="O462" i="1"/>
  <c r="O467" i="1"/>
  <c r="Q467" i="1"/>
  <c r="K467" i="1"/>
  <c r="Q1140" i="1"/>
  <c r="B6652" i="1"/>
  <c r="B6654" i="1" s="1"/>
  <c r="B6653" i="1" l="1"/>
  <c r="K1140" i="1"/>
  <c r="M1140" i="1"/>
  <c r="O1140" i="1"/>
  <c r="B6440" i="1"/>
  <c r="B6445" i="1" s="1"/>
  <c r="B6446" i="1" l="1"/>
  <c r="B6441" i="1"/>
  <c r="B6442" i="1"/>
  <c r="B6443" i="1"/>
  <c r="B6444" i="1"/>
  <c r="Q448" i="1"/>
  <c r="Q426" i="1"/>
  <c r="O414" i="1"/>
  <c r="Q409" i="1"/>
  <c r="B1171" i="1"/>
  <c r="Q464" i="1"/>
  <c r="Q463" i="1"/>
  <c r="O452" i="1"/>
  <c r="Q447" i="1"/>
  <c r="O439" i="1"/>
  <c r="M430" i="1"/>
  <c r="M425" i="1"/>
  <c r="Q418" i="1"/>
  <c r="K413" i="1"/>
  <c r="Q404" i="1"/>
  <c r="Q405" i="1" l="1"/>
  <c r="B1235" i="1"/>
  <c r="B1202" i="1"/>
  <c r="B1184" i="1"/>
  <c r="B1164" i="1"/>
  <c r="B1177" i="1"/>
  <c r="K426" i="1"/>
  <c r="K448" i="1"/>
  <c r="M448" i="1"/>
  <c r="O448" i="1"/>
  <c r="Q414" i="1"/>
  <c r="M426" i="1"/>
  <c r="O426" i="1"/>
  <c r="K414" i="1"/>
  <c r="M414" i="1"/>
  <c r="K409" i="1"/>
  <c r="M409" i="1"/>
  <c r="O409" i="1"/>
  <c r="K405" i="1"/>
  <c r="M405" i="1"/>
  <c r="O405" i="1"/>
  <c r="B1254" i="1"/>
  <c r="B1255" i="1"/>
  <c r="B1240" i="1"/>
  <c r="B1234" i="1"/>
  <c r="B1222" i="1"/>
  <c r="B1201" i="1"/>
  <c r="B1208" i="1"/>
  <c r="B1190" i="1"/>
  <c r="B1183" i="1"/>
  <c r="B1170" i="1"/>
  <c r="B1163" i="1"/>
  <c r="K464" i="1"/>
  <c r="M464" i="1"/>
  <c r="O464" i="1"/>
  <c r="K463" i="1"/>
  <c r="M463" i="1"/>
  <c r="Q452" i="1"/>
  <c r="O463" i="1"/>
  <c r="M447" i="1"/>
  <c r="K452" i="1"/>
  <c r="M452" i="1"/>
  <c r="Q439" i="1"/>
  <c r="K447" i="1"/>
  <c r="O447" i="1"/>
  <c r="O430" i="1"/>
  <c r="Q430" i="1"/>
  <c r="K439" i="1"/>
  <c r="M439" i="1"/>
  <c r="O425" i="1"/>
  <c r="Q425" i="1"/>
  <c r="K430" i="1"/>
  <c r="M413" i="1"/>
  <c r="O413" i="1"/>
  <c r="K418" i="1"/>
  <c r="K425" i="1"/>
  <c r="Q413" i="1"/>
  <c r="M418" i="1"/>
  <c r="O418" i="1"/>
  <c r="K404" i="1"/>
  <c r="M404" i="1"/>
  <c r="O404" i="1"/>
  <c r="Q443" i="1" l="1"/>
  <c r="K434" i="1"/>
  <c r="O460" i="1"/>
  <c r="Q459" i="1" l="1"/>
  <c r="B1248" i="1"/>
  <c r="B1249" i="1" s="1"/>
  <c r="Q461" i="1"/>
  <c r="B1251" i="1"/>
  <c r="B1252" i="1" s="1"/>
  <c r="Q466" i="1"/>
  <c r="B1257" i="1"/>
  <c r="B1228" i="1"/>
  <c r="B1250" i="1"/>
  <c r="O443" i="1"/>
  <c r="B1214" i="1"/>
  <c r="B1215" i="1" s="1"/>
  <c r="M434" i="1"/>
  <c r="O434" i="1"/>
  <c r="Q434" i="1"/>
  <c r="K443" i="1"/>
  <c r="M443" i="1"/>
  <c r="O461" i="1"/>
  <c r="M460" i="1"/>
  <c r="Q460" i="1"/>
  <c r="K461" i="1"/>
  <c r="M461" i="1"/>
  <c r="K460" i="1"/>
  <c r="K466" i="1"/>
  <c r="M466" i="1"/>
  <c r="O466" i="1"/>
  <c r="M459" i="1"/>
  <c r="O459" i="1"/>
  <c r="K459" i="1"/>
  <c r="Q655" i="1"/>
  <c r="K655" i="1" l="1"/>
  <c r="O655" i="1"/>
  <c r="M655" i="1"/>
  <c r="Q701" i="1"/>
  <c r="B1662" i="1" l="1"/>
  <c r="B1663" i="1" s="1"/>
  <c r="K701" i="1"/>
  <c r="M701" i="1"/>
  <c r="O701" i="1"/>
  <c r="M777" i="1"/>
  <c r="B1811" i="1" l="1"/>
  <c r="O777" i="1"/>
  <c r="Q777" i="1"/>
  <c r="K777" i="1"/>
  <c r="M458" i="1"/>
  <c r="O454" i="1"/>
  <c r="M450" i="1"/>
  <c r="M445" i="1"/>
  <c r="Q441" i="1"/>
  <c r="M437" i="1"/>
  <c r="Q432" i="1"/>
  <c r="Q428" i="1"/>
  <c r="O423" i="1"/>
  <c r="Q420" i="1"/>
  <c r="Q416" i="1"/>
  <c r="Q411" i="1"/>
  <c r="Q407" i="1"/>
  <c r="Q399" i="1"/>
  <c r="M391" i="1"/>
  <c r="Q388" i="1"/>
  <c r="O385" i="1"/>
  <c r="B1814" i="1" l="1"/>
  <c r="B1813" i="1"/>
  <c r="B1812" i="1"/>
  <c r="B1242" i="1"/>
  <c r="B1247" i="1"/>
  <c r="B1237" i="1"/>
  <c r="B1224" i="1"/>
  <c r="B1230" i="1"/>
  <c r="B1218" i="1"/>
  <c r="B1204" i="1"/>
  <c r="B1210" i="1"/>
  <c r="B1197" i="1"/>
  <c r="B1192" i="1"/>
  <c r="B1186" i="1"/>
  <c r="B1179" i="1"/>
  <c r="B1173" i="1"/>
  <c r="B1154" i="1"/>
  <c r="B1141" i="1"/>
  <c r="B1136" i="1"/>
  <c r="B1131" i="1"/>
  <c r="Q458" i="1"/>
  <c r="O458" i="1"/>
  <c r="Q454" i="1"/>
  <c r="K458" i="1"/>
  <c r="Q450" i="1"/>
  <c r="M454" i="1"/>
  <c r="O450" i="1"/>
  <c r="K454" i="1"/>
  <c r="O445" i="1"/>
  <c r="Q445" i="1"/>
  <c r="K450" i="1"/>
  <c r="K445" i="1"/>
  <c r="O437" i="1"/>
  <c r="Q437" i="1"/>
  <c r="K441" i="1"/>
  <c r="M441" i="1"/>
  <c r="O441" i="1"/>
  <c r="K437" i="1"/>
  <c r="O428" i="1"/>
  <c r="M432" i="1"/>
  <c r="K432" i="1"/>
  <c r="O432" i="1"/>
  <c r="Q423" i="1"/>
  <c r="K428" i="1"/>
  <c r="M428" i="1"/>
  <c r="K423" i="1"/>
  <c r="M423" i="1"/>
  <c r="M420" i="1"/>
  <c r="K420" i="1"/>
  <c r="O420" i="1"/>
  <c r="O411" i="1"/>
  <c r="K416" i="1"/>
  <c r="M416" i="1"/>
  <c r="O416" i="1"/>
  <c r="K411" i="1"/>
  <c r="M411" i="1"/>
  <c r="M407" i="1"/>
  <c r="M399" i="1"/>
  <c r="K407" i="1"/>
  <c r="O407" i="1"/>
  <c r="O391" i="1"/>
  <c r="Q391" i="1"/>
  <c r="K399" i="1"/>
  <c r="O399" i="1"/>
  <c r="K391" i="1"/>
  <c r="M388" i="1"/>
  <c r="K385" i="1"/>
  <c r="K388" i="1"/>
  <c r="O388" i="1"/>
  <c r="Q385" i="1"/>
  <c r="M385" i="1"/>
  <c r="Q1071" i="1"/>
  <c r="B2483" i="1"/>
  <c r="B2484" i="1" l="1"/>
  <c r="B2482" i="1"/>
  <c r="K1071" i="1"/>
  <c r="M1071" i="1"/>
  <c r="O1071" i="1"/>
  <c r="Q636" i="1"/>
  <c r="M637" i="1"/>
  <c r="B2485" i="1" l="1"/>
  <c r="B2487" i="1"/>
  <c r="B2486" i="1"/>
  <c r="B2679" i="1"/>
  <c r="B2680" i="1"/>
  <c r="B2681" i="1"/>
  <c r="B2682" i="1"/>
  <c r="K636" i="1"/>
  <c r="M636" i="1"/>
  <c r="O636" i="1"/>
  <c r="Q637" i="1"/>
  <c r="K637" i="1"/>
  <c r="O637" i="1"/>
  <c r="B3732" i="1"/>
  <c r="B3734" i="1" s="1"/>
  <c r="B3736" i="1" s="1"/>
  <c r="B3898" i="1"/>
  <c r="B3899" i="1" s="1"/>
  <c r="B3914" i="1"/>
  <c r="B3915" i="1" s="1"/>
  <c r="B4995" i="1"/>
  <c r="B4999" i="1" s="1"/>
  <c r="B3878" i="1"/>
  <c r="B3910" i="1" s="1"/>
  <c r="B3735" i="1" l="1"/>
  <c r="B3733" i="1"/>
  <c r="B3918" i="1"/>
  <c r="B3916" i="1"/>
  <c r="B3879" i="1"/>
  <c r="B4996" i="1"/>
  <c r="B4997" i="1"/>
  <c r="B4998" i="1"/>
  <c r="M643" i="1"/>
  <c r="O643" i="1" l="1"/>
  <c r="Q643" i="1"/>
  <c r="K643" i="1"/>
  <c r="Q396" i="1"/>
  <c r="Q402" i="1" l="1"/>
  <c r="B1159" i="1"/>
  <c r="B1166" i="1"/>
  <c r="B1148" i="1"/>
  <c r="K402" i="1"/>
  <c r="M402" i="1"/>
  <c r="O402" i="1"/>
  <c r="M396" i="1"/>
  <c r="K396" i="1"/>
  <c r="O396" i="1"/>
  <c r="Q674" i="1" l="1"/>
  <c r="B1625" i="1" l="1"/>
  <c r="O674" i="1"/>
  <c r="K674" i="1"/>
  <c r="M674" i="1"/>
  <c r="M359" i="1"/>
  <c r="B1628" i="1" l="1"/>
  <c r="B1626" i="1"/>
  <c r="B1627" i="1"/>
  <c r="B680" i="1"/>
  <c r="B681" i="1" s="1"/>
  <c r="Q359" i="1"/>
  <c r="O359" i="1"/>
  <c r="K359" i="1"/>
  <c r="B348" i="1"/>
  <c r="B349" i="1" s="1"/>
  <c r="Q192" i="1"/>
  <c r="B494" i="1" l="1"/>
  <c r="B495" i="1" s="1"/>
  <c r="M154" i="1"/>
  <c r="Q154" i="1"/>
  <c r="K154" i="1"/>
  <c r="O154" i="1"/>
  <c r="K192" i="1"/>
  <c r="M192" i="1"/>
  <c r="O192" i="1"/>
  <c r="B3919" i="1"/>
  <c r="B238" i="1" l="1"/>
  <c r="B241" i="1" s="1"/>
  <c r="M107" i="1"/>
  <c r="B239" i="1" l="1"/>
  <c r="B240" i="1"/>
  <c r="Q107" i="1"/>
  <c r="O107" i="1"/>
  <c r="K107" i="1"/>
  <c r="B3650" i="1"/>
  <c r="B3652" i="1" s="1"/>
  <c r="B3600" i="1"/>
  <c r="B3700" i="1"/>
  <c r="M1139" i="1" l="1"/>
  <c r="K1138" i="1"/>
  <c r="O1130" i="1"/>
  <c r="Q1129" i="1"/>
  <c r="M1128" i="1"/>
  <c r="B2435" i="1"/>
  <c r="B2433" i="1"/>
  <c r="B2434" i="1" s="1"/>
  <c r="B541" i="1"/>
  <c r="Q1075" i="1"/>
  <c r="Q221" i="1" l="1"/>
  <c r="B2590" i="1"/>
  <c r="B2591" i="1" s="1"/>
  <c r="B2592" i="1"/>
  <c r="B2593" i="1" s="1"/>
  <c r="B2594" i="1"/>
  <c r="B2595" i="1" s="1"/>
  <c r="B2608" i="1"/>
  <c r="B2609" i="1" s="1"/>
  <c r="K1128" i="1"/>
  <c r="B2610" i="1"/>
  <c r="B2611" i="1" s="1"/>
  <c r="Q1049" i="1"/>
  <c r="Q1048" i="1"/>
  <c r="Q1130" i="1"/>
  <c r="K1130" i="1"/>
  <c r="M1130" i="1"/>
  <c r="K1129" i="1"/>
  <c r="M1129" i="1"/>
  <c r="O1129" i="1"/>
  <c r="O1128" i="1"/>
  <c r="Q1128" i="1"/>
  <c r="O1138" i="1"/>
  <c r="Q1138" i="1"/>
  <c r="M1138" i="1"/>
  <c r="K1139" i="1"/>
  <c r="O1139" i="1"/>
  <c r="Q1139" i="1"/>
  <c r="B2437" i="1"/>
  <c r="B2436" i="1"/>
  <c r="B2438" i="1"/>
  <c r="K221" i="1"/>
  <c r="M221" i="1"/>
  <c r="O221" i="1"/>
  <c r="B542" i="1"/>
  <c r="B544" i="1"/>
  <c r="B543" i="1"/>
  <c r="M1048" i="1"/>
  <c r="K1049" i="1"/>
  <c r="M1049" i="1"/>
  <c r="O1049" i="1"/>
  <c r="K1048" i="1"/>
  <c r="O1048" i="1"/>
  <c r="B2504" i="1"/>
  <c r="K1075" i="1"/>
  <c r="M1075" i="1"/>
  <c r="O1075" i="1"/>
  <c r="B2506" i="1" l="1"/>
  <c r="B2505" i="1"/>
  <c r="B2507" i="1"/>
  <c r="B8506" i="1" l="1"/>
  <c r="B8509" i="1" s="1"/>
  <c r="B8510" i="1" l="1"/>
  <c r="B8507" i="1"/>
  <c r="B8508" i="1"/>
  <c r="Q1032" i="1"/>
  <c r="B2396" i="1" l="1"/>
  <c r="B2397" i="1" s="1"/>
  <c r="K1032" i="1"/>
  <c r="M1032" i="1"/>
  <c r="O1032" i="1"/>
  <c r="Q233" i="1"/>
  <c r="B568" i="1" l="1"/>
  <c r="B569" i="1"/>
  <c r="M233" i="1"/>
  <c r="O233" i="1"/>
  <c r="K233" i="1"/>
  <c r="B7907" i="1"/>
  <c r="B7912" i="1" s="1"/>
  <c r="O669" i="1"/>
  <c r="Q936" i="1"/>
  <c r="B235" i="1"/>
  <c r="B234" i="1"/>
  <c r="B233" i="1"/>
  <c r="B232" i="1"/>
  <c r="Q106" i="1"/>
  <c r="Q105" i="1"/>
  <c r="Q937" i="1"/>
  <c r="Q1100" i="1"/>
  <c r="Q931" i="1"/>
  <c r="B2416" i="1"/>
  <c r="K1041" i="1"/>
  <c r="Q59" i="1"/>
  <c r="Q58" i="1"/>
  <c r="O57" i="1"/>
  <c r="Q497" i="1"/>
  <c r="Q496" i="1"/>
  <c r="Q495" i="1"/>
  <c r="B7303" i="1"/>
  <c r="B7304" i="1" s="1"/>
  <c r="B7188" i="1"/>
  <c r="B7189" i="1" s="1"/>
  <c r="B6343" i="1"/>
  <c r="B6342" i="1"/>
  <c r="B6341" i="1"/>
  <c r="B6340" i="1"/>
  <c r="B6347" i="1"/>
  <c r="B6346" i="1"/>
  <c r="B6345" i="1"/>
  <c r="B6344" i="1"/>
  <c r="B7818" i="1"/>
  <c r="B7817" i="1"/>
  <c r="B7816" i="1"/>
  <c r="B1279" i="1"/>
  <c r="Q519" i="1"/>
  <c r="Q518" i="1"/>
  <c r="Q642" i="1"/>
  <c r="K1132" i="1"/>
  <c r="Q272" i="1"/>
  <c r="Q170" i="1"/>
  <c r="B237" i="1" l="1"/>
  <c r="B236" i="1"/>
  <c r="B7910" i="1"/>
  <c r="B7908" i="1"/>
  <c r="B7911" i="1"/>
  <c r="B7909" i="1"/>
  <c r="B1611" i="1"/>
  <c r="B1612" i="1"/>
  <c r="K669" i="1"/>
  <c r="M669" i="1"/>
  <c r="Q669" i="1"/>
  <c r="B2273" i="1"/>
  <c r="B2274" i="1"/>
  <c r="B2275" i="1"/>
  <c r="B2276" i="1"/>
  <c r="K936" i="1"/>
  <c r="M936" i="1"/>
  <c r="O936" i="1"/>
  <c r="K105" i="1"/>
  <c r="M105" i="1"/>
  <c r="O105" i="1"/>
  <c r="K106" i="1"/>
  <c r="M106" i="1"/>
  <c r="O106" i="1"/>
  <c r="B2277" i="1"/>
  <c r="B2281" i="1"/>
  <c r="B2278" i="1"/>
  <c r="B2279" i="1"/>
  <c r="B2280" i="1"/>
  <c r="B2282" i="1"/>
  <c r="B2283" i="1"/>
  <c r="B2284" i="1"/>
  <c r="K937" i="1"/>
  <c r="M937" i="1"/>
  <c r="B1632" i="1"/>
  <c r="O937" i="1"/>
  <c r="B1630" i="1"/>
  <c r="B1629" i="1"/>
  <c r="B1631" i="1"/>
  <c r="M675" i="1"/>
  <c r="K675" i="1"/>
  <c r="O675" i="1"/>
  <c r="Q675" i="1"/>
  <c r="B3003" i="1"/>
  <c r="B3004" i="1"/>
  <c r="B3005" i="1"/>
  <c r="B3006" i="1"/>
  <c r="B2921" i="1"/>
  <c r="B2922" i="1"/>
  <c r="B2923" i="1"/>
  <c r="B2924" i="1"/>
  <c r="Q1042" i="1"/>
  <c r="O1100" i="1"/>
  <c r="K1100" i="1"/>
  <c r="M1100" i="1"/>
  <c r="O1042" i="1"/>
  <c r="K931" i="1"/>
  <c r="M931" i="1"/>
  <c r="O931" i="1"/>
  <c r="O1041" i="1"/>
  <c r="M1041" i="1"/>
  <c r="Q1041" i="1"/>
  <c r="B96" i="1"/>
  <c r="B2413" i="1"/>
  <c r="B2414" i="1"/>
  <c r="B2415" i="1"/>
  <c r="B97" i="1"/>
  <c r="B100" i="1"/>
  <c r="K1042" i="1"/>
  <c r="B98" i="1"/>
  <c r="B99" i="1"/>
  <c r="B101" i="1"/>
  <c r="M1042" i="1"/>
  <c r="Q57" i="1"/>
  <c r="K58" i="1"/>
  <c r="M58" i="1"/>
  <c r="M59" i="1"/>
  <c r="O59" i="1"/>
  <c r="O58" i="1"/>
  <c r="K57" i="1"/>
  <c r="M57" i="1"/>
  <c r="K59" i="1"/>
  <c r="B1487" i="1"/>
  <c r="B1483" i="1"/>
  <c r="B1484" i="1"/>
  <c r="B1485" i="1"/>
  <c r="B1486" i="1"/>
  <c r="B1488" i="1"/>
  <c r="M496" i="1"/>
  <c r="K496" i="1"/>
  <c r="O496" i="1"/>
  <c r="K495" i="1"/>
  <c r="M495" i="1"/>
  <c r="K497" i="1"/>
  <c r="O495" i="1"/>
  <c r="M497" i="1"/>
  <c r="O497" i="1"/>
  <c r="B1278" i="1"/>
  <c r="B1565" i="1"/>
  <c r="B1566" i="1"/>
  <c r="B1563" i="1"/>
  <c r="B1564" i="1"/>
  <c r="O518" i="1"/>
  <c r="K518" i="1"/>
  <c r="M518" i="1"/>
  <c r="K519" i="1"/>
  <c r="M519" i="1"/>
  <c r="O519" i="1"/>
  <c r="B1531" i="1"/>
  <c r="B1532" i="1"/>
  <c r="O642" i="1"/>
  <c r="B2385" i="1"/>
  <c r="K642" i="1"/>
  <c r="M642" i="1"/>
  <c r="B2386" i="1"/>
  <c r="M1132" i="1"/>
  <c r="O1132" i="1"/>
  <c r="Q1132" i="1"/>
  <c r="B801" i="1"/>
  <c r="B802" i="1"/>
  <c r="K272" i="1"/>
  <c r="M272" i="1"/>
  <c r="O272" i="1"/>
  <c r="B388" i="1"/>
  <c r="B387" i="1"/>
  <c r="K170" i="1"/>
  <c r="M170" i="1"/>
  <c r="O170" i="1"/>
  <c r="Q146" i="1"/>
  <c r="K990" i="1"/>
  <c r="Q989" i="1"/>
  <c r="M825" i="1"/>
  <c r="B9914" i="1"/>
  <c r="B9916" i="1" s="1"/>
  <c r="Q523" i="1"/>
  <c r="Q522" i="1"/>
  <c r="Q56" i="1"/>
  <c r="Q55" i="1"/>
  <c r="Q1141" i="1"/>
  <c r="B2615" i="1"/>
  <c r="Q1137" i="1"/>
  <c r="Q1136" i="1"/>
  <c r="Q1131" i="1"/>
  <c r="Q365" i="1"/>
  <c r="B9360" i="1"/>
  <c r="B9359" i="1"/>
  <c r="B9358" i="1"/>
  <c r="B9340" i="1"/>
  <c r="B9339" i="1"/>
  <c r="B9337" i="1"/>
  <c r="B9336" i="1"/>
  <c r="B9335" i="1"/>
  <c r="B9334" i="1"/>
  <c r="B9333" i="1"/>
  <c r="B9332" i="1"/>
  <c r="B9331" i="1"/>
  <c r="B9330" i="1"/>
  <c r="B9323" i="1"/>
  <c r="B9324" i="1" s="1"/>
  <c r="B9320" i="1"/>
  <c r="B9322" i="1" s="1"/>
  <c r="B9318" i="1"/>
  <c r="B9319" i="1" s="1"/>
  <c r="B9310" i="1"/>
  <c r="B9311" i="1" s="1"/>
  <c r="B9515" i="1"/>
  <c r="B9516" i="1" s="1"/>
  <c r="B9512" i="1"/>
  <c r="B9514" i="1" s="1"/>
  <c r="B9510" i="1"/>
  <c r="B9511" i="1" s="1"/>
  <c r="B9502" i="1"/>
  <c r="B9503" i="1" s="1"/>
  <c r="B9305" i="1"/>
  <c r="B9306" i="1" s="1"/>
  <c r="B9303" i="1"/>
  <c r="B9304" i="1" s="1"/>
  <c r="B9296" i="1"/>
  <c r="B9297" i="1" s="1"/>
  <c r="B9294" i="1"/>
  <c r="B9295" i="1" s="1"/>
  <c r="B9289" i="1"/>
  <c r="B9290" i="1" s="1"/>
  <c r="B9287" i="1"/>
  <c r="B9288" i="1" s="1"/>
  <c r="B9283" i="1"/>
  <c r="B9265" i="1"/>
  <c r="B9266" i="1" s="1"/>
  <c r="B9263" i="1"/>
  <c r="B9264" i="1" s="1"/>
  <c r="B9261" i="1"/>
  <c r="B9259" i="1"/>
  <c r="B9254" i="1"/>
  <c r="B9239" i="1"/>
  <c r="B9234" i="1"/>
  <c r="B9426" i="1"/>
  <c r="B9233" i="1"/>
  <c r="B9203" i="1"/>
  <c r="B9201" i="1"/>
  <c r="B9202" i="1" s="1"/>
  <c r="B9197" i="1"/>
  <c r="B9200" i="1" s="1"/>
  <c r="B9198" i="1"/>
  <c r="B9195" i="1"/>
  <c r="B9194" i="1"/>
  <c r="B9177" i="1"/>
  <c r="B9178" i="1"/>
  <c r="B9174" i="1"/>
  <c r="B9227" i="1"/>
  <c r="B5747" i="1"/>
  <c r="B5319" i="1"/>
  <c r="B5318" i="1"/>
  <c r="B4367" i="1"/>
  <c r="B4366" i="1"/>
  <c r="B4363" i="1"/>
  <c r="B4362" i="1"/>
  <c r="B4371" i="1"/>
  <c r="B4370" i="1"/>
  <c r="B4369" i="1"/>
  <c r="B4368" i="1"/>
  <c r="B4365" i="1"/>
  <c r="B4364" i="1"/>
  <c r="B4361" i="1"/>
  <c r="Q780" i="1"/>
  <c r="O767" i="1"/>
  <c r="B1767" i="1"/>
  <c r="B3869" i="1"/>
  <c r="B3865" i="1"/>
  <c r="B3864" i="1"/>
  <c r="B3863" i="1"/>
  <c r="B3862" i="1"/>
  <c r="Q641" i="1"/>
  <c r="Q932" i="1"/>
  <c r="Q104" i="1"/>
  <c r="Q103" i="1"/>
  <c r="Q102" i="1"/>
  <c r="K101" i="1"/>
  <c r="Q640" i="1"/>
  <c r="Q229" i="1"/>
  <c r="Q694" i="1"/>
  <c r="B1673" i="1"/>
  <c r="M1040" i="1"/>
  <c r="M1039" i="1"/>
  <c r="K988" i="1"/>
  <c r="O987" i="1"/>
  <c r="B2342" i="1"/>
  <c r="K293" i="1"/>
  <c r="Q591" i="1"/>
  <c r="Q590" i="1"/>
  <c r="B2401" i="1"/>
  <c r="Q197" i="1"/>
  <c r="B6415" i="1"/>
  <c r="B6414" i="1"/>
  <c r="B6413" i="1"/>
  <c r="B6412" i="1"/>
  <c r="B6411" i="1"/>
  <c r="B6410" i="1"/>
  <c r="B6409" i="1"/>
  <c r="B6408" i="1"/>
  <c r="B3917" i="1"/>
  <c r="B3900" i="1"/>
  <c r="B3901" i="1"/>
  <c r="B3897" i="1"/>
  <c r="B9189" i="1"/>
  <c r="B8676" i="1"/>
  <c r="B8675" i="1"/>
  <c r="B8674" i="1"/>
  <c r="B8673" i="1"/>
  <c r="B8672" i="1"/>
  <c r="B3921" i="1"/>
  <c r="K1077" i="1"/>
  <c r="Q1076" i="1"/>
  <c r="B7811" i="1"/>
  <c r="B7810" i="1"/>
  <c r="B7809" i="1"/>
  <c r="Q1029" i="1"/>
  <c r="B2393" i="1"/>
  <c r="B2395" i="1"/>
  <c r="K1028" i="1"/>
  <c r="B3725" i="1"/>
  <c r="B3726" i="1"/>
  <c r="B3796" i="1"/>
  <c r="B3789" i="1"/>
  <c r="B4184" i="1"/>
  <c r="B4183" i="1"/>
  <c r="B4182" i="1"/>
  <c r="B4181" i="1"/>
  <c r="B4179" i="1"/>
  <c r="B4178" i="1"/>
  <c r="B4177" i="1"/>
  <c r="B4176" i="1"/>
  <c r="M1034" i="1"/>
  <c r="Q934" i="1"/>
  <c r="Q933" i="1"/>
  <c r="B2479" i="1"/>
  <c r="K1068" i="1"/>
  <c r="B2480" i="1"/>
  <c r="B377" i="1"/>
  <c r="Q508" i="1"/>
  <c r="Q507" i="1"/>
  <c r="O979" i="1"/>
  <c r="Q451" i="1"/>
  <c r="B1244" i="1"/>
  <c r="Q906" i="1"/>
  <c r="B2340" i="1"/>
  <c r="B6353" i="1"/>
  <c r="B6352" i="1"/>
  <c r="B6351" i="1"/>
  <c r="B6350" i="1"/>
  <c r="B8724" i="1"/>
  <c r="B8723" i="1"/>
  <c r="B8722" i="1"/>
  <c r="B8721" i="1"/>
  <c r="B8720" i="1"/>
  <c r="B3797" i="1"/>
  <c r="B3790" i="1"/>
  <c r="B3786" i="1"/>
  <c r="Q123" i="1"/>
  <c r="M1026" i="1"/>
  <c r="Q435" i="1"/>
  <c r="O719" i="1"/>
  <c r="M992" i="1"/>
  <c r="B2289" i="1"/>
  <c r="O224" i="1"/>
  <c r="Q362" i="1"/>
  <c r="Q141" i="1"/>
  <c r="B1892" i="1"/>
  <c r="K829" i="1"/>
  <c r="Q1106" i="1"/>
  <c r="Q1105" i="1"/>
  <c r="B3587" i="1"/>
  <c r="B3588" i="1"/>
  <c r="B3589" i="1"/>
  <c r="B3590" i="1"/>
  <c r="B3591" i="1"/>
  <c r="B3592" i="1"/>
  <c r="B3593" i="1"/>
  <c r="B3594" i="1"/>
  <c r="B3596" i="1"/>
  <c r="B3597" i="1"/>
  <c r="B3598" i="1"/>
  <c r="B3599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1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7" i="1"/>
  <c r="B3698" i="1"/>
  <c r="B3699" i="1"/>
  <c r="B3701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Q1054" i="1"/>
  <c r="Q952" i="1"/>
  <c r="Q951" i="1"/>
  <c r="Q44" i="1"/>
  <c r="Q43" i="1"/>
  <c r="O770" i="1"/>
  <c r="K771" i="1"/>
  <c r="O768" i="1"/>
  <c r="Q679" i="1"/>
  <c r="Q678" i="1"/>
  <c r="Q671" i="1"/>
  <c r="Q573" i="1"/>
  <c r="K572" i="1"/>
  <c r="Q201" i="1"/>
  <c r="O200" i="1"/>
  <c r="B462" i="1"/>
  <c r="B458" i="1"/>
  <c r="Q484" i="1"/>
  <c r="M483" i="1"/>
  <c r="Q556" i="1"/>
  <c r="B1323" i="1"/>
  <c r="Q188" i="1"/>
  <c r="K187" i="1"/>
  <c r="Q111" i="1"/>
  <c r="Q52" i="1"/>
  <c r="Q51" i="1"/>
  <c r="Q48" i="1"/>
  <c r="Q47" i="1"/>
  <c r="B2503" i="1"/>
  <c r="Q928" i="1"/>
  <c r="Q180" i="1"/>
  <c r="Q315" i="1"/>
  <c r="O314" i="1"/>
  <c r="Q756" i="1"/>
  <c r="Q754" i="1"/>
  <c r="Q568" i="1"/>
  <c r="Q1064" i="1"/>
  <c r="K983" i="1"/>
  <c r="Q975" i="1"/>
  <c r="Q971" i="1"/>
  <c r="K962" i="1"/>
  <c r="O957" i="1"/>
  <c r="Q955" i="1"/>
  <c r="Q947" i="1"/>
  <c r="Q943" i="1"/>
  <c r="Q1096" i="1"/>
  <c r="Q914" i="1"/>
  <c r="Q900" i="1"/>
  <c r="Q896" i="1"/>
  <c r="Q1085" i="1"/>
  <c r="Q881" i="1"/>
  <c r="Q863" i="1"/>
  <c r="Q859" i="1"/>
  <c r="Q855" i="1"/>
  <c r="Q850" i="1"/>
  <c r="Q846" i="1"/>
  <c r="Q839" i="1"/>
  <c r="Q835" i="1"/>
  <c r="Q831" i="1"/>
  <c r="O821" i="1"/>
  <c r="Q817" i="1"/>
  <c r="Q811" i="1"/>
  <c r="B1861" i="1"/>
  <c r="B1856" i="1"/>
  <c r="Q812" i="1"/>
  <c r="Q778" i="1"/>
  <c r="Q761" i="1"/>
  <c r="Q749" i="1"/>
  <c r="Q745" i="1"/>
  <c r="Q741" i="1"/>
  <c r="Q738" i="1"/>
  <c r="M737" i="1"/>
  <c r="B1752" i="1"/>
  <c r="M729" i="1"/>
  <c r="Q733" i="1"/>
  <c r="Q725" i="1"/>
  <c r="Q722" i="1"/>
  <c r="Q702" i="1"/>
  <c r="Q698" i="1"/>
  <c r="Q688" i="1"/>
  <c r="M687" i="1"/>
  <c r="Q682" i="1"/>
  <c r="Q666" i="1"/>
  <c r="Q667" i="1"/>
  <c r="Q652" i="1"/>
  <c r="O648" i="1"/>
  <c r="Q625" i="1"/>
  <c r="Q621" i="1"/>
  <c r="Q617" i="1"/>
  <c r="Q660" i="1"/>
  <c r="O613" i="1"/>
  <c r="Q632" i="1"/>
  <c r="Q629" i="1"/>
  <c r="Q602" i="1"/>
  <c r="Q596" i="1"/>
  <c r="Q586" i="1"/>
  <c r="Q582" i="1"/>
  <c r="O578" i="1"/>
  <c r="Q564" i="1"/>
  <c r="Q560" i="1"/>
  <c r="Q552" i="1"/>
  <c r="Q548" i="1"/>
  <c r="Q544" i="1"/>
  <c r="B1370" i="1"/>
  <c r="Q538" i="1"/>
  <c r="Q534" i="1"/>
  <c r="O530" i="1"/>
  <c r="Q526" i="1"/>
  <c r="Q514" i="1"/>
  <c r="B1511" i="1"/>
  <c r="Q504" i="1"/>
  <c r="K478" i="1"/>
  <c r="Q474" i="1"/>
  <c r="B3579" i="1"/>
  <c r="B3577" i="1"/>
  <c r="B3575" i="1"/>
  <c r="B3763" i="1"/>
  <c r="B3770" i="1"/>
  <c r="B3768" i="1"/>
  <c r="B3765" i="1"/>
  <c r="M363" i="1"/>
  <c r="K360" i="1"/>
  <c r="M355" i="1"/>
  <c r="Q350" i="1"/>
  <c r="O312" i="1"/>
  <c r="Q308" i="1"/>
  <c r="Q298" i="1"/>
  <c r="Q491" i="1"/>
  <c r="Q492" i="1"/>
  <c r="O490" i="1"/>
  <c r="Q289" i="1"/>
  <c r="Q263" i="1"/>
  <c r="O259" i="1"/>
  <c r="Q211" i="1"/>
  <c r="B493" i="1"/>
  <c r="B487" i="1"/>
  <c r="Q183" i="1"/>
  <c r="Q181" i="1"/>
  <c r="Q446" i="1" l="1"/>
  <c r="B1231" i="1"/>
  <c r="Q457" i="1"/>
  <c r="B1246" i="1"/>
  <c r="K453" i="1"/>
  <c r="B1241" i="1"/>
  <c r="Q449" i="1"/>
  <c r="B1236" i="1"/>
  <c r="Q53" i="1"/>
  <c r="B86" i="1"/>
  <c r="K54" i="1"/>
  <c r="B87" i="1"/>
  <c r="B457" i="1"/>
  <c r="B444" i="1"/>
  <c r="B443" i="1"/>
  <c r="B442" i="1"/>
  <c r="O668" i="1"/>
  <c r="B1610" i="1"/>
  <c r="O935" i="1"/>
  <c r="B2272" i="1"/>
  <c r="Q673" i="1"/>
  <c r="B1624" i="1"/>
  <c r="Q479" i="1"/>
  <c r="B1281" i="1"/>
  <c r="B1280" i="1"/>
  <c r="Q182" i="1"/>
  <c r="B419" i="1"/>
  <c r="B420" i="1"/>
  <c r="B331" i="1"/>
  <c r="B330" i="1"/>
  <c r="B2382" i="1"/>
  <c r="K146" i="1"/>
  <c r="B2380" i="1"/>
  <c r="M146" i="1"/>
  <c r="K989" i="1"/>
  <c r="O146" i="1"/>
  <c r="B161" i="1"/>
  <c r="M989" i="1"/>
  <c r="B2381" i="1"/>
  <c r="O989" i="1"/>
  <c r="Q990" i="1"/>
  <c r="M990" i="1"/>
  <c r="O990" i="1"/>
  <c r="K825" i="1"/>
  <c r="O825" i="1"/>
  <c r="B1884" i="1"/>
  <c r="B1885" i="1"/>
  <c r="Q825" i="1"/>
  <c r="B9915" i="1"/>
  <c r="B1569" i="1"/>
  <c r="B1570" i="1"/>
  <c r="B1571" i="1"/>
  <c r="B1572" i="1"/>
  <c r="K522" i="1"/>
  <c r="M522" i="1"/>
  <c r="O522" i="1"/>
  <c r="K523" i="1"/>
  <c r="M523" i="1"/>
  <c r="O523" i="1"/>
  <c r="B88" i="1"/>
  <c r="B89" i="1"/>
  <c r="B90" i="1"/>
  <c r="B91" i="1"/>
  <c r="B92" i="1"/>
  <c r="B93" i="1"/>
  <c r="B94" i="1"/>
  <c r="B95" i="1"/>
  <c r="Q54" i="1"/>
  <c r="O54" i="1"/>
  <c r="M54" i="1"/>
  <c r="K53" i="1"/>
  <c r="M53" i="1"/>
  <c r="O53" i="1"/>
  <c r="K55" i="1"/>
  <c r="M55" i="1"/>
  <c r="O55" i="1"/>
  <c r="K56" i="1"/>
  <c r="M56" i="1"/>
  <c r="O56" i="1"/>
  <c r="B2606" i="1"/>
  <c r="B2607" i="1"/>
  <c r="B2614" i="1"/>
  <c r="B2604" i="1"/>
  <c r="B2605" i="1"/>
  <c r="K1141" i="1"/>
  <c r="M1141" i="1"/>
  <c r="O1141" i="1"/>
  <c r="K1137" i="1"/>
  <c r="M1137" i="1"/>
  <c r="O1137" i="1"/>
  <c r="O1131" i="1"/>
  <c r="K1136" i="1"/>
  <c r="M1136" i="1"/>
  <c r="O1136" i="1"/>
  <c r="K1131" i="1"/>
  <c r="M1131" i="1"/>
  <c r="B693" i="1"/>
  <c r="B692" i="1"/>
  <c r="K365" i="1"/>
  <c r="M365" i="1"/>
  <c r="O365" i="1"/>
  <c r="B9513" i="1"/>
  <c r="B9321" i="1"/>
  <c r="B2424" i="1"/>
  <c r="Q1045" i="1"/>
  <c r="B2423" i="1"/>
  <c r="B2425" i="1"/>
  <c r="B2426" i="1"/>
  <c r="K1045" i="1"/>
  <c r="M1045" i="1"/>
  <c r="O1045" i="1"/>
  <c r="B1819" i="1"/>
  <c r="B1820" i="1"/>
  <c r="B1609" i="1"/>
  <c r="K780" i="1"/>
  <c r="K668" i="1"/>
  <c r="M780" i="1"/>
  <c r="O780" i="1"/>
  <c r="Q668" i="1"/>
  <c r="M668" i="1"/>
  <c r="Q758" i="1"/>
  <c r="B1790" i="1"/>
  <c r="B1791" i="1"/>
  <c r="B1766" i="1"/>
  <c r="K767" i="1"/>
  <c r="M767" i="1"/>
  <c r="Q767" i="1"/>
  <c r="K758" i="1"/>
  <c r="M758" i="1"/>
  <c r="O758" i="1"/>
  <c r="K641" i="1"/>
  <c r="K1040" i="1"/>
  <c r="K1029" i="1"/>
  <c r="K1031" i="1"/>
  <c r="K992" i="1"/>
  <c r="K979" i="1"/>
  <c r="K1030" i="1"/>
  <c r="M979" i="1"/>
  <c r="M971" i="1"/>
  <c r="M1035" i="1"/>
  <c r="M983" i="1"/>
  <c r="Q1070" i="1"/>
  <c r="K1076" i="1"/>
  <c r="Q1068" i="1"/>
  <c r="K993" i="1"/>
  <c r="Q1069" i="1"/>
  <c r="Q1040" i="1"/>
  <c r="K975" i="1"/>
  <c r="Q1039" i="1"/>
  <c r="M1054" i="1"/>
  <c r="Q1035" i="1"/>
  <c r="Q1026" i="1"/>
  <c r="K1074" i="1"/>
  <c r="M1030" i="1"/>
  <c r="Q992" i="1"/>
  <c r="K1064" i="1"/>
  <c r="M993" i="1"/>
  <c r="Q988" i="1"/>
  <c r="Q1055" i="1"/>
  <c r="M1055" i="1"/>
  <c r="K1055" i="1"/>
  <c r="M980" i="1"/>
  <c r="K980" i="1"/>
  <c r="Q980" i="1"/>
  <c r="Q987" i="1"/>
  <c r="B1529" i="1"/>
  <c r="K1069" i="1"/>
  <c r="K1026" i="1"/>
  <c r="K987" i="1"/>
  <c r="Q983" i="1"/>
  <c r="B1530" i="1"/>
  <c r="K1039" i="1"/>
  <c r="M1029" i="1"/>
  <c r="Q1034" i="1"/>
  <c r="Q1077" i="1"/>
  <c r="K1054" i="1"/>
  <c r="M988" i="1"/>
  <c r="Q1031" i="1"/>
  <c r="M1028" i="1"/>
  <c r="K1035" i="1"/>
  <c r="K971" i="1"/>
  <c r="M987" i="1"/>
  <c r="M975" i="1"/>
  <c r="Q1074" i="1"/>
  <c r="Q1030" i="1"/>
  <c r="Q993" i="1"/>
  <c r="Q979" i="1"/>
  <c r="K1034" i="1"/>
  <c r="Q1028" i="1"/>
  <c r="B1527" i="1"/>
  <c r="K1085" i="1"/>
  <c r="B1528" i="1"/>
  <c r="K1070" i="1"/>
  <c r="M1031" i="1"/>
  <c r="M641" i="1"/>
  <c r="O641" i="1"/>
  <c r="B2261" i="1"/>
  <c r="B2262" i="1"/>
  <c r="B2263" i="1"/>
  <c r="B2264" i="1"/>
  <c r="B2265" i="1"/>
  <c r="B2266" i="1"/>
  <c r="B2267" i="1"/>
  <c r="B2268" i="1"/>
  <c r="B2269" i="1"/>
  <c r="B2270" i="1"/>
  <c r="B2271" i="1"/>
  <c r="K935" i="1"/>
  <c r="M935" i="1"/>
  <c r="Q935" i="1"/>
  <c r="K932" i="1"/>
  <c r="M932" i="1"/>
  <c r="O932" i="1"/>
  <c r="B196" i="1"/>
  <c r="B197" i="1"/>
  <c r="B199" i="1"/>
  <c r="B198" i="1"/>
  <c r="B201" i="1"/>
  <c r="B202" i="1"/>
  <c r="B203" i="1"/>
  <c r="B206" i="1"/>
  <c r="B207" i="1"/>
  <c r="B200" i="1"/>
  <c r="B204" i="1"/>
  <c r="B205" i="1"/>
  <c r="M102" i="1"/>
  <c r="O102" i="1"/>
  <c r="M101" i="1"/>
  <c r="O101" i="1"/>
  <c r="K103" i="1"/>
  <c r="Q101" i="1"/>
  <c r="M103" i="1"/>
  <c r="O103" i="1"/>
  <c r="K102" i="1"/>
  <c r="K104" i="1"/>
  <c r="M104" i="1"/>
  <c r="O104" i="1"/>
  <c r="B1522" i="1"/>
  <c r="B1523" i="1"/>
  <c r="M640" i="1"/>
  <c r="K640" i="1"/>
  <c r="O640" i="1"/>
  <c r="B559" i="1"/>
  <c r="B560" i="1"/>
  <c r="K229" i="1"/>
  <c r="M229" i="1"/>
  <c r="O1040" i="1"/>
  <c r="O229" i="1"/>
  <c r="B1674" i="1"/>
  <c r="B1675" i="1"/>
  <c r="K694" i="1"/>
  <c r="M694" i="1"/>
  <c r="O694" i="1"/>
  <c r="B2411" i="1"/>
  <c r="B2412" i="1"/>
  <c r="B2409" i="1"/>
  <c r="B2410" i="1"/>
  <c r="O1039" i="1"/>
  <c r="B2341" i="1"/>
  <c r="O988" i="1"/>
  <c r="B854" i="1"/>
  <c r="B855" i="1"/>
  <c r="Q293" i="1"/>
  <c r="M293" i="1"/>
  <c r="O293" i="1"/>
  <c r="B1400" i="1"/>
  <c r="B1401" i="1"/>
  <c r="B1402" i="1"/>
  <c r="B2402" i="1"/>
  <c r="B1403" i="1"/>
  <c r="K590" i="1"/>
  <c r="M590" i="1"/>
  <c r="O590" i="1"/>
  <c r="K591" i="1"/>
  <c r="M591" i="1"/>
  <c r="O591" i="1"/>
  <c r="O1035" i="1"/>
  <c r="B439" i="1"/>
  <c r="B440" i="1"/>
  <c r="B441" i="1"/>
  <c r="K197" i="1"/>
  <c r="M197" i="1"/>
  <c r="O197" i="1"/>
  <c r="O1076" i="1"/>
  <c r="M1076" i="1"/>
  <c r="B2508" i="1"/>
  <c r="B2509" i="1"/>
  <c r="B2510" i="1"/>
  <c r="B2511" i="1"/>
  <c r="B2512" i="1"/>
  <c r="B2513" i="1"/>
  <c r="B2514" i="1"/>
  <c r="B2515" i="1"/>
  <c r="M1077" i="1"/>
  <c r="O1077" i="1"/>
  <c r="B2390" i="1"/>
  <c r="B2388" i="1"/>
  <c r="B2391" i="1"/>
  <c r="B2392" i="1"/>
  <c r="B2389" i="1"/>
  <c r="B2394" i="1"/>
  <c r="O1028" i="1"/>
  <c r="O1030" i="1"/>
  <c r="O1029" i="1"/>
  <c r="O1031" i="1"/>
  <c r="B2400" i="1"/>
  <c r="B2399" i="1"/>
  <c r="O1034" i="1"/>
  <c r="B2481" i="1"/>
  <c r="B2476" i="1"/>
  <c r="B2477" i="1"/>
  <c r="B2478" i="1"/>
  <c r="Q163" i="1"/>
  <c r="O163" i="1"/>
  <c r="B374" i="1"/>
  <c r="B375" i="1"/>
  <c r="B376" i="1"/>
  <c r="M1069" i="1"/>
  <c r="O1069" i="1"/>
  <c r="M163" i="1"/>
  <c r="K163" i="1"/>
  <c r="B1518" i="1"/>
  <c r="B1517" i="1"/>
  <c r="B1519" i="1"/>
  <c r="B1520" i="1"/>
  <c r="K507" i="1"/>
  <c r="M507" i="1"/>
  <c r="O507" i="1"/>
  <c r="K508" i="1"/>
  <c r="M508" i="1"/>
  <c r="O508" i="1"/>
  <c r="B2372" i="1"/>
  <c r="B2368" i="1"/>
  <c r="B2373" i="1"/>
  <c r="B2369" i="1"/>
  <c r="O980" i="1"/>
  <c r="M453" i="1"/>
  <c r="Q453" i="1"/>
  <c r="B1239" i="1"/>
  <c r="Q455" i="1"/>
  <c r="B1243" i="1"/>
  <c r="B1238" i="1"/>
  <c r="O453" i="1"/>
  <c r="O449" i="1"/>
  <c r="K449" i="1"/>
  <c r="M449" i="1"/>
  <c r="M455" i="1"/>
  <c r="O455" i="1"/>
  <c r="K455" i="1"/>
  <c r="K451" i="1"/>
  <c r="O451" i="1"/>
  <c r="M451" i="1"/>
  <c r="K457" i="1"/>
  <c r="M457" i="1"/>
  <c r="O457" i="1"/>
  <c r="K446" i="1"/>
  <c r="O446" i="1"/>
  <c r="M446" i="1"/>
  <c r="B2155" i="1"/>
  <c r="B2157" i="1"/>
  <c r="B2156" i="1"/>
  <c r="B2158" i="1"/>
  <c r="K906" i="1"/>
  <c r="M906" i="1"/>
  <c r="O906" i="1"/>
  <c r="B2339" i="1"/>
  <c r="B272" i="1"/>
  <c r="B273" i="1"/>
  <c r="B274" i="1"/>
  <c r="B275" i="1"/>
  <c r="K123" i="1"/>
  <c r="M123" i="1"/>
  <c r="O123" i="1"/>
  <c r="B2383" i="1"/>
  <c r="B2384" i="1"/>
  <c r="O1026" i="1"/>
  <c r="B1216" i="1"/>
  <c r="K435" i="1"/>
  <c r="M435" i="1"/>
  <c r="O435" i="1"/>
  <c r="Q719" i="1"/>
  <c r="B1738" i="1"/>
  <c r="B1739" i="1"/>
  <c r="K719" i="1"/>
  <c r="M719" i="1"/>
  <c r="B2288" i="1"/>
  <c r="O140" i="1"/>
  <c r="B2290" i="1"/>
  <c r="B2292" i="1"/>
  <c r="O992" i="1"/>
  <c r="Q140" i="1"/>
  <c r="Q224" i="1"/>
  <c r="K224" i="1"/>
  <c r="M224" i="1"/>
  <c r="B686" i="1"/>
  <c r="B687" i="1"/>
  <c r="K362" i="1"/>
  <c r="M362" i="1"/>
  <c r="K140" i="1"/>
  <c r="O362" i="1"/>
  <c r="M140" i="1"/>
  <c r="B314" i="1"/>
  <c r="B315" i="1"/>
  <c r="B316" i="1"/>
  <c r="B317" i="1"/>
  <c r="K141" i="1"/>
  <c r="M141" i="1"/>
  <c r="O141" i="1"/>
  <c r="B1889" i="1"/>
  <c r="B1891" i="1"/>
  <c r="Q830" i="1"/>
  <c r="B1890" i="1"/>
  <c r="Q829" i="1"/>
  <c r="M829" i="1"/>
  <c r="O829" i="1"/>
  <c r="K830" i="1"/>
  <c r="M830" i="1"/>
  <c r="O830" i="1"/>
  <c r="B2560" i="1"/>
  <c r="B2559" i="1"/>
  <c r="B2561" i="1"/>
  <c r="B2562" i="1"/>
  <c r="K1105" i="1"/>
  <c r="M1105" i="1"/>
  <c r="O1105" i="1"/>
  <c r="K1106" i="1"/>
  <c r="M1106" i="1"/>
  <c r="O1106" i="1"/>
  <c r="B2249" i="1"/>
  <c r="B2250" i="1"/>
  <c r="B2251" i="1"/>
  <c r="B2252" i="1"/>
  <c r="B2253" i="1"/>
  <c r="B2254" i="1"/>
  <c r="B2255" i="1"/>
  <c r="B2256" i="1"/>
  <c r="B2245" i="1"/>
  <c r="B2257" i="1"/>
  <c r="B2246" i="1"/>
  <c r="B2258" i="1"/>
  <c r="B2247" i="1"/>
  <c r="B2259" i="1"/>
  <c r="B2248" i="1"/>
  <c r="B2260" i="1"/>
  <c r="K934" i="1"/>
  <c r="K933" i="1"/>
  <c r="M933" i="1"/>
  <c r="O933" i="1"/>
  <c r="M934" i="1"/>
  <c r="O934" i="1"/>
  <c r="B2450" i="1"/>
  <c r="B2319" i="1"/>
  <c r="B2320" i="1"/>
  <c r="B2447" i="1"/>
  <c r="B2448" i="1"/>
  <c r="B2449" i="1"/>
  <c r="B2321" i="1"/>
  <c r="B2322" i="1"/>
  <c r="B446" i="1"/>
  <c r="B455" i="1"/>
  <c r="B456" i="1"/>
  <c r="B454" i="1"/>
  <c r="B449" i="1"/>
  <c r="O1054" i="1"/>
  <c r="O951" i="1"/>
  <c r="O1055" i="1"/>
  <c r="K951" i="1"/>
  <c r="M951" i="1"/>
  <c r="K952" i="1"/>
  <c r="M952" i="1"/>
  <c r="O952" i="1"/>
  <c r="B67" i="1"/>
  <c r="B68" i="1"/>
  <c r="B69" i="1"/>
  <c r="B70" i="1"/>
  <c r="K43" i="1"/>
  <c r="M43" i="1"/>
  <c r="O43" i="1"/>
  <c r="K44" i="1"/>
  <c r="M44" i="1"/>
  <c r="O44" i="1"/>
  <c r="B445" i="1"/>
  <c r="M770" i="1"/>
  <c r="Q770" i="1"/>
  <c r="Q771" i="1"/>
  <c r="K770" i="1"/>
  <c r="Q768" i="1"/>
  <c r="M771" i="1"/>
  <c r="K768" i="1"/>
  <c r="M768" i="1"/>
  <c r="O771" i="1"/>
  <c r="O678" i="1"/>
  <c r="B1298" i="1"/>
  <c r="B1299" i="1"/>
  <c r="B1300" i="1"/>
  <c r="B1301" i="1"/>
  <c r="K678" i="1"/>
  <c r="M678" i="1"/>
  <c r="K679" i="1"/>
  <c r="M679" i="1"/>
  <c r="O679" i="1"/>
  <c r="B1618" i="1"/>
  <c r="B1619" i="1"/>
  <c r="B1617" i="1"/>
  <c r="B1620" i="1"/>
  <c r="B1621" i="1"/>
  <c r="B1622" i="1"/>
  <c r="B1623" i="1"/>
  <c r="B1605" i="1"/>
  <c r="B1606" i="1"/>
  <c r="B1607" i="1"/>
  <c r="B1608" i="1"/>
  <c r="M672" i="1"/>
  <c r="Q672" i="1"/>
  <c r="K672" i="1"/>
  <c r="O672" i="1"/>
  <c r="M671" i="1"/>
  <c r="O671" i="1"/>
  <c r="K673" i="1"/>
  <c r="K671" i="1"/>
  <c r="M673" i="1"/>
  <c r="O673" i="1"/>
  <c r="B1357" i="1"/>
  <c r="B1358" i="1"/>
  <c r="B1361" i="1"/>
  <c r="B1362" i="1"/>
  <c r="B1359" i="1"/>
  <c r="B1360" i="1"/>
  <c r="B1363" i="1"/>
  <c r="B1364" i="1"/>
  <c r="M572" i="1"/>
  <c r="O572" i="1"/>
  <c r="Q572" i="1"/>
  <c r="B464" i="1"/>
  <c r="B463" i="1"/>
  <c r="B465" i="1"/>
  <c r="B466" i="1"/>
  <c r="K573" i="1"/>
  <c r="M573" i="1"/>
  <c r="B467" i="1"/>
  <c r="O573" i="1"/>
  <c r="B468" i="1"/>
  <c r="B438" i="1"/>
  <c r="B447" i="1"/>
  <c r="B448" i="1"/>
  <c r="B451" i="1"/>
  <c r="B452" i="1"/>
  <c r="B453" i="1"/>
  <c r="B450" i="1"/>
  <c r="B460" i="1"/>
  <c r="B461" i="1"/>
  <c r="Q200" i="1"/>
  <c r="K200" i="1"/>
  <c r="M200" i="1"/>
  <c r="K201" i="1"/>
  <c r="M201" i="1"/>
  <c r="O201" i="1"/>
  <c r="B1289" i="1"/>
  <c r="B1288" i="1"/>
  <c r="B1286" i="1"/>
  <c r="B1287" i="1"/>
  <c r="Q557" i="1"/>
  <c r="B1320" i="1"/>
  <c r="B1321" i="1"/>
  <c r="B1322" i="1"/>
  <c r="O483" i="1"/>
  <c r="Q483" i="1"/>
  <c r="K483" i="1"/>
  <c r="K484" i="1"/>
  <c r="M484" i="1"/>
  <c r="O484" i="1"/>
  <c r="K556" i="1"/>
  <c r="M556" i="1"/>
  <c r="O556" i="1"/>
  <c r="K557" i="1"/>
  <c r="M557" i="1"/>
  <c r="O557" i="1"/>
  <c r="B433" i="1"/>
  <c r="B434" i="1"/>
  <c r="B435" i="1"/>
  <c r="B436" i="1"/>
  <c r="M187" i="1"/>
  <c r="O187" i="1"/>
  <c r="Q187" i="1"/>
  <c r="K188" i="1"/>
  <c r="M188" i="1"/>
  <c r="O188" i="1"/>
  <c r="B248" i="1"/>
  <c r="B249" i="1"/>
  <c r="K111" i="1"/>
  <c r="M111" i="1"/>
  <c r="O111" i="1"/>
  <c r="B82" i="1"/>
  <c r="B83" i="1"/>
  <c r="B84" i="1"/>
  <c r="B85" i="1"/>
  <c r="K51" i="1"/>
  <c r="M51" i="1"/>
  <c r="O51" i="1"/>
  <c r="K52" i="1"/>
  <c r="M52" i="1"/>
  <c r="O52" i="1"/>
  <c r="B73" i="1"/>
  <c r="B74" i="1"/>
  <c r="B75" i="1"/>
  <c r="B76" i="1"/>
  <c r="K47" i="1"/>
  <c r="M47" i="1"/>
  <c r="O47" i="1"/>
  <c r="K48" i="1"/>
  <c r="M48" i="1"/>
  <c r="O48" i="1"/>
  <c r="B2500" i="1"/>
  <c r="B2501" i="1"/>
  <c r="B2502" i="1"/>
  <c r="B2496" i="1"/>
  <c r="B2497" i="1"/>
  <c r="B2498" i="1"/>
  <c r="B2499" i="1"/>
  <c r="B2239" i="1"/>
  <c r="B2240" i="1"/>
  <c r="B2237" i="1"/>
  <c r="B2238" i="1"/>
  <c r="B2241" i="1"/>
  <c r="B2242" i="1"/>
  <c r="B2243" i="1"/>
  <c r="B2244" i="1"/>
  <c r="M1074" i="1"/>
  <c r="O1074" i="1"/>
  <c r="B414" i="1"/>
  <c r="K928" i="1"/>
  <c r="M928" i="1"/>
  <c r="B412" i="1"/>
  <c r="O928" i="1"/>
  <c r="B415" i="1"/>
  <c r="B413" i="1"/>
  <c r="B411" i="1"/>
  <c r="B416" i="1"/>
  <c r="B417" i="1"/>
  <c r="B418" i="1"/>
  <c r="K180" i="1"/>
  <c r="M180" i="1"/>
  <c r="O180" i="1"/>
  <c r="B906" i="1"/>
  <c r="B907" i="1"/>
  <c r="B908" i="1"/>
  <c r="B909" i="1"/>
  <c r="B905" i="1"/>
  <c r="B910" i="1"/>
  <c r="O315" i="1"/>
  <c r="K314" i="1"/>
  <c r="Q314" i="1"/>
  <c r="M314" i="1"/>
  <c r="K315" i="1"/>
  <c r="M315" i="1"/>
  <c r="B2006" i="1"/>
  <c r="B2007" i="1"/>
  <c r="B1999" i="1"/>
  <c r="B2000" i="1"/>
  <c r="B1987" i="1"/>
  <c r="B1992" i="1"/>
  <c r="B1993" i="1"/>
  <c r="B1986" i="1"/>
  <c r="B1980" i="1"/>
  <c r="B1981" i="1"/>
  <c r="B1914" i="1"/>
  <c r="B1915" i="1"/>
  <c r="B1907" i="1"/>
  <c r="B1908" i="1"/>
  <c r="B1901" i="1"/>
  <c r="B1902" i="1"/>
  <c r="B1858" i="1"/>
  <c r="B1896" i="1"/>
  <c r="B1895" i="1"/>
  <c r="B1878" i="1"/>
  <c r="B1879" i="1"/>
  <c r="B1862" i="1"/>
  <c r="B1863" i="1"/>
  <c r="B1872" i="1"/>
  <c r="B1873" i="1"/>
  <c r="B1859" i="1"/>
  <c r="B1860" i="1"/>
  <c r="B1699" i="1"/>
  <c r="B1864" i="1"/>
  <c r="B1866" i="1"/>
  <c r="B1867" i="1"/>
  <c r="B1755" i="1"/>
  <c r="B1815" i="1"/>
  <c r="B1816" i="1"/>
  <c r="B1761" i="1"/>
  <c r="B1772" i="1"/>
  <c r="B1762" i="1"/>
  <c r="B1664" i="1"/>
  <c r="B1773" i="1"/>
  <c r="K756" i="1"/>
  <c r="B902" i="1"/>
  <c r="M756" i="1"/>
  <c r="O756" i="1"/>
  <c r="B1756" i="1"/>
  <c r="B1751" i="1"/>
  <c r="B1749" i="1"/>
  <c r="B1750" i="1"/>
  <c r="B1743" i="1"/>
  <c r="B1744" i="1"/>
  <c r="B1725" i="1"/>
  <c r="B1726" i="1"/>
  <c r="B1719" i="1"/>
  <c r="B1720" i="1"/>
  <c r="M754" i="1"/>
  <c r="O754" i="1"/>
  <c r="K754" i="1"/>
  <c r="B1711" i="1"/>
  <c r="B1712" i="1"/>
  <c r="B1705" i="1"/>
  <c r="B1706" i="1"/>
  <c r="B1700" i="1"/>
  <c r="B1694" i="1"/>
  <c r="B1695" i="1"/>
  <c r="B1665" i="1"/>
  <c r="B1657" i="1"/>
  <c r="B1658" i="1"/>
  <c r="B1647" i="1"/>
  <c r="B1648" i="1"/>
  <c r="B1641" i="1"/>
  <c r="B1642" i="1"/>
  <c r="B1635" i="1"/>
  <c r="B1636" i="1"/>
  <c r="B1583" i="1"/>
  <c r="B1584" i="1"/>
  <c r="B1575" i="1"/>
  <c r="B1576" i="1"/>
  <c r="B1557" i="1"/>
  <c r="B1558" i="1"/>
  <c r="B1547" i="1"/>
  <c r="B1548" i="1"/>
  <c r="B1537" i="1"/>
  <c r="B1538" i="1"/>
  <c r="B1512" i="1"/>
  <c r="B1513" i="1"/>
  <c r="B1501" i="1"/>
  <c r="B1502" i="1"/>
  <c r="B1452" i="1"/>
  <c r="B1494" i="1"/>
  <c r="B1495" i="1"/>
  <c r="B1467" i="1"/>
  <c r="B1468" i="1"/>
  <c r="B1460" i="1"/>
  <c r="B1459" i="1"/>
  <c r="B1443" i="1"/>
  <c r="B1442" i="1"/>
  <c r="B1453" i="1"/>
  <c r="B1422" i="1"/>
  <c r="B1423" i="1"/>
  <c r="B1393" i="1"/>
  <c r="B1392" i="1"/>
  <c r="B1410" i="1"/>
  <c r="B1411" i="1"/>
  <c r="B1386" i="1"/>
  <c r="B1387" i="1"/>
  <c r="B1376" i="1"/>
  <c r="B1377" i="1"/>
  <c r="B1369" i="1"/>
  <c r="B1368" i="1"/>
  <c r="B1367" i="1"/>
  <c r="B1345" i="1"/>
  <c r="B1346" i="1"/>
  <c r="K568" i="1"/>
  <c r="M568" i="1"/>
  <c r="O568" i="1"/>
  <c r="B901" i="1"/>
  <c r="B1339" i="1"/>
  <c r="B1340" i="1"/>
  <c r="B1307" i="1"/>
  <c r="B1333" i="1"/>
  <c r="B1334" i="1"/>
  <c r="B1326" i="1"/>
  <c r="B1327" i="1"/>
  <c r="B1312" i="1"/>
  <c r="B1313" i="1"/>
  <c r="B1306" i="1"/>
  <c r="B1292" i="1"/>
  <c r="B1293" i="1"/>
  <c r="B1271" i="1"/>
  <c r="B1272" i="1"/>
  <c r="B893" i="1"/>
  <c r="B894" i="1"/>
  <c r="B860" i="1"/>
  <c r="B861" i="1"/>
  <c r="B822" i="1"/>
  <c r="B823" i="1"/>
  <c r="B783" i="1"/>
  <c r="B784" i="1"/>
  <c r="B777" i="1"/>
  <c r="B778" i="1"/>
  <c r="B672" i="1"/>
  <c r="B688" i="1"/>
  <c r="B673" i="1"/>
  <c r="B689" i="1"/>
  <c r="B682" i="1"/>
  <c r="B683" i="1"/>
  <c r="B421" i="1"/>
  <c r="B422" i="1"/>
  <c r="B518" i="1"/>
  <c r="B519" i="1"/>
  <c r="B660" i="1"/>
  <c r="B661" i="1"/>
  <c r="M1064" i="1"/>
  <c r="O1064" i="1"/>
  <c r="K957" i="1"/>
  <c r="M957" i="1"/>
  <c r="K955" i="1"/>
  <c r="O955" i="1"/>
  <c r="M955" i="1"/>
  <c r="K947" i="1"/>
  <c r="M947" i="1"/>
  <c r="O947" i="1"/>
  <c r="K943" i="1"/>
  <c r="M943" i="1"/>
  <c r="O943" i="1"/>
  <c r="K1096" i="1"/>
  <c r="M1096" i="1"/>
  <c r="O1096" i="1"/>
  <c r="K914" i="1"/>
  <c r="M914" i="1"/>
  <c r="O914" i="1"/>
  <c r="M900" i="1"/>
  <c r="O900" i="1"/>
  <c r="K900" i="1"/>
  <c r="M896" i="1"/>
  <c r="O896" i="1"/>
  <c r="K896" i="1"/>
  <c r="M1085" i="1"/>
  <c r="O1085" i="1"/>
  <c r="M881" i="1"/>
  <c r="O881" i="1"/>
  <c r="K881" i="1"/>
  <c r="M863" i="1"/>
  <c r="K863" i="1"/>
  <c r="O863" i="1"/>
  <c r="K859" i="1"/>
  <c r="M859" i="1"/>
  <c r="O859" i="1"/>
  <c r="K855" i="1"/>
  <c r="M855" i="1"/>
  <c r="O855" i="1"/>
  <c r="K850" i="1"/>
  <c r="M850" i="1"/>
  <c r="O850" i="1"/>
  <c r="K846" i="1"/>
  <c r="M846" i="1"/>
  <c r="O846" i="1"/>
  <c r="K839" i="1"/>
  <c r="M839" i="1"/>
  <c r="O839" i="1"/>
  <c r="O835" i="1"/>
  <c r="K835" i="1"/>
  <c r="M835" i="1"/>
  <c r="Q821" i="1"/>
  <c r="M831" i="1"/>
  <c r="O831" i="1"/>
  <c r="K831" i="1"/>
  <c r="K821" i="1"/>
  <c r="M821" i="1"/>
  <c r="K811" i="1"/>
  <c r="K817" i="1"/>
  <c r="M811" i="1"/>
  <c r="M817" i="1"/>
  <c r="O811" i="1"/>
  <c r="O817" i="1"/>
  <c r="K812" i="1"/>
  <c r="M812" i="1"/>
  <c r="O812" i="1"/>
  <c r="K778" i="1"/>
  <c r="M778" i="1"/>
  <c r="O778" i="1"/>
  <c r="K761" i="1"/>
  <c r="M761" i="1"/>
  <c r="O761" i="1"/>
  <c r="M749" i="1"/>
  <c r="O749" i="1"/>
  <c r="K749" i="1"/>
  <c r="K745" i="1"/>
  <c r="M745" i="1"/>
  <c r="O729" i="1"/>
  <c r="O745" i="1"/>
  <c r="K741" i="1"/>
  <c r="M741" i="1"/>
  <c r="Q729" i="1"/>
  <c r="K729" i="1"/>
  <c r="O741" i="1"/>
  <c r="M733" i="1"/>
  <c r="O733" i="1"/>
  <c r="K733" i="1"/>
  <c r="K725" i="1"/>
  <c r="M725" i="1"/>
  <c r="O725" i="1"/>
  <c r="K722" i="1"/>
  <c r="M722" i="1"/>
  <c r="O722" i="1"/>
  <c r="M702" i="1"/>
  <c r="O702" i="1"/>
  <c r="K702" i="1"/>
  <c r="K698" i="1"/>
  <c r="M698" i="1"/>
  <c r="O698" i="1"/>
  <c r="K687" i="1"/>
  <c r="O687" i="1"/>
  <c r="Q687" i="1"/>
  <c r="K688" i="1"/>
  <c r="M688" i="1"/>
  <c r="O688" i="1"/>
  <c r="M682" i="1"/>
  <c r="K682" i="1"/>
  <c r="O682" i="1"/>
  <c r="K666" i="1"/>
  <c r="M666" i="1"/>
  <c r="O666" i="1"/>
  <c r="K667" i="1"/>
  <c r="M667" i="1"/>
  <c r="O667" i="1"/>
  <c r="K652" i="1"/>
  <c r="M652" i="1"/>
  <c r="O652" i="1"/>
  <c r="K648" i="1"/>
  <c r="M648" i="1"/>
  <c r="K625" i="1"/>
  <c r="M625" i="1"/>
  <c r="O625" i="1"/>
  <c r="K621" i="1"/>
  <c r="M621" i="1"/>
  <c r="O621" i="1"/>
  <c r="K617" i="1"/>
  <c r="M617" i="1"/>
  <c r="O617" i="1"/>
  <c r="K660" i="1"/>
  <c r="M660" i="1"/>
  <c r="O660" i="1"/>
  <c r="K613" i="1"/>
  <c r="M613" i="1"/>
  <c r="K632" i="1"/>
  <c r="M632" i="1"/>
  <c r="O632" i="1"/>
  <c r="O629" i="1"/>
  <c r="K629" i="1"/>
  <c r="M629" i="1"/>
  <c r="O602" i="1"/>
  <c r="K602" i="1"/>
  <c r="M602" i="1"/>
  <c r="K596" i="1"/>
  <c r="M596" i="1"/>
  <c r="O596" i="1"/>
  <c r="M586" i="1"/>
  <c r="K586" i="1"/>
  <c r="O586" i="1"/>
  <c r="K582" i="1"/>
  <c r="M582" i="1"/>
  <c r="O582" i="1"/>
  <c r="Q578" i="1"/>
  <c r="M578" i="1"/>
  <c r="K578" i="1"/>
  <c r="M564" i="1"/>
  <c r="K564" i="1"/>
  <c r="O564" i="1"/>
  <c r="K560" i="1"/>
  <c r="M560" i="1"/>
  <c r="O560" i="1"/>
  <c r="K552" i="1"/>
  <c r="M552" i="1"/>
  <c r="O552" i="1"/>
  <c r="K548" i="1"/>
  <c r="M548" i="1"/>
  <c r="O548" i="1"/>
  <c r="K542" i="1"/>
  <c r="M542" i="1"/>
  <c r="O542" i="1"/>
  <c r="Q542" i="1"/>
  <c r="K544" i="1"/>
  <c r="M544" i="1"/>
  <c r="O544" i="1"/>
  <c r="O538" i="1"/>
  <c r="O534" i="1"/>
  <c r="K538" i="1"/>
  <c r="M538" i="1"/>
  <c r="K534" i="1"/>
  <c r="M534" i="1"/>
  <c r="Q530" i="1"/>
  <c r="K530" i="1"/>
  <c r="M530" i="1"/>
  <c r="M526" i="1"/>
  <c r="K526" i="1"/>
  <c r="O526" i="1"/>
  <c r="K514" i="1"/>
  <c r="O737" i="1"/>
  <c r="M514" i="1"/>
  <c r="Q737" i="1"/>
  <c r="O514" i="1"/>
  <c r="K504" i="1"/>
  <c r="M504" i="1"/>
  <c r="K737" i="1"/>
  <c r="O504" i="1"/>
  <c r="O738" i="1"/>
  <c r="K738" i="1"/>
  <c r="M738" i="1"/>
  <c r="M478" i="1"/>
  <c r="O478" i="1"/>
  <c r="Q478" i="1"/>
  <c r="K479" i="1"/>
  <c r="M479" i="1"/>
  <c r="O479" i="1"/>
  <c r="K474" i="1"/>
  <c r="M474" i="1"/>
  <c r="O474" i="1"/>
  <c r="O363" i="1"/>
  <c r="Q363" i="1"/>
  <c r="B491" i="1"/>
  <c r="B492" i="1"/>
  <c r="M360" i="1"/>
  <c r="O360" i="1"/>
  <c r="Q360" i="1"/>
  <c r="K363" i="1"/>
  <c r="Q355" i="1"/>
  <c r="O355" i="1"/>
  <c r="K355" i="1"/>
  <c r="K350" i="1"/>
  <c r="M350" i="1"/>
  <c r="O350" i="1"/>
  <c r="Q312" i="1"/>
  <c r="M312" i="1"/>
  <c r="K312" i="1"/>
  <c r="K308" i="1"/>
  <c r="M308" i="1"/>
  <c r="O308" i="1"/>
  <c r="B1474" i="1"/>
  <c r="B1475" i="1"/>
  <c r="B1476" i="1"/>
  <c r="B1477" i="1"/>
  <c r="B1478" i="1"/>
  <c r="K298" i="1"/>
  <c r="M298" i="1"/>
  <c r="O298" i="1"/>
  <c r="B1473" i="1"/>
  <c r="K491" i="1"/>
  <c r="M491" i="1"/>
  <c r="O491" i="1"/>
  <c r="Q490" i="1"/>
  <c r="K490" i="1"/>
  <c r="M490" i="1"/>
  <c r="K492" i="1"/>
  <c r="M492" i="1"/>
  <c r="O492" i="1"/>
  <c r="K289" i="1"/>
  <c r="M289" i="1"/>
  <c r="O289" i="1"/>
  <c r="K263" i="1"/>
  <c r="M263" i="1"/>
  <c r="O263" i="1"/>
  <c r="Q259" i="1"/>
  <c r="K259" i="1"/>
  <c r="M259" i="1"/>
  <c r="O211" i="1"/>
  <c r="K211" i="1"/>
  <c r="M211" i="1"/>
  <c r="K182" i="1"/>
  <c r="K179" i="1"/>
  <c r="M179" i="1"/>
  <c r="O179" i="1"/>
  <c r="M182" i="1"/>
  <c r="O182" i="1"/>
  <c r="Q179" i="1"/>
  <c r="O183" i="1"/>
  <c r="K181" i="1"/>
  <c r="M181" i="1"/>
  <c r="O181" i="1"/>
  <c r="K183" i="1"/>
  <c r="M183" i="1"/>
  <c r="Q86" i="1"/>
  <c r="Q774" i="1"/>
  <c r="O773" i="1"/>
  <c r="Q681" i="1"/>
  <c r="Q269" i="1"/>
  <c r="Q267" i="1"/>
  <c r="Q215" i="1"/>
  <c r="O214" i="1"/>
  <c r="B427" i="1"/>
  <c r="B432" i="1"/>
  <c r="B423" i="1"/>
  <c r="Q190" i="1"/>
  <c r="O189" i="1"/>
  <c r="Q174" i="1"/>
  <c r="Q148" i="1"/>
  <c r="B341" i="1"/>
  <c r="B2587" i="1"/>
  <c r="B2599" i="1"/>
  <c r="Q1135" i="1"/>
  <c r="Q788" i="1"/>
  <c r="O654" i="1"/>
  <c r="B2576" i="1"/>
  <c r="Q1111" i="1"/>
  <c r="B821" i="1"/>
  <c r="B1669" i="1"/>
  <c r="O1098" i="1"/>
  <c r="B3801" i="1"/>
  <c r="B3800" i="1"/>
  <c r="K624" i="1"/>
  <c r="Q623" i="1"/>
  <c r="B1269" i="1"/>
  <c r="B8428" i="1"/>
  <c r="B8427" i="1"/>
  <c r="B8426" i="1"/>
  <c r="B8425" i="1"/>
  <c r="B8424" i="1"/>
  <c r="B8423" i="1"/>
  <c r="B8417" i="1"/>
  <c r="B8419" i="1" s="1"/>
  <c r="B8418" i="1" s="1"/>
  <c r="M482" i="1"/>
  <c r="B1283" i="1"/>
  <c r="B6565" i="1"/>
  <c r="B6564" i="1"/>
  <c r="B6563" i="1"/>
  <c r="B6562" i="1"/>
  <c r="B8524" i="1"/>
  <c r="B8523" i="1"/>
  <c r="B8522" i="1"/>
  <c r="B8521" i="1"/>
  <c r="B2566" i="1"/>
  <c r="Q1109" i="1"/>
  <c r="K1110" i="1"/>
  <c r="M1112" i="1"/>
  <c r="K1107" i="1"/>
  <c r="Q891" i="1"/>
  <c r="B2118" i="1"/>
  <c r="Q296" i="1"/>
  <c r="Q144" i="1"/>
  <c r="Q670" i="1"/>
  <c r="Q138" i="1"/>
  <c r="B3861" i="1"/>
  <c r="B3729" i="1"/>
  <c r="B3068" i="1"/>
  <c r="B3067" i="1"/>
  <c r="B3066" i="1"/>
  <c r="B3065" i="1"/>
  <c r="B3072" i="1"/>
  <c r="B3071" i="1"/>
  <c r="B3070" i="1"/>
  <c r="B3069" i="1"/>
  <c r="Q100" i="1"/>
  <c r="Q99" i="1"/>
  <c r="M98" i="1"/>
  <c r="Q97" i="1"/>
  <c r="B3622" i="1"/>
  <c r="Q879" i="1"/>
  <c r="B2056" i="1"/>
  <c r="Q873" i="1"/>
  <c r="Q872" i="1"/>
  <c r="Q901" i="1"/>
  <c r="B7378" i="1"/>
  <c r="B7377" i="1"/>
  <c r="B7376" i="1"/>
  <c r="B7375" i="1"/>
  <c r="B6370" i="1"/>
  <c r="B6369" i="1"/>
  <c r="B6368" i="1"/>
  <c r="B6367" i="1"/>
  <c r="B517" i="1"/>
  <c r="M209" i="1"/>
  <c r="B7294" i="1"/>
  <c r="B7293" i="1"/>
  <c r="B7421" i="1"/>
  <c r="B7420" i="1"/>
  <c r="B7419" i="1"/>
  <c r="B7418" i="1"/>
  <c r="B7417" i="1"/>
  <c r="B7416" i="1"/>
  <c r="B7414" i="1"/>
  <c r="B7413" i="1"/>
  <c r="B7412" i="1"/>
  <c r="B7411" i="1"/>
  <c r="B7410" i="1"/>
  <c r="B7409" i="1"/>
  <c r="B7408" i="1"/>
  <c r="B7415" i="1"/>
  <c r="B7459" i="1" s="1"/>
  <c r="B7406" i="1"/>
  <c r="B7401" i="1"/>
  <c r="B7400" i="1"/>
  <c r="B7399" i="1"/>
  <c r="B7398" i="1"/>
  <c r="B7397" i="1"/>
  <c r="B7396" i="1"/>
  <c r="B7395" i="1"/>
  <c r="B7394" i="1"/>
  <c r="B7407" i="1"/>
  <c r="B7405" i="1"/>
  <c r="B7391" i="1"/>
  <c r="B7390" i="1"/>
  <c r="B5781" i="1"/>
  <c r="B5780" i="1"/>
  <c r="B5783" i="1"/>
  <c r="B6220" i="1" s="1"/>
  <c r="B5786" i="1"/>
  <c r="B6114" i="1" s="1"/>
  <c r="B5785" i="1"/>
  <c r="B6222" i="1" s="1"/>
  <c r="B7496" i="1"/>
  <c r="B7634" i="1" s="1"/>
  <c r="B7528" i="1"/>
  <c r="B7666" i="1" s="1"/>
  <c r="Q809" i="1"/>
  <c r="Q810" i="1"/>
  <c r="Q664" i="1"/>
  <c r="B8654" i="1"/>
  <c r="B8653" i="1"/>
  <c r="B8652" i="1"/>
  <c r="B8651" i="1"/>
  <c r="B8650" i="1"/>
  <c r="B8649" i="1"/>
  <c r="B8648" i="1"/>
  <c r="B8647" i="1"/>
  <c r="B8646" i="1"/>
  <c r="B8645" i="1"/>
  <c r="B8644" i="1"/>
  <c r="B5443" i="1" s="1"/>
  <c r="B8616" i="1"/>
  <c r="B8615" i="1"/>
  <c r="B8614" i="1"/>
  <c r="B8613" i="1"/>
  <c r="B8612" i="1"/>
  <c r="B8598" i="1"/>
  <c r="B8597" i="1"/>
  <c r="B8596" i="1"/>
  <c r="B8595" i="1"/>
  <c r="B8594" i="1"/>
  <c r="B3081" i="1"/>
  <c r="B3080" i="1"/>
  <c r="B3079" i="1"/>
  <c r="B3078" i="1"/>
  <c r="B3077" i="1"/>
  <c r="B3076" i="1"/>
  <c r="B3075" i="1"/>
  <c r="B3074" i="1"/>
  <c r="B3073" i="1"/>
  <c r="B3186" i="1" s="1"/>
  <c r="B3391" i="1" s="1"/>
  <c r="B8604" i="1"/>
  <c r="B8603" i="1"/>
  <c r="B8602" i="1"/>
  <c r="B8601" i="1"/>
  <c r="B8600" i="1"/>
  <c r="B8558" i="1"/>
  <c r="B8557" i="1"/>
  <c r="B8556" i="1"/>
  <c r="B8555" i="1"/>
  <c r="B8554" i="1"/>
  <c r="B8553" i="1"/>
  <c r="B8552" i="1"/>
  <c r="B8551" i="1"/>
  <c r="B8550" i="1"/>
  <c r="B8549" i="1"/>
  <c r="B8572" i="1"/>
  <c r="B8571" i="1"/>
  <c r="B8570" i="1"/>
  <c r="B8569" i="1"/>
  <c r="B8568" i="1"/>
  <c r="Q764" i="1"/>
  <c r="M763" i="1"/>
  <c r="B774" i="1"/>
  <c r="B378" i="1"/>
  <c r="B121" i="1"/>
  <c r="B6545" i="1"/>
  <c r="B6554" i="1"/>
  <c r="B7736" i="1"/>
  <c r="B7598" i="1"/>
  <c r="B7597" i="1"/>
  <c r="B7735" i="1" s="1"/>
  <c r="B5812" i="1"/>
  <c r="B6140" i="1" s="1"/>
  <c r="B5811" i="1"/>
  <c r="B6139" i="1" s="1"/>
  <c r="B58" i="1"/>
  <c r="Q927" i="1"/>
  <c r="Q926" i="1"/>
  <c r="B1319" i="1"/>
  <c r="O554" i="1"/>
  <c r="B3143" i="1"/>
  <c r="B3142" i="1"/>
  <c r="B3092" i="1"/>
  <c r="B3089" i="1"/>
  <c r="B3090" i="1"/>
  <c r="B3194" i="1" s="1"/>
  <c r="B3399" i="1" s="1"/>
  <c r="B3087" i="1"/>
  <c r="B3192" i="1" s="1"/>
  <c r="B3397" i="1" s="1"/>
  <c r="B4470" i="1"/>
  <c r="B4728" i="1" s="1"/>
  <c r="B3010" i="1"/>
  <c r="Q1101" i="1"/>
  <c r="Q929" i="1"/>
  <c r="Q1097" i="1"/>
  <c r="B9268" i="1"/>
  <c r="B9648" i="1" s="1"/>
  <c r="B9242" i="1"/>
  <c r="B9434" i="1" s="1"/>
  <c r="B9241" i="1"/>
  <c r="B9240" i="1"/>
  <c r="Q194" i="1"/>
  <c r="B3835" i="1"/>
  <c r="B3831" i="1"/>
  <c r="B3867" i="1"/>
  <c r="B3866" i="1"/>
  <c r="B2344" i="1"/>
  <c r="B8662" i="1"/>
  <c r="B5808" i="1"/>
  <c r="B8525" i="1"/>
  <c r="B781" i="1"/>
  <c r="Q890" i="1"/>
  <c r="B4358" i="1"/>
  <c r="B4359" i="1"/>
  <c r="B4353" i="1"/>
  <c r="B4352" i="1"/>
  <c r="B4354" i="1"/>
  <c r="B4355" i="1"/>
  <c r="B1217" i="1"/>
  <c r="B1223" i="1"/>
  <c r="B1229" i="1"/>
  <c r="K433" i="1"/>
  <c r="B1209" i="1"/>
  <c r="B8541" i="1"/>
  <c r="B8540" i="1"/>
  <c r="B8539" i="1"/>
  <c r="B8538" i="1"/>
  <c r="B8533" i="1"/>
  <c r="B8532" i="1"/>
  <c r="B8531" i="1"/>
  <c r="B8530" i="1"/>
  <c r="B6392" i="1"/>
  <c r="B6391" i="1"/>
  <c r="B6390" i="1"/>
  <c r="B6389" i="1"/>
  <c r="B6384" i="1"/>
  <c r="B6385" i="1"/>
  <c r="B6386" i="1"/>
  <c r="B6383" i="1"/>
  <c r="B6388" i="1"/>
  <c r="B6387" i="1"/>
  <c r="B7953" i="1"/>
  <c r="B8106" i="1" s="1"/>
  <c r="B8258" i="1"/>
  <c r="B7402" i="1"/>
  <c r="B7456" i="1" s="1"/>
  <c r="B7381" i="1"/>
  <c r="B7445" i="1" s="1"/>
  <c r="B7379" i="1"/>
  <c r="B7443" i="1" s="1"/>
  <c r="B1399" i="1"/>
  <c r="B1398" i="1"/>
  <c r="B7937" i="1"/>
  <c r="B8395" i="1" s="1"/>
  <c r="B7938" i="1"/>
  <c r="B8093" i="1" s="1"/>
  <c r="B8244" i="1" s="1"/>
  <c r="B7939" i="1"/>
  <c r="B8094" i="1" s="1"/>
  <c r="B8245" i="1" s="1"/>
  <c r="B7935" i="1"/>
  <c r="B8393" i="1" s="1"/>
  <c r="B7933" i="1"/>
  <c r="B8088" i="1" s="1"/>
  <c r="B8239" i="1" s="1"/>
  <c r="B7930" i="1"/>
  <c r="B8085" i="1" s="1"/>
  <c r="B8236" i="1" s="1"/>
  <c r="B7925" i="1"/>
  <c r="B8383" i="1" s="1"/>
  <c r="B7921" i="1"/>
  <c r="B8379" i="1" s="1"/>
  <c r="B7915" i="1"/>
  <c r="B7903" i="1"/>
  <c r="B7897" i="1"/>
  <c r="B8058" i="1" s="1"/>
  <c r="B8209" i="1" s="1"/>
  <c r="B7894" i="1"/>
  <c r="B8358" i="1" s="1"/>
  <c r="B7890" i="1"/>
  <c r="B7885" i="1"/>
  <c r="B8046" i="1" s="1"/>
  <c r="B8197" i="1" s="1"/>
  <c r="B7878" i="1"/>
  <c r="B8342" i="1" s="1"/>
  <c r="B7874" i="1"/>
  <c r="B7872" i="1"/>
  <c r="B7861" i="1"/>
  <c r="B7862" i="1"/>
  <c r="B8023" i="1" s="1"/>
  <c r="B8174" i="1" s="1"/>
  <c r="B7863" i="1"/>
  <c r="B8024" i="1" s="1"/>
  <c r="B8175" i="1" s="1"/>
  <c r="B7864" i="1"/>
  <c r="B8025" i="1" s="1"/>
  <c r="B8176" i="1" s="1"/>
  <c r="B7856" i="1"/>
  <c r="B7857" i="1"/>
  <c r="B7851" i="1"/>
  <c r="B8315" i="1" s="1"/>
  <c r="B7756" i="1"/>
  <c r="B7941" i="1" s="1"/>
  <c r="B7615" i="1"/>
  <c r="B7753" i="1" s="1"/>
  <c r="B7612" i="1"/>
  <c r="B7750" i="1" s="1"/>
  <c r="B7610" i="1"/>
  <c r="B7748" i="1" s="1"/>
  <c r="B7608" i="1"/>
  <c r="B7746" i="1" s="1"/>
  <c r="B7606" i="1"/>
  <c r="B7744" i="1" s="1"/>
  <c r="B7601" i="1"/>
  <c r="B7739" i="1" s="1"/>
  <c r="B7602" i="1"/>
  <c r="B7740" i="1" s="1"/>
  <c r="B7599" i="1"/>
  <c r="B7737" i="1" s="1"/>
  <c r="B7592" i="1"/>
  <c r="B7730" i="1" s="1"/>
  <c r="B7593" i="1"/>
  <c r="B7731" i="1" s="1"/>
  <c r="B7594" i="1"/>
  <c r="B7732" i="1" s="1"/>
  <c r="B7595" i="1"/>
  <c r="B7733" i="1" s="1"/>
  <c r="B7589" i="1"/>
  <c r="B7727" i="1" s="1"/>
  <c r="B7587" i="1"/>
  <c r="B7725" i="1" s="1"/>
  <c r="B7582" i="1"/>
  <c r="B7720" i="1" s="1"/>
  <c r="B7583" i="1"/>
  <c r="B7721" i="1" s="1"/>
  <c r="B7580" i="1"/>
  <c r="B7718" i="1" s="1"/>
  <c r="B7574" i="1"/>
  <c r="B7712" i="1" s="1"/>
  <c r="B7575" i="1"/>
  <c r="B7713" i="1" s="1"/>
  <c r="B7576" i="1"/>
  <c r="B7714" i="1" s="1"/>
  <c r="B7577" i="1"/>
  <c r="B7715" i="1" s="1"/>
  <c r="B7578" i="1"/>
  <c r="B7716" i="1" s="1"/>
  <c r="B7570" i="1"/>
  <c r="B7708" i="1" s="1"/>
  <c r="B7571" i="1"/>
  <c r="B7709" i="1" s="1"/>
  <c r="B7572" i="1"/>
  <c r="B7710" i="1" s="1"/>
  <c r="B7435" i="1"/>
  <c r="B7473" i="1" s="1"/>
  <c r="B7436" i="1"/>
  <c r="B7474" i="1" s="1"/>
  <c r="B7437" i="1"/>
  <c r="B7475" i="1" s="1"/>
  <c r="B7438" i="1"/>
  <c r="B7476" i="1" s="1"/>
  <c r="B7439" i="1"/>
  <c r="B7477" i="1" s="1"/>
  <c r="B7422" i="1"/>
  <c r="B7460" i="1" s="1"/>
  <c r="B7423" i="1"/>
  <c r="B7461" i="1" s="1"/>
  <c r="B7424" i="1"/>
  <c r="B7462" i="1" s="1"/>
  <c r="B7425" i="1"/>
  <c r="B7463" i="1" s="1"/>
  <c r="B7426" i="1"/>
  <c r="B7464" i="1" s="1"/>
  <c r="B7427" i="1"/>
  <c r="B7465" i="1" s="1"/>
  <c r="B7428" i="1"/>
  <c r="B7466" i="1" s="1"/>
  <c r="B7429" i="1"/>
  <c r="B7467" i="1" s="1"/>
  <c r="B7430" i="1"/>
  <c r="B7468" i="1" s="1"/>
  <c r="B7431" i="1"/>
  <c r="B7469" i="1" s="1"/>
  <c r="B7432" i="1"/>
  <c r="B7470" i="1" s="1"/>
  <c r="B7433" i="1"/>
  <c r="B7471" i="1" s="1"/>
  <c r="B7434" i="1"/>
  <c r="B7472" i="1" s="1"/>
  <c r="B7404" i="1"/>
  <c r="B7458" i="1" s="1"/>
  <c r="B7388" i="1"/>
  <c r="B7452" i="1" s="1"/>
  <c r="B7385" i="1"/>
  <c r="B7449" i="1" s="1"/>
  <c r="B7380" i="1"/>
  <c r="B7444" i="1" s="1"/>
  <c r="B7373" i="1"/>
  <c r="B7441" i="1" s="1"/>
  <c r="B7368" i="1"/>
  <c r="B7369" i="1"/>
  <c r="B7370" i="1"/>
  <c r="B7360" i="1"/>
  <c r="B7365" i="1" s="1"/>
  <c r="B7356" i="1"/>
  <c r="B7349" i="1"/>
  <c r="B7350" i="1"/>
  <c r="B7351" i="1"/>
  <c r="B7352" i="1"/>
  <c r="B7353" i="1"/>
  <c r="B7354" i="1"/>
  <c r="B7355" i="1"/>
  <c r="B7343" i="1"/>
  <c r="B7344" i="1"/>
  <c r="B7345" i="1"/>
  <c r="B7346" i="1"/>
  <c r="B7347" i="1"/>
  <c r="B7340" i="1"/>
  <c r="B7341" i="1"/>
  <c r="B7338" i="1"/>
  <c r="B7339" i="1"/>
  <c r="B7333" i="1"/>
  <c r="B7334" i="1"/>
  <c r="B7335" i="1"/>
  <c r="B7336" i="1"/>
  <c r="B7337" i="1"/>
  <c r="B7329" i="1"/>
  <c r="B7320" i="1"/>
  <c r="B7318" i="1"/>
  <c r="B7317" i="1"/>
  <c r="B6703" i="1"/>
  <c r="B7200" i="1" s="1"/>
  <c r="B6700" i="1"/>
  <c r="B7312" i="1" s="1"/>
  <c r="B6701" i="1"/>
  <c r="B7085" i="1" s="1"/>
  <c r="B6697" i="1"/>
  <c r="B7309" i="1" s="1"/>
  <c r="B6687" i="1"/>
  <c r="B6824" i="1" s="1"/>
  <c r="B6688" i="1"/>
  <c r="B7298" i="1" s="1"/>
  <c r="B6689" i="1"/>
  <c r="B7299" i="1" s="1"/>
  <c r="B6685" i="1"/>
  <c r="B7069" i="1" s="1"/>
  <c r="B6684" i="1"/>
  <c r="B7179" i="1" s="1"/>
  <c r="B6681" i="1"/>
  <c r="B7176" i="1" s="1"/>
  <c r="B6682" i="1"/>
  <c r="B7177" i="1" s="1"/>
  <c r="B6683" i="1"/>
  <c r="B7178" i="1" s="1"/>
  <c r="B6678" i="1"/>
  <c r="B7286" i="1" s="1"/>
  <c r="B6671" i="1"/>
  <c r="B7279" i="1" s="1"/>
  <c r="B6672" i="1"/>
  <c r="B7280" i="1" s="1"/>
  <c r="B6673" i="1"/>
  <c r="B6947" i="1" s="1"/>
  <c r="B6674" i="1"/>
  <c r="B7282" i="1" s="1"/>
  <c r="B6666" i="1"/>
  <c r="B7274" i="1" s="1"/>
  <c r="B6664" i="1"/>
  <c r="B7272" i="1" s="1"/>
  <c r="B6662" i="1"/>
  <c r="B7046" i="1" s="1"/>
  <c r="B6663" i="1"/>
  <c r="B7047" i="1" s="1"/>
  <c r="B6660" i="1"/>
  <c r="B6655" i="1"/>
  <c r="B6656" i="1"/>
  <c r="B6657" i="1"/>
  <c r="B6647" i="1"/>
  <c r="B6648" i="1"/>
  <c r="B6645" i="1"/>
  <c r="B6639" i="1"/>
  <c r="B6636" i="1"/>
  <c r="B6633" i="1"/>
  <c r="B7043" i="1" s="1"/>
  <c r="B6631" i="1"/>
  <c r="B7152" i="1" s="1"/>
  <c r="B6623" i="1"/>
  <c r="B7257" i="1" s="1"/>
  <c r="B6613" i="1"/>
  <c r="B7247" i="1" s="1"/>
  <c r="B6610" i="1"/>
  <c r="B7244" i="1" s="1"/>
  <c r="B6607" i="1"/>
  <c r="B7128" i="1" s="1"/>
  <c r="B6604" i="1"/>
  <c r="B7125" i="1" s="1"/>
  <c r="B6600" i="1"/>
  <c r="B7121" i="1" s="1"/>
  <c r="B6598" i="1"/>
  <c r="B6741" i="1" s="1"/>
  <c r="B6594" i="1"/>
  <c r="B6874" i="1" s="1"/>
  <c r="B6590" i="1"/>
  <c r="B7224" i="1" s="1"/>
  <c r="B6591" i="1"/>
  <c r="B7112" i="1" s="1"/>
  <c r="B6587" i="1"/>
  <c r="B7221" i="1" s="1"/>
  <c r="B6586" i="1"/>
  <c r="B7220" i="1" s="1"/>
  <c r="B6580" i="1"/>
  <c r="B7101" i="1" s="1"/>
  <c r="B6571" i="1"/>
  <c r="B7092" i="1" s="1"/>
  <c r="B6572" i="1"/>
  <c r="B6982" i="1" s="1"/>
  <c r="B6567" i="1"/>
  <c r="B6558" i="1"/>
  <c r="B7202" i="1" s="1"/>
  <c r="B6555" i="1"/>
  <c r="B6550" i="1"/>
  <c r="B6551" i="1"/>
  <c r="B6552" i="1"/>
  <c r="B6546" i="1"/>
  <c r="B6547" i="1"/>
  <c r="B6548" i="1"/>
  <c r="B6543" i="1"/>
  <c r="B6541" i="1"/>
  <c r="B6532" i="1"/>
  <c r="B6533" i="1"/>
  <c r="B6534" i="1"/>
  <c r="B6535" i="1"/>
  <c r="B6536" i="1"/>
  <c r="B6527" i="1"/>
  <c r="B6437" i="1"/>
  <c r="B6484" i="1" s="1"/>
  <c r="B6438" i="1"/>
  <c r="B6525" i="1" s="1"/>
  <c r="B6433" i="1"/>
  <c r="B6480" i="1" s="1"/>
  <c r="B6418" i="1"/>
  <c r="B6465" i="1" s="1"/>
  <c r="B6421" i="1"/>
  <c r="B6508" i="1" s="1"/>
  <c r="B6422" i="1"/>
  <c r="B6509" i="1" s="1"/>
  <c r="B6419" i="1"/>
  <c r="B6466" i="1" s="1"/>
  <c r="B6406" i="1"/>
  <c r="B6461" i="1" s="1"/>
  <c r="B6407" i="1"/>
  <c r="B6462" i="1" s="1"/>
  <c r="B6404" i="1"/>
  <c r="B6459" i="1" s="1"/>
  <c r="B6402" i="1"/>
  <c r="B6497" i="1" s="1"/>
  <c r="B4285" i="1"/>
  <c r="B4286" i="1"/>
  <c r="B4283" i="1"/>
  <c r="B4280" i="1"/>
  <c r="B4274" i="1"/>
  <c r="B4275" i="1"/>
  <c r="B4276" i="1"/>
  <c r="B4272" i="1"/>
  <c r="B4268" i="1"/>
  <c r="B4269" i="1"/>
  <c r="B4270" i="1"/>
  <c r="B4266" i="1"/>
  <c r="B4264" i="1"/>
  <c r="B4251" i="1"/>
  <c r="B4250" i="1"/>
  <c r="B4247" i="1"/>
  <c r="B1794" i="1"/>
  <c r="B6400" i="1"/>
  <c r="B6455" i="1" s="1"/>
  <c r="B6378" i="1"/>
  <c r="B6379" i="1"/>
  <c r="B6375" i="1"/>
  <c r="B6374" i="1"/>
  <c r="B6364" i="1"/>
  <c r="B6360" i="1"/>
  <c r="B6354" i="1"/>
  <c r="B6348" i="1"/>
  <c r="B6329" i="1"/>
  <c r="B6325" i="1"/>
  <c r="B6326" i="1"/>
  <c r="B6327" i="1"/>
  <c r="B6317" i="1"/>
  <c r="B6312" i="1"/>
  <c r="B6297" i="1"/>
  <c r="B6284" i="1"/>
  <c r="B6285" i="1"/>
  <c r="B5788" i="1"/>
  <c r="B6225" i="1" s="1"/>
  <c r="B5866" i="1"/>
  <c r="B6280" i="1" s="1"/>
  <c r="B5867" i="1"/>
  <c r="B6281" i="1" s="1"/>
  <c r="B5864" i="1"/>
  <c r="B6184" i="1" s="1"/>
  <c r="B5862" i="1"/>
  <c r="B6182" i="1" s="1"/>
  <c r="B5859" i="1"/>
  <c r="B6179" i="1" s="1"/>
  <c r="B5856" i="1"/>
  <c r="B6176" i="1" s="1"/>
  <c r="B5851" i="1"/>
  <c r="B5852" i="1"/>
  <c r="B5853" i="1"/>
  <c r="B5854" i="1"/>
  <c r="B5849" i="1"/>
  <c r="B5847" i="1"/>
  <c r="B5846" i="1"/>
  <c r="B6174" i="1" s="1"/>
  <c r="B5844" i="1"/>
  <c r="B6272" i="1" s="1"/>
  <c r="B5840" i="1"/>
  <c r="B6268" i="1" s="1"/>
  <c r="B5841" i="1"/>
  <c r="B6169" i="1" s="1"/>
  <c r="B5842" i="1"/>
  <c r="B6270" i="1" s="1"/>
  <c r="B5834" i="1"/>
  <c r="B6162" i="1" s="1"/>
  <c r="B5835" i="1"/>
  <c r="B6163" i="1" s="1"/>
  <c r="B5836" i="1"/>
  <c r="B6164" i="1" s="1"/>
  <c r="B5830" i="1"/>
  <c r="B6158" i="1" s="1"/>
  <c r="B5831" i="1"/>
  <c r="B6159" i="1" s="1"/>
  <c r="B5832" i="1"/>
  <c r="B6160" i="1" s="1"/>
  <c r="B5827" i="1"/>
  <c r="B6155" i="1" s="1"/>
  <c r="B5828" i="1"/>
  <c r="B6156" i="1" s="1"/>
  <c r="B5824" i="1"/>
  <c r="B6152" i="1" s="1"/>
  <c r="B5825" i="1"/>
  <c r="B6253" i="1" s="1"/>
  <c r="B5826" i="1"/>
  <c r="B6154" i="1" s="1"/>
  <c r="B5820" i="1"/>
  <c r="B6148" i="1" s="1"/>
  <c r="B5815" i="1"/>
  <c r="B6143" i="1" s="1"/>
  <c r="B5816" i="1"/>
  <c r="B6144" i="1" s="1"/>
  <c r="B5806" i="1"/>
  <c r="B6134" i="1" s="1"/>
  <c r="B5807" i="1"/>
  <c r="B6135" i="1" s="1"/>
  <c r="B5794" i="1"/>
  <c r="B6122" i="1" s="1"/>
  <c r="B5787" i="1"/>
  <c r="B6224" i="1" s="1"/>
  <c r="B7840" i="1"/>
  <c r="B7843" i="1"/>
  <c r="B7822" i="1"/>
  <c r="B7992" i="1" s="1"/>
  <c r="B8145" i="1" s="1"/>
  <c r="B7813" i="1"/>
  <c r="B8291" i="1" s="1"/>
  <c r="B7812" i="1"/>
  <c r="B8290" i="1" s="1"/>
  <c r="B7802" i="1"/>
  <c r="B7796" i="1"/>
  <c r="B7972" i="1" s="1"/>
  <c r="B8125" i="1" s="1"/>
  <c r="B7794" i="1"/>
  <c r="B8275" i="1" s="1"/>
  <c r="B7793" i="1"/>
  <c r="B8274" i="1" s="1"/>
  <c r="B7790" i="1"/>
  <c r="B7966" i="1" s="1"/>
  <c r="B8119" i="1" s="1"/>
  <c r="B7788" i="1"/>
  <c r="B7783" i="1"/>
  <c r="B7784" i="1"/>
  <c r="B8265" i="1" s="1"/>
  <c r="B7779" i="1"/>
  <c r="B7781" i="1"/>
  <c r="B8263" i="1" s="1"/>
  <c r="B7775" i="1"/>
  <c r="B7777" i="1"/>
  <c r="B7956" i="1" s="1"/>
  <c r="B8109" i="1" s="1"/>
  <c r="B7768" i="1"/>
  <c r="B7769" i="1"/>
  <c r="B7766" i="1"/>
  <c r="B7948" i="1" s="1"/>
  <c r="B8101" i="1" s="1"/>
  <c r="B7761" i="1"/>
  <c r="B7759" i="1"/>
  <c r="B5778" i="1"/>
  <c r="B6108" i="1" s="1"/>
  <c r="B5776" i="1"/>
  <c r="B6106" i="1" s="1"/>
  <c r="B5772" i="1"/>
  <c r="B6102" i="1" s="1"/>
  <c r="B5770" i="1"/>
  <c r="B6100" i="1" s="1"/>
  <c r="B5771" i="1"/>
  <c r="B6210" i="1" s="1"/>
  <c r="B5766" i="1"/>
  <c r="B6096" i="1" s="1"/>
  <c r="B5765" i="1"/>
  <c r="B6095" i="1" s="1"/>
  <c r="B5757" i="1"/>
  <c r="B6196" i="1" s="1"/>
  <c r="B5758" i="1"/>
  <c r="B6088" i="1" s="1"/>
  <c r="B5759" i="1"/>
  <c r="B6198" i="1" s="1"/>
  <c r="B5750" i="1"/>
  <c r="B6080" i="1" s="1"/>
  <c r="B5751" i="1"/>
  <c r="B6081" i="1" s="1"/>
  <c r="B5752" i="1"/>
  <c r="B6082" i="1" s="1"/>
  <c r="B5748" i="1"/>
  <c r="B6078" i="1" s="1"/>
  <c r="B4056" i="1"/>
  <c r="B4088" i="1" s="1"/>
  <c r="B4153" i="1" s="1"/>
  <c r="B4041" i="1"/>
  <c r="B4074" i="1" s="1"/>
  <c r="B4139" i="1" s="1"/>
  <c r="B4042" i="1"/>
  <c r="B4075" i="1" s="1"/>
  <c r="B4140" i="1" s="1"/>
  <c r="B3937" i="1"/>
  <c r="B3967" i="1" s="1"/>
  <c r="B4026" i="1" s="1"/>
  <c r="B3925" i="1"/>
  <c r="B3955" i="1" s="1"/>
  <c r="B4014" i="1" s="1"/>
  <c r="B3134" i="1"/>
  <c r="B3237" i="1" s="1"/>
  <c r="B3442" i="1" s="1"/>
  <c r="B3135" i="1"/>
  <c r="B3238" i="1" s="1"/>
  <c r="B3443" i="1" s="1"/>
  <c r="B3136" i="1"/>
  <c r="B3239" i="1" s="1"/>
  <c r="B3444" i="1" s="1"/>
  <c r="B3137" i="1"/>
  <c r="B3344" i="1" s="1"/>
  <c r="B3138" i="1"/>
  <c r="B3345" i="1" s="1"/>
  <c r="B3139" i="1"/>
  <c r="B3346" i="1" s="1"/>
  <c r="B3140" i="1"/>
  <c r="B3243" i="1" s="1"/>
  <c r="B3448" i="1" s="1"/>
  <c r="B3132" i="1"/>
  <c r="B3235" i="1" s="1"/>
  <c r="B3440" i="1" s="1"/>
  <c r="B3102" i="1"/>
  <c r="B3205" i="1" s="1"/>
  <c r="B3410" i="1" s="1"/>
  <c r="B3103" i="1"/>
  <c r="B3206" i="1" s="1"/>
  <c r="B3411" i="1" s="1"/>
  <c r="B3104" i="1"/>
  <c r="B3207" i="1" s="1"/>
  <c r="B3412" i="1" s="1"/>
  <c r="B3105" i="1"/>
  <c r="B3208" i="1" s="1"/>
  <c r="B3413" i="1" s="1"/>
  <c r="B3106" i="1"/>
  <c r="B3209" i="1" s="1"/>
  <c r="B3414" i="1" s="1"/>
  <c r="B3107" i="1"/>
  <c r="B3210" i="1" s="1"/>
  <c r="B3415" i="1" s="1"/>
  <c r="B3108" i="1"/>
  <c r="B3211" i="1" s="1"/>
  <c r="B3416" i="1" s="1"/>
  <c r="B3109" i="1"/>
  <c r="B3316" i="1" s="1"/>
  <c r="B3110" i="1"/>
  <c r="B3213" i="1" s="1"/>
  <c r="B3418" i="1" s="1"/>
  <c r="B3111" i="1"/>
  <c r="B3214" i="1" s="1"/>
  <c r="B3419" i="1" s="1"/>
  <c r="B3112" i="1"/>
  <c r="B3113" i="1"/>
  <c r="B3114" i="1"/>
  <c r="B3217" i="1" s="1"/>
  <c r="B3422" i="1" s="1"/>
  <c r="B3115" i="1"/>
  <c r="B3218" i="1" s="1"/>
  <c r="B3423" i="1" s="1"/>
  <c r="B3116" i="1"/>
  <c r="B3219" i="1" s="1"/>
  <c r="B3424" i="1" s="1"/>
  <c r="B3117" i="1"/>
  <c r="B3220" i="1" s="1"/>
  <c r="B3425" i="1" s="1"/>
  <c r="B3118" i="1"/>
  <c r="B3221" i="1" s="1"/>
  <c r="B3426" i="1" s="1"/>
  <c r="B3119" i="1"/>
  <c r="B3222" i="1" s="1"/>
  <c r="B3427" i="1" s="1"/>
  <c r="B3120" i="1"/>
  <c r="B3327" i="1" s="1"/>
  <c r="B3121" i="1"/>
  <c r="B3328" i="1" s="1"/>
  <c r="B3122" i="1"/>
  <c r="B3225" i="1" s="1"/>
  <c r="B3430" i="1" s="1"/>
  <c r="B3123" i="1"/>
  <c r="B3226" i="1" s="1"/>
  <c r="B3431" i="1" s="1"/>
  <c r="B3124" i="1"/>
  <c r="B3227" i="1" s="1"/>
  <c r="B3432" i="1" s="1"/>
  <c r="B3125" i="1"/>
  <c r="B3228" i="1" s="1"/>
  <c r="B3433" i="1" s="1"/>
  <c r="B3126" i="1"/>
  <c r="B3229" i="1" s="1"/>
  <c r="B3434" i="1" s="1"/>
  <c r="B3127" i="1"/>
  <c r="B3230" i="1" s="1"/>
  <c r="B3435" i="1" s="1"/>
  <c r="B3128" i="1"/>
  <c r="B3231" i="1" s="1"/>
  <c r="B3436" i="1" s="1"/>
  <c r="B3129" i="1"/>
  <c r="B3232" i="1" s="1"/>
  <c r="B3437" i="1" s="1"/>
  <c r="B3130" i="1"/>
  <c r="B3233" i="1" s="1"/>
  <c r="B3438" i="1" s="1"/>
  <c r="B3131" i="1"/>
  <c r="B3234" i="1" s="1"/>
  <c r="B3439" i="1" s="1"/>
  <c r="B3097" i="1"/>
  <c r="B3200" i="1" s="1"/>
  <c r="B3405" i="1" s="1"/>
  <c r="B3098" i="1"/>
  <c r="B3201" i="1" s="1"/>
  <c r="B3406" i="1" s="1"/>
  <c r="B3099" i="1"/>
  <c r="B3202" i="1" s="1"/>
  <c r="B3407" i="1" s="1"/>
  <c r="B3100" i="1"/>
  <c r="B3203" i="1" s="1"/>
  <c r="B3408" i="1" s="1"/>
  <c r="B3091" i="1"/>
  <c r="B3299" i="1" s="1"/>
  <c r="B3093" i="1"/>
  <c r="B3196" i="1" s="1"/>
  <c r="B3401" i="1" s="1"/>
  <c r="B3094" i="1"/>
  <c r="B3197" i="1" s="1"/>
  <c r="B3402" i="1" s="1"/>
  <c r="B3085" i="1"/>
  <c r="B3190" i="1" s="1"/>
  <c r="B3395" i="1" s="1"/>
  <c r="B3082" i="1"/>
  <c r="B3291" i="1" s="1"/>
  <c r="B3083" i="1"/>
  <c r="B3188" i="1" s="1"/>
  <c r="B3393" i="1" s="1"/>
  <c r="B3061" i="1"/>
  <c r="B3182" i="1" s="1"/>
  <c r="B3387" i="1" s="1"/>
  <c r="B3062" i="1"/>
  <c r="B3183" i="1" s="1"/>
  <c r="B3388" i="1" s="1"/>
  <c r="B3063" i="1"/>
  <c r="B3288" i="1" s="1"/>
  <c r="B3046" i="1"/>
  <c r="B3271" i="1" s="1"/>
  <c r="B3047" i="1"/>
  <c r="B3272" i="1" s="1"/>
  <c r="B3048" i="1"/>
  <c r="B3273" i="1" s="1"/>
  <c r="B3049" i="1"/>
  <c r="B3274" i="1" s="1"/>
  <c r="B3050" i="1"/>
  <c r="B3275" i="1" s="1"/>
  <c r="B3051" i="1"/>
  <c r="B3172" i="1" s="1"/>
  <c r="B3377" i="1" s="1"/>
  <c r="B3052" i="1"/>
  <c r="B3173" i="1" s="1"/>
  <c r="B3378" i="1" s="1"/>
  <c r="B3053" i="1"/>
  <c r="B3278" i="1" s="1"/>
  <c r="B3054" i="1"/>
  <c r="B3279" i="1" s="1"/>
  <c r="B3055" i="1"/>
  <c r="B3176" i="1" s="1"/>
  <c r="B3381" i="1" s="1"/>
  <c r="B3056" i="1"/>
  <c r="B3177" i="1" s="1"/>
  <c r="B3382" i="1" s="1"/>
  <c r="B3057" i="1"/>
  <c r="B3178" i="1" s="1"/>
  <c r="B3383" i="1" s="1"/>
  <c r="B3058" i="1"/>
  <c r="B3283" i="1" s="1"/>
  <c r="B3059" i="1"/>
  <c r="B3180" i="1" s="1"/>
  <c r="B3385" i="1" s="1"/>
  <c r="B3060" i="1"/>
  <c r="B3285" i="1" s="1"/>
  <c r="B3040" i="1"/>
  <c r="B3041" i="1"/>
  <c r="B3042" i="1"/>
  <c r="B3043" i="1"/>
  <c r="B3164" i="1" s="1"/>
  <c r="B3369" i="1" s="1"/>
  <c r="B3044" i="1"/>
  <c r="B3165" i="1" s="1"/>
  <c r="B3370" i="1" s="1"/>
  <c r="B3045" i="1"/>
  <c r="B3166" i="1" s="1"/>
  <c r="B3371" i="1" s="1"/>
  <c r="B3036" i="1"/>
  <c r="B3160" i="1" s="1"/>
  <c r="B3365" i="1" s="1"/>
  <c r="B3038" i="1"/>
  <c r="B3162" i="1" s="1"/>
  <c r="B3367" i="1" s="1"/>
  <c r="B3030" i="1"/>
  <c r="B3154" i="1" s="1"/>
  <c r="B3359" i="1" s="1"/>
  <c r="B3031" i="1"/>
  <c r="B3256" i="1" s="1"/>
  <c r="B3032" i="1"/>
  <c r="B3156" i="1" s="1"/>
  <c r="B3361" i="1" s="1"/>
  <c r="B3023" i="1"/>
  <c r="B3248" i="1" s="1"/>
  <c r="B3021" i="1"/>
  <c r="B3145" i="1" s="1"/>
  <c r="B3350" i="1" s="1"/>
  <c r="B3024" i="1"/>
  <c r="B3148" i="1" s="1"/>
  <c r="B3353" i="1" s="1"/>
  <c r="B3025" i="1"/>
  <c r="B3250" i="1" s="1"/>
  <c r="B3026" i="1"/>
  <c r="B3150" i="1" s="1"/>
  <c r="B3355" i="1" s="1"/>
  <c r="B3022" i="1"/>
  <c r="B3146" i="1" s="1"/>
  <c r="B3351" i="1" s="1"/>
  <c r="B3027" i="1"/>
  <c r="B3151" i="1" s="1"/>
  <c r="B3356" i="1" s="1"/>
  <c r="B3028" i="1"/>
  <c r="B3253" i="1" s="1"/>
  <c r="B4372" i="1"/>
  <c r="B4631" i="1" s="1"/>
  <c r="B4373" i="1"/>
  <c r="B4632" i="1" s="1"/>
  <c r="B4374" i="1"/>
  <c r="B4633" i="1" s="1"/>
  <c r="B4375" i="1"/>
  <c r="B4634" i="1" s="1"/>
  <c r="B4376" i="1"/>
  <c r="B4635" i="1" s="1"/>
  <c r="B4377" i="1"/>
  <c r="B4636" i="1" s="1"/>
  <c r="B4378" i="1"/>
  <c r="B4637" i="1" s="1"/>
  <c r="B4379" i="1"/>
  <c r="B4638" i="1" s="1"/>
  <c r="B4380" i="1"/>
  <c r="B4639" i="1" s="1"/>
  <c r="B4381" i="1"/>
  <c r="B4640" i="1" s="1"/>
  <c r="B4382" i="1"/>
  <c r="B4641" i="1" s="1"/>
  <c r="B4383" i="1"/>
  <c r="B4642" i="1" s="1"/>
  <c r="B4384" i="1"/>
  <c r="B4643" i="1" s="1"/>
  <c r="B4385" i="1"/>
  <c r="B4644" i="1" s="1"/>
  <c r="B4386" i="1"/>
  <c r="B4645" i="1" s="1"/>
  <c r="B4387" i="1"/>
  <c r="B4646" i="1" s="1"/>
  <c r="B4388" i="1"/>
  <c r="B4647" i="1" s="1"/>
  <c r="B4389" i="1"/>
  <c r="B4648" i="1" s="1"/>
  <c r="B4390" i="1"/>
  <c r="B4551" i="1" s="1"/>
  <c r="B4809" i="1" s="1"/>
  <c r="B4391" i="1"/>
  <c r="B4650" i="1" s="1"/>
  <c r="B4392" i="1"/>
  <c r="B4651" i="1" s="1"/>
  <c r="B4393" i="1"/>
  <c r="B4652" i="1" s="1"/>
  <c r="B4394" i="1"/>
  <c r="B4653" i="1" s="1"/>
  <c r="B4395" i="1"/>
  <c r="B4555" i="1" s="1"/>
  <c r="B4813" i="1" s="1"/>
  <c r="B4396" i="1"/>
  <c r="B4556" i="1" s="1"/>
  <c r="B4814" i="1" s="1"/>
  <c r="B4397" i="1"/>
  <c r="B4557" i="1" s="1"/>
  <c r="B4815" i="1" s="1"/>
  <c r="B4398" i="1"/>
  <c r="B4558" i="1" s="1"/>
  <c r="B4816" i="1" s="1"/>
  <c r="B4399" i="1"/>
  <c r="B4658" i="1" s="1"/>
  <c r="B4400" i="1"/>
  <c r="B4659" i="1" s="1"/>
  <c r="B4401" i="1"/>
  <c r="B4660" i="1" s="1"/>
  <c r="B4402" i="1"/>
  <c r="B4661" i="1" s="1"/>
  <c r="B4403" i="1"/>
  <c r="B4662" i="1" s="1"/>
  <c r="B4404" i="1"/>
  <c r="B4663" i="1" s="1"/>
  <c r="B4405" i="1"/>
  <c r="B4664" i="1" s="1"/>
  <c r="B4406" i="1"/>
  <c r="B4665" i="1" s="1"/>
  <c r="B4407" i="1"/>
  <c r="B4666" i="1" s="1"/>
  <c r="B4408" i="1"/>
  <c r="B4667" i="1" s="1"/>
  <c r="B4409" i="1"/>
  <c r="B4567" i="1" s="1"/>
  <c r="B4825" i="1" s="1"/>
  <c r="B4410" i="1"/>
  <c r="B4568" i="1" s="1"/>
  <c r="B4826" i="1" s="1"/>
  <c r="B4411" i="1"/>
  <c r="B4670" i="1" s="1"/>
  <c r="B4412" i="1"/>
  <c r="B4570" i="1" s="1"/>
  <c r="B4828" i="1" s="1"/>
  <c r="B4413" i="1"/>
  <c r="B4672" i="1" s="1"/>
  <c r="B4414" i="1"/>
  <c r="B4673" i="1" s="1"/>
  <c r="B4415" i="1"/>
  <c r="B4674" i="1" s="1"/>
  <c r="B4416" i="1"/>
  <c r="B4675" i="1" s="1"/>
  <c r="B4417" i="1"/>
  <c r="B4676" i="1" s="1"/>
  <c r="B4418" i="1"/>
  <c r="B4677" i="1" s="1"/>
  <c r="B4419" i="1"/>
  <c r="B4678" i="1" s="1"/>
  <c r="B4420" i="1"/>
  <c r="B4679" i="1" s="1"/>
  <c r="B4421" i="1"/>
  <c r="B4680" i="1" s="1"/>
  <c r="B4422" i="1"/>
  <c r="B4681" i="1" s="1"/>
  <c r="B4423" i="1"/>
  <c r="B4682" i="1" s="1"/>
  <c r="B4424" i="1"/>
  <c r="B4683" i="1" s="1"/>
  <c r="B4425" i="1"/>
  <c r="B4684" i="1" s="1"/>
  <c r="B4426" i="1"/>
  <c r="B4685" i="1" s="1"/>
  <c r="B4427" i="1"/>
  <c r="B4686" i="1" s="1"/>
  <c r="B4428" i="1"/>
  <c r="B4687" i="1" s="1"/>
  <c r="B4429" i="1"/>
  <c r="B4688" i="1" s="1"/>
  <c r="B4430" i="1"/>
  <c r="B4689" i="1" s="1"/>
  <c r="B4431" i="1"/>
  <c r="B4690" i="1" s="1"/>
  <c r="B4432" i="1"/>
  <c r="B4691" i="1" s="1"/>
  <c r="B4433" i="1"/>
  <c r="B4692" i="1" s="1"/>
  <c r="B4434" i="1"/>
  <c r="B4693" i="1" s="1"/>
  <c r="B4435" i="1"/>
  <c r="B4694" i="1" s="1"/>
  <c r="B4436" i="1"/>
  <c r="B4695" i="1" s="1"/>
  <c r="B4437" i="1"/>
  <c r="B4696" i="1" s="1"/>
  <c r="B4438" i="1"/>
  <c r="B4697" i="1" s="1"/>
  <c r="B4439" i="1"/>
  <c r="B4698" i="1" s="1"/>
  <c r="B4440" i="1"/>
  <c r="B4699" i="1" s="1"/>
  <c r="B4441" i="1"/>
  <c r="B4599" i="1" s="1"/>
  <c r="B4857" i="1" s="1"/>
  <c r="B4442" i="1"/>
  <c r="B4701" i="1" s="1"/>
  <c r="B4443" i="1"/>
  <c r="B4702" i="1" s="1"/>
  <c r="B4444" i="1"/>
  <c r="B4602" i="1" s="1"/>
  <c r="B4860" i="1" s="1"/>
  <c r="B4445" i="1"/>
  <c r="B4704" i="1" s="1"/>
  <c r="B4446" i="1"/>
  <c r="B4617" i="1" s="1"/>
  <c r="B4447" i="1"/>
  <c r="B4705" i="1" s="1"/>
  <c r="B4448" i="1"/>
  <c r="B4706" i="1" s="1"/>
  <c r="B4449" i="1"/>
  <c r="B4707" i="1" s="1"/>
  <c r="B4450" i="1"/>
  <c r="B4708" i="1" s="1"/>
  <c r="B4451" i="1"/>
  <c r="B4709" i="1" s="1"/>
  <c r="B4452" i="1"/>
  <c r="B4710" i="1" s="1"/>
  <c r="B4453" i="1"/>
  <c r="B4711" i="1" s="1"/>
  <c r="B4454" i="1"/>
  <c r="B4712" i="1" s="1"/>
  <c r="B4455" i="1"/>
  <c r="B4713" i="1" s="1"/>
  <c r="B4456" i="1"/>
  <c r="B4714" i="1" s="1"/>
  <c r="B4457" i="1"/>
  <c r="B4615" i="1" s="1"/>
  <c r="B4873" i="1" s="1"/>
  <c r="B4458" i="1"/>
  <c r="B4616" i="1" s="1"/>
  <c r="B4874" i="1" s="1"/>
  <c r="B4459" i="1"/>
  <c r="B4717" i="1" s="1"/>
  <c r="B4460" i="1"/>
  <c r="B4718" i="1" s="1"/>
  <c r="B4461" i="1"/>
  <c r="B4719" i="1" s="1"/>
  <c r="B4462" i="1"/>
  <c r="B4621" i="1" s="1"/>
  <c r="B4878" i="1" s="1"/>
  <c r="B4463" i="1"/>
  <c r="B4721" i="1" s="1"/>
  <c r="B4464" i="1"/>
  <c r="B4722" i="1" s="1"/>
  <c r="B4465" i="1"/>
  <c r="B4723" i="1" s="1"/>
  <c r="B4466" i="1"/>
  <c r="B4724" i="1" s="1"/>
  <c r="B4467" i="1"/>
  <c r="B4725" i="1" s="1"/>
  <c r="B4468" i="1"/>
  <c r="B4726" i="1" s="1"/>
  <c r="B4469" i="1"/>
  <c r="B4727" i="1" s="1"/>
  <c r="B4471" i="1"/>
  <c r="B4729" i="1" s="1"/>
  <c r="B4472" i="1"/>
  <c r="B10098" i="1" s="1"/>
  <c r="B4473" i="1"/>
  <c r="B4731" i="1" s="1"/>
  <c r="B4474" i="1"/>
  <c r="B4732" i="1" s="1"/>
  <c r="B4475" i="1"/>
  <c r="B4733" i="1" s="1"/>
  <c r="B4476" i="1"/>
  <c r="B4734" i="1" s="1"/>
  <c r="B4477" i="1"/>
  <c r="B4735" i="1" s="1"/>
  <c r="B4478" i="1"/>
  <c r="B4736" i="1" s="1"/>
  <c r="B4479" i="1"/>
  <c r="B4737" i="1" s="1"/>
  <c r="B4480" i="1"/>
  <c r="B4738" i="1" s="1"/>
  <c r="B4481" i="1"/>
  <c r="B4739" i="1" s="1"/>
  <c r="B4482" i="1"/>
  <c r="B4740" i="1" s="1"/>
  <c r="B4483" i="1"/>
  <c r="B4741" i="1" s="1"/>
  <c r="B4484" i="1"/>
  <c r="B4742" i="1" s="1"/>
  <c r="B4485" i="1"/>
  <c r="B4743" i="1" s="1"/>
  <c r="B4486" i="1"/>
  <c r="B4744" i="1" s="1"/>
  <c r="B4487" i="1"/>
  <c r="B4745" i="1" s="1"/>
  <c r="B4488" i="1"/>
  <c r="B4746" i="1" s="1"/>
  <c r="B4489" i="1"/>
  <c r="B4747" i="1" s="1"/>
  <c r="B4490" i="1"/>
  <c r="B4748" i="1" s="1"/>
  <c r="B4491" i="1"/>
  <c r="B4749" i="1" s="1"/>
  <c r="B4492" i="1"/>
  <c r="B4750" i="1" s="1"/>
  <c r="B4493" i="1"/>
  <c r="B10119" i="1" s="1"/>
  <c r="B4494" i="1"/>
  <c r="B10120" i="1" s="1"/>
  <c r="B4495" i="1"/>
  <c r="B10121" i="1" s="1"/>
  <c r="B4496" i="1"/>
  <c r="B4754" i="1" s="1"/>
  <c r="B4497" i="1"/>
  <c r="B4755" i="1" s="1"/>
  <c r="B4498" i="1"/>
  <c r="B10407" i="1" s="1"/>
  <c r="B10442" i="1" s="1"/>
  <c r="B4499" i="1"/>
  <c r="B4757" i="1" s="1"/>
  <c r="B4500" i="1"/>
  <c r="B4758" i="1" s="1"/>
  <c r="B4501" i="1"/>
  <c r="B4759" i="1" s="1"/>
  <c r="B4502" i="1"/>
  <c r="B4760" i="1" s="1"/>
  <c r="B4503" i="1"/>
  <c r="B4761" i="1" s="1"/>
  <c r="B4504" i="1"/>
  <c r="B4762" i="1" s="1"/>
  <c r="B4505" i="1"/>
  <c r="B4763" i="1" s="1"/>
  <c r="B4506" i="1"/>
  <c r="B4764" i="1" s="1"/>
  <c r="B4507" i="1"/>
  <c r="B4765" i="1" s="1"/>
  <c r="B4508" i="1"/>
  <c r="B4766" i="1" s="1"/>
  <c r="B4509" i="1"/>
  <c r="B4767" i="1" s="1"/>
  <c r="B4510" i="1"/>
  <c r="B4768" i="1" s="1"/>
  <c r="B4511" i="1"/>
  <c r="B4769" i="1" s="1"/>
  <c r="B4512" i="1"/>
  <c r="B4770" i="1" s="1"/>
  <c r="B4513" i="1"/>
  <c r="B10422" i="1" s="1"/>
  <c r="B10457" i="1" s="1"/>
  <c r="B4514" i="1"/>
  <c r="B10423" i="1" s="1"/>
  <c r="B10458" i="1" s="1"/>
  <c r="B4515" i="1"/>
  <c r="B4773" i="1" s="1"/>
  <c r="B4516" i="1"/>
  <c r="B4774" i="1" s="1"/>
  <c r="B4517" i="1"/>
  <c r="B4775" i="1" s="1"/>
  <c r="B4518" i="1"/>
  <c r="B4776" i="1" s="1"/>
  <c r="B4519" i="1"/>
  <c r="B4777" i="1" s="1"/>
  <c r="B4520" i="1"/>
  <c r="B4778" i="1" s="1"/>
  <c r="B4521" i="1"/>
  <c r="B4779" i="1" s="1"/>
  <c r="B4522" i="1"/>
  <c r="B10431" i="1" s="1"/>
  <c r="B10466" i="1" s="1"/>
  <c r="B4523" i="1"/>
  <c r="B4781" i="1" s="1"/>
  <c r="B4524" i="1"/>
  <c r="B4782" i="1" s="1"/>
  <c r="B4525" i="1"/>
  <c r="B10434" i="1" s="1"/>
  <c r="B10469" i="1" s="1"/>
  <c r="B4526" i="1"/>
  <c r="B4784" i="1" s="1"/>
  <c r="B4527" i="1"/>
  <c r="B4785" i="1" s="1"/>
  <c r="B4528" i="1"/>
  <c r="B4786" i="1" s="1"/>
  <c r="B4529" i="1"/>
  <c r="B4787" i="1" s="1"/>
  <c r="B4530" i="1"/>
  <c r="B4788" i="1" s="1"/>
  <c r="B4531" i="1"/>
  <c r="B4789" i="1" s="1"/>
  <c r="B4532" i="1"/>
  <c r="B4790" i="1" s="1"/>
  <c r="B5749" i="1"/>
  <c r="B6079" i="1" s="1"/>
  <c r="B5753" i="1"/>
  <c r="B6192" i="1" s="1"/>
  <c r="B5754" i="1"/>
  <c r="B6084" i="1" s="1"/>
  <c r="B5755" i="1"/>
  <c r="B6085" i="1" s="1"/>
  <c r="B5756" i="1"/>
  <c r="B6195" i="1" s="1"/>
  <c r="B5760" i="1"/>
  <c r="B6090" i="1" s="1"/>
  <c r="B5761" i="1"/>
  <c r="B6091" i="1" s="1"/>
  <c r="B5762" i="1"/>
  <c r="B6201" i="1" s="1"/>
  <c r="B5763" i="1"/>
  <c r="B6202" i="1" s="1"/>
  <c r="B5764" i="1"/>
  <c r="B6203" i="1" s="1"/>
  <c r="B5767" i="1"/>
  <c r="B6206" i="1" s="1"/>
  <c r="B5768" i="1"/>
  <c r="B6207" i="1" s="1"/>
  <c r="B5769" i="1"/>
  <c r="B6208" i="1" s="1"/>
  <c r="B5773" i="1"/>
  <c r="B6103" i="1" s="1"/>
  <c r="B5774" i="1"/>
  <c r="B6104" i="1" s="1"/>
  <c r="B5775" i="1"/>
  <c r="B6105" i="1" s="1"/>
  <c r="B5777" i="1"/>
  <c r="B6107" i="1" s="1"/>
  <c r="B5779" i="1"/>
  <c r="B6109" i="1" s="1"/>
  <c r="B5782" i="1"/>
  <c r="B6110" i="1" s="1"/>
  <c r="B5784" i="1"/>
  <c r="B6221" i="1" s="1"/>
  <c r="B5789" i="1"/>
  <c r="B6117" i="1" s="1"/>
  <c r="B5790" i="1"/>
  <c r="B6118" i="1" s="1"/>
  <c r="B5791" i="1"/>
  <c r="B6119" i="1" s="1"/>
  <c r="B5792" i="1"/>
  <c r="B6120" i="1" s="1"/>
  <c r="B5793" i="1"/>
  <c r="B6121" i="1" s="1"/>
  <c r="B5795" i="1"/>
  <c r="B6123" i="1" s="1"/>
  <c r="B5796" i="1"/>
  <c r="B6124" i="1" s="1"/>
  <c r="B5797" i="1"/>
  <c r="B6125" i="1" s="1"/>
  <c r="B5798" i="1"/>
  <c r="B6126" i="1" s="1"/>
  <c r="B5799" i="1"/>
  <c r="B6127" i="1" s="1"/>
  <c r="B5800" i="1"/>
  <c r="B6128" i="1" s="1"/>
  <c r="B5801" i="1"/>
  <c r="B6129" i="1" s="1"/>
  <c r="B5802" i="1"/>
  <c r="B6130" i="1" s="1"/>
  <c r="B5803" i="1"/>
  <c r="B6131" i="1" s="1"/>
  <c r="B5804" i="1"/>
  <c r="B6132" i="1" s="1"/>
  <c r="B5805" i="1"/>
  <c r="B6242" i="1" s="1"/>
  <c r="B5809" i="1"/>
  <c r="B5810" i="1"/>
  <c r="B6138" i="1" s="1"/>
  <c r="B5813" i="1"/>
  <c r="B6141" i="1" s="1"/>
  <c r="B5814" i="1"/>
  <c r="B5817" i="1"/>
  <c r="B6245" i="1" s="1"/>
  <c r="B5818" i="1"/>
  <c r="B6246" i="1" s="1"/>
  <c r="B5819" i="1"/>
  <c r="B6247" i="1" s="1"/>
  <c r="B5821" i="1"/>
  <c r="B6149" i="1" s="1"/>
  <c r="B5822" i="1"/>
  <c r="B6150" i="1" s="1"/>
  <c r="B5823" i="1"/>
  <c r="B6151" i="1" s="1"/>
  <c r="B5829" i="1"/>
  <c r="B6157" i="1" s="1"/>
  <c r="B5833" i="1"/>
  <c r="B6161" i="1" s="1"/>
  <c r="B5837" i="1"/>
  <c r="B6165" i="1" s="1"/>
  <c r="B5838" i="1"/>
  <c r="B6166" i="1" s="1"/>
  <c r="B5839" i="1"/>
  <c r="B6167" i="1" s="1"/>
  <c r="B5843" i="1"/>
  <c r="B6271" i="1" s="1"/>
  <c r="B5845" i="1"/>
  <c r="B6173" i="1" s="1"/>
  <c r="B6175" i="1"/>
  <c r="B5848" i="1"/>
  <c r="B5850" i="1"/>
  <c r="B5855" i="1"/>
  <c r="B5857" i="1"/>
  <c r="B6177" i="1" s="1"/>
  <c r="B5858" i="1"/>
  <c r="B6178" i="1" s="1"/>
  <c r="B5860" i="1"/>
  <c r="B6180" i="1" s="1"/>
  <c r="B5861" i="1"/>
  <c r="B6181" i="1" s="1"/>
  <c r="B5863" i="1"/>
  <c r="B6183" i="1" s="1"/>
  <c r="B5865" i="1"/>
  <c r="B6185" i="1" s="1"/>
  <c r="B5868" i="1"/>
  <c r="B6282" i="1" s="1"/>
  <c r="B6283" i="1"/>
  <c r="B6286" i="1"/>
  <c r="B6287" i="1"/>
  <c r="B6288" i="1"/>
  <c r="B6289" i="1"/>
  <c r="B6290" i="1"/>
  <c r="B6291" i="1"/>
  <c r="B6292" i="1"/>
  <c r="B6293" i="1"/>
  <c r="B6294" i="1"/>
  <c r="B6295" i="1"/>
  <c r="B6296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3" i="1"/>
  <c r="B6314" i="1"/>
  <c r="B6315" i="1"/>
  <c r="B6316" i="1"/>
  <c r="B6318" i="1"/>
  <c r="B6319" i="1"/>
  <c r="B6320" i="1"/>
  <c r="B6321" i="1"/>
  <c r="B6322" i="1"/>
  <c r="B6323" i="1"/>
  <c r="B6324" i="1"/>
  <c r="B6328" i="1"/>
  <c r="B6330" i="1"/>
  <c r="B6331" i="1"/>
  <c r="B6332" i="1"/>
  <c r="B6333" i="1"/>
  <c r="B6334" i="1"/>
  <c r="B6335" i="1"/>
  <c r="B6336" i="1"/>
  <c r="B6337" i="1"/>
  <c r="B6338" i="1"/>
  <c r="B6339" i="1"/>
  <c r="B6349" i="1"/>
  <c r="B6355" i="1"/>
  <c r="B6356" i="1"/>
  <c r="B6357" i="1"/>
  <c r="B6358" i="1"/>
  <c r="B6359" i="1"/>
  <c r="B6361" i="1"/>
  <c r="B6362" i="1"/>
  <c r="B6363" i="1"/>
  <c r="B6365" i="1"/>
  <c r="B6366" i="1"/>
  <c r="B6371" i="1"/>
  <c r="B6372" i="1"/>
  <c r="B6373" i="1"/>
  <c r="B6376" i="1"/>
  <c r="B6377" i="1"/>
  <c r="B4356" i="1"/>
  <c r="B4360" i="1"/>
  <c r="B3905" i="1"/>
  <c r="B3904" i="1"/>
  <c r="Q1095" i="1"/>
  <c r="B4235" i="1"/>
  <c r="B10180" i="1" s="1"/>
  <c r="B10291" i="1" s="1"/>
  <c r="B4225" i="1"/>
  <c r="B10170" i="1" s="1"/>
  <c r="B10281" i="1" s="1"/>
  <c r="B4205" i="1"/>
  <c r="B4206" i="1"/>
  <c r="B4208" i="1"/>
  <c r="B4320" i="1" s="1"/>
  <c r="B10375" i="1" s="1"/>
  <c r="B4209" i="1"/>
  <c r="B10154" i="1" s="1"/>
  <c r="B10265" i="1" s="1"/>
  <c r="B4210" i="1"/>
  <c r="B4211" i="1"/>
  <c r="B4212" i="1"/>
  <c r="B4213" i="1"/>
  <c r="B4203" i="1"/>
  <c r="B4201" i="1"/>
  <c r="B4313" i="1" s="1"/>
  <c r="B10368" i="1" s="1"/>
  <c r="B4189" i="1"/>
  <c r="B10134" i="1" s="1"/>
  <c r="B10245" i="1" s="1"/>
  <c r="B4190" i="1"/>
  <c r="B10135" i="1" s="1"/>
  <c r="B10246" i="1" s="1"/>
  <c r="B4191" i="1"/>
  <c r="B10136" i="1" s="1"/>
  <c r="B10247" i="1" s="1"/>
  <c r="B4192" i="1"/>
  <c r="B4193" i="1"/>
  <c r="B4194" i="1"/>
  <c r="B4195" i="1"/>
  <c r="B4196" i="1"/>
  <c r="B4197" i="1"/>
  <c r="B4198" i="1"/>
  <c r="B4199" i="1"/>
  <c r="B4311" i="1" s="1"/>
  <c r="B10366" i="1" s="1"/>
  <c r="B4200" i="1"/>
  <c r="B10145" i="1" s="1"/>
  <c r="B10256" i="1" s="1"/>
  <c r="B4202" i="1"/>
  <c r="B10147" i="1" s="1"/>
  <c r="B10258" i="1" s="1"/>
  <c r="B4204" i="1"/>
  <c r="B10149" i="1" s="1"/>
  <c r="B10260" i="1" s="1"/>
  <c r="B4207" i="1"/>
  <c r="B10152" i="1" s="1"/>
  <c r="B10263" i="1" s="1"/>
  <c r="B4170" i="1"/>
  <c r="B4171" i="1"/>
  <c r="B4172" i="1"/>
  <c r="B4173" i="1"/>
  <c r="B4174" i="1"/>
  <c r="B4175" i="1"/>
  <c r="B4180" i="1"/>
  <c r="B4218" i="1"/>
  <c r="B4330" i="1" s="1"/>
  <c r="B10385" i="1" s="1"/>
  <c r="B4215" i="1"/>
  <c r="B7555" i="1"/>
  <c r="B10091" i="1" s="1"/>
  <c r="B7556" i="1"/>
  <c r="B7694" i="1" s="1"/>
  <c r="B7557" i="1"/>
  <c r="B7695" i="1" s="1"/>
  <c r="B7551" i="1"/>
  <c r="B7689" i="1" s="1"/>
  <c r="B7548" i="1"/>
  <c r="B7686" i="1" s="1"/>
  <c r="B7549" i="1"/>
  <c r="B7687" i="1" s="1"/>
  <c r="B7536" i="1"/>
  <c r="B7674" i="1" s="1"/>
  <c r="B7534" i="1"/>
  <c r="B9992" i="1" s="1"/>
  <c r="B7533" i="1"/>
  <c r="B10073" i="1" s="1"/>
  <c r="B7523" i="1"/>
  <c r="B7661" i="1" s="1"/>
  <c r="B7527" i="1"/>
  <c r="B7665" i="1" s="1"/>
  <c r="B7524" i="1"/>
  <c r="B7662" i="1" s="1"/>
  <c r="B7520" i="1"/>
  <c r="B7658" i="1" s="1"/>
  <c r="B7508" i="1"/>
  <c r="B7646" i="1" s="1"/>
  <c r="B7503" i="1"/>
  <c r="B7641" i="1" s="1"/>
  <c r="B7500" i="1"/>
  <c r="B10040" i="1" s="1"/>
  <c r="B7501" i="1"/>
  <c r="B10041" i="1" s="1"/>
  <c r="B7487" i="1"/>
  <c r="B7625" i="1" s="1"/>
  <c r="B7483" i="1"/>
  <c r="B7621" i="1" s="1"/>
  <c r="B9355" i="1"/>
  <c r="B9926" i="1" s="1"/>
  <c r="B9327" i="1"/>
  <c r="B9519" i="1" s="1"/>
  <c r="B9325" i="1"/>
  <c r="B9886" i="1"/>
  <c r="B9316" i="1"/>
  <c r="B9312" i="1"/>
  <c r="B9313" i="1"/>
  <c r="B9693" i="1" s="1"/>
  <c r="B9871" i="1"/>
  <c r="B9864" i="1"/>
  <c r="B9292" i="1"/>
  <c r="B9860" i="1" s="1"/>
  <c r="B9455" i="1"/>
  <c r="B9256" i="1"/>
  <c r="B9245" i="1"/>
  <c r="B9244" i="1"/>
  <c r="B9436" i="1" s="1"/>
  <c r="B9238" i="1"/>
  <c r="B9229" i="1"/>
  <c r="B9225" i="1"/>
  <c r="B9223" i="1"/>
  <c r="B9220" i="1"/>
  <c r="B9221" i="1"/>
  <c r="B9214" i="1"/>
  <c r="B9774" i="1"/>
  <c r="B9389" i="1"/>
  <c r="B8655" i="1"/>
  <c r="B5444" i="1" s="1"/>
  <c r="B8639" i="1"/>
  <c r="B8634" i="1"/>
  <c r="B8635" i="1"/>
  <c r="B8636" i="1"/>
  <c r="B8631" i="1"/>
  <c r="B8871" i="1" s="1"/>
  <c r="B8630" i="1"/>
  <c r="B8632" i="1"/>
  <c r="B5022" i="1" s="1"/>
  <c r="B8606" i="1"/>
  <c r="B5213" i="1" s="1"/>
  <c r="B8617" i="1"/>
  <c r="B5215" i="1" s="1"/>
  <c r="B8626" i="1"/>
  <c r="B8627" i="1"/>
  <c r="B8741" i="1"/>
  <c r="B5519" i="1" s="1"/>
  <c r="B8739" i="1"/>
  <c r="B8737" i="1"/>
  <c r="B8730" i="1"/>
  <c r="B8715" i="1"/>
  <c r="B8716" i="1"/>
  <c r="B8717" i="1"/>
  <c r="B8698" i="1"/>
  <c r="B5703" i="1" s="1"/>
  <c r="B8699" i="1"/>
  <c r="B8700" i="1"/>
  <c r="B8696" i="1"/>
  <c r="B8692" i="1"/>
  <c r="B8690" i="1"/>
  <c r="B8686" i="1"/>
  <c r="B8683" i="1"/>
  <c r="B8679" i="1"/>
  <c r="B8904" i="1" s="1"/>
  <c r="B8680" i="1"/>
  <c r="B5050" i="1" s="1"/>
  <c r="B8681" i="1"/>
  <c r="B5051" i="1" s="1"/>
  <c r="B8665" i="1"/>
  <c r="B8624" i="1"/>
  <c r="B8619" i="1"/>
  <c r="B8620" i="1"/>
  <c r="B8610" i="1"/>
  <c r="B8611" i="1"/>
  <c r="B8608" i="1"/>
  <c r="B8591" i="1"/>
  <c r="B8592" i="1"/>
  <c r="B8593" i="1"/>
  <c r="B8599" i="1"/>
  <c r="B8589" i="1"/>
  <c r="B8575" i="1"/>
  <c r="B8559" i="1"/>
  <c r="B8518" i="1"/>
  <c r="B8519" i="1"/>
  <c r="B8513" i="1"/>
  <c r="B8503" i="1"/>
  <c r="B5364" i="1" s="1"/>
  <c r="B8489" i="1"/>
  <c r="B8490" i="1"/>
  <c r="B8491" i="1"/>
  <c r="B8449" i="1"/>
  <c r="B8451" i="1" s="1"/>
  <c r="B8450" i="1" s="1"/>
  <c r="B8452" i="1"/>
  <c r="B5116" i="1" s="1"/>
  <c r="B3562" i="1"/>
  <c r="B3563" i="1"/>
  <c r="B3564" i="1"/>
  <c r="B3560" i="1"/>
  <c r="B3906" i="1"/>
  <c r="B3902" i="1"/>
  <c r="B3892" i="1"/>
  <c r="B3890" i="1"/>
  <c r="B3886" i="1"/>
  <c r="B3887" i="1"/>
  <c r="B3888" i="1"/>
  <c r="B3884" i="1"/>
  <c r="B3882" i="1"/>
  <c r="B3883" i="1"/>
  <c r="B3876" i="1"/>
  <c r="B3874" i="1"/>
  <c r="B3872" i="1"/>
  <c r="B3870" i="1"/>
  <c r="B3913" i="1"/>
  <c r="B3850" i="1"/>
  <c r="B3844" i="1"/>
  <c r="B3845" i="1"/>
  <c r="B3846" i="1"/>
  <c r="B3847" i="1"/>
  <c r="B3848" i="1"/>
  <c r="B3841" i="1"/>
  <c r="B3838" i="1"/>
  <c r="B3839" i="1"/>
  <c r="B3832" i="1"/>
  <c r="B3833" i="1"/>
  <c r="B3834" i="1"/>
  <c r="B3836" i="1"/>
  <c r="B3827" i="1"/>
  <c r="B3828" i="1"/>
  <c r="B3829" i="1"/>
  <c r="B3820" i="1"/>
  <c r="B3821" i="1"/>
  <c r="B3822" i="1"/>
  <c r="B3823" i="1"/>
  <c r="B3824" i="1"/>
  <c r="B3825" i="1"/>
  <c r="B3826" i="1"/>
  <c r="B3818" i="1"/>
  <c r="B3813" i="1"/>
  <c r="B3811" i="1"/>
  <c r="B3812" i="1"/>
  <c r="B3814" i="1"/>
  <c r="B3815" i="1"/>
  <c r="B3816" i="1"/>
  <c r="B3808" i="1"/>
  <c r="B3855" i="1" s="1"/>
  <c r="B3806" i="1"/>
  <c r="B3802" i="1"/>
  <c r="B3793" i="1"/>
  <c r="B3794" i="1"/>
  <c r="B3795" i="1"/>
  <c r="B3798" i="1"/>
  <c r="B3853" i="1" s="1"/>
  <c r="B3788" i="1"/>
  <c r="B3784" i="1"/>
  <c r="B3785" i="1"/>
  <c r="B3780" i="1"/>
  <c r="B3781" i="1"/>
  <c r="B3766" i="1"/>
  <c r="B3777" i="1"/>
  <c r="B3778" i="1"/>
  <c r="B3775" i="1"/>
  <c r="B3774" i="1"/>
  <c r="B3771" i="1"/>
  <c r="B3772" i="1"/>
  <c r="B3762" i="1"/>
  <c r="B3764" i="1"/>
  <c r="B3767" i="1"/>
  <c r="B3756" i="1"/>
  <c r="B3760" i="1"/>
  <c r="B3758" i="1"/>
  <c r="B3759" i="1"/>
  <c r="B3754" i="1"/>
  <c r="B3755" i="1"/>
  <c r="B3743" i="1"/>
  <c r="B3745" i="1"/>
  <c r="B3744" i="1"/>
  <c r="B3746" i="1"/>
  <c r="B3747" i="1"/>
  <c r="B3748" i="1"/>
  <c r="B3750" i="1"/>
  <c r="B3749" i="1"/>
  <c r="B3751" i="1"/>
  <c r="B3737" i="1"/>
  <c r="B3738" i="1"/>
  <c r="B3739" i="1"/>
  <c r="B3740" i="1"/>
  <c r="B3741" i="1"/>
  <c r="B3723" i="1"/>
  <c r="B3724" i="1"/>
  <c r="B3727" i="1"/>
  <c r="B3728" i="1"/>
  <c r="B3730" i="1"/>
  <c r="B3621" i="1"/>
  <c r="B3595" i="1"/>
  <c r="B3581" i="1"/>
  <c r="B3582" i="1"/>
  <c r="B3574" i="1"/>
  <c r="B3576" i="1"/>
  <c r="B3570" i="1"/>
  <c r="B3571" i="1"/>
  <c r="B3572" i="1"/>
  <c r="B3566" i="1"/>
  <c r="B3567" i="1"/>
  <c r="B3568" i="1"/>
  <c r="B3556" i="1"/>
  <c r="B3557" i="1"/>
  <c r="B3558" i="1"/>
  <c r="B3559" i="1"/>
  <c r="B3553" i="1"/>
  <c r="B3552" i="1"/>
  <c r="B3554" i="1"/>
  <c r="B3555" i="1"/>
  <c r="B3550" i="1"/>
  <c r="Q837" i="1"/>
  <c r="B3461" i="1"/>
  <c r="B3459" i="1"/>
  <c r="B3451" i="1"/>
  <c r="B3101" i="1"/>
  <c r="B3204" i="1" s="1"/>
  <c r="B3409" i="1" s="1"/>
  <c r="B3133" i="1"/>
  <c r="B3236" i="1" s="1"/>
  <c r="B3441" i="1" s="1"/>
  <c r="B3141" i="1"/>
  <c r="B3244" i="1" s="1"/>
  <c r="B3449" i="1" s="1"/>
  <c r="B3144" i="1"/>
  <c r="B3245" i="1" s="1"/>
  <c r="B3450" i="1" s="1"/>
  <c r="B3452" i="1"/>
  <c r="B3453" i="1"/>
  <c r="B3454" i="1"/>
  <c r="B3455" i="1"/>
  <c r="B3507" i="1" s="1"/>
  <c r="B3456" i="1"/>
  <c r="B3508" i="1" s="1"/>
  <c r="B3457" i="1"/>
  <c r="B3509" i="1" s="1"/>
  <c r="B3458" i="1"/>
  <c r="B3510" i="1" s="1"/>
  <c r="B3463" i="1"/>
  <c r="B3513" i="1" s="1"/>
  <c r="B3464" i="1"/>
  <c r="B3514" i="1" s="1"/>
  <c r="B3460" i="1"/>
  <c r="B3511" i="1" s="1"/>
  <c r="B3462" i="1"/>
  <c r="B3512" i="1" s="1"/>
  <c r="B3465" i="1"/>
  <c r="B3466" i="1"/>
  <c r="B3467" i="1"/>
  <c r="B3515" i="1" s="1"/>
  <c r="B3468" i="1"/>
  <c r="B3516" i="1" s="1"/>
  <c r="B3469" i="1"/>
  <c r="B3517" i="1" s="1"/>
  <c r="B3470" i="1"/>
  <c r="B3518" i="1" s="1"/>
  <c r="B3471" i="1"/>
  <c r="B3472" i="1"/>
  <c r="B3473" i="1"/>
  <c r="B3519" i="1" s="1"/>
  <c r="B3474" i="1"/>
  <c r="B3520" i="1" s="1"/>
  <c r="B3475" i="1"/>
  <c r="B3521" i="1" s="1"/>
  <c r="B3476" i="1"/>
  <c r="B3522" i="1" s="1"/>
  <c r="B3477" i="1"/>
  <c r="B3478" i="1"/>
  <c r="B3479" i="1"/>
  <c r="B3523" i="1" s="1"/>
  <c r="B3480" i="1"/>
  <c r="B3524" i="1" s="1"/>
  <c r="B3481" i="1"/>
  <c r="B3525" i="1" s="1"/>
  <c r="B3482" i="1"/>
  <c r="B3526" i="1" s="1"/>
  <c r="B3483" i="1"/>
  <c r="B3484" i="1"/>
  <c r="B3485" i="1"/>
  <c r="B3527" i="1" s="1"/>
  <c r="B3486" i="1"/>
  <c r="B3528" i="1" s="1"/>
  <c r="B3487" i="1"/>
  <c r="B3529" i="1" s="1"/>
  <c r="B3488" i="1"/>
  <c r="B3530" i="1" s="1"/>
  <c r="B3489" i="1"/>
  <c r="B3531" i="1" s="1"/>
  <c r="B3490" i="1"/>
  <c r="B3532" i="1" s="1"/>
  <c r="B3491" i="1"/>
  <c r="B3492" i="1"/>
  <c r="B3493" i="1"/>
  <c r="B3533" i="1" s="1"/>
  <c r="B3494" i="1"/>
  <c r="B3534" i="1" s="1"/>
  <c r="B3495" i="1"/>
  <c r="B3496" i="1"/>
  <c r="B3497" i="1"/>
  <c r="B3535" i="1" s="1"/>
  <c r="B3498" i="1"/>
  <c r="B3536" i="1" s="1"/>
  <c r="B3499" i="1"/>
  <c r="B3537" i="1" s="1"/>
  <c r="B3500" i="1"/>
  <c r="B3538" i="1" s="1"/>
  <c r="B3501" i="1"/>
  <c r="B3539" i="1" s="1"/>
  <c r="B3502" i="1"/>
  <c r="B3540" i="1" s="1"/>
  <c r="B3503" i="1"/>
  <c r="B3541" i="1" s="1"/>
  <c r="B3504" i="1"/>
  <c r="B3542" i="1" s="1"/>
  <c r="B3505" i="1"/>
  <c r="B3543" i="1" s="1"/>
  <c r="B3506" i="1"/>
  <c r="B3544" i="1" s="1"/>
  <c r="B3545" i="1"/>
  <c r="B3546" i="1"/>
  <c r="B3547" i="1"/>
  <c r="B3548" i="1"/>
  <c r="B3549" i="1"/>
  <c r="B3551" i="1"/>
  <c r="B3561" i="1"/>
  <c r="B3565" i="1"/>
  <c r="B3569" i="1"/>
  <c r="B3573" i="1"/>
  <c r="B3578" i="1"/>
  <c r="B3580" i="1"/>
  <c r="B3583" i="1"/>
  <c r="B3584" i="1"/>
  <c r="B3585" i="1"/>
  <c r="B3586" i="1"/>
  <c r="B3696" i="1"/>
  <c r="B3702" i="1"/>
  <c r="B3719" i="1" s="1"/>
  <c r="B3720" i="1"/>
  <c r="B3721" i="1"/>
  <c r="B3722" i="1"/>
  <c r="B3852" i="1" s="1"/>
  <c r="B3731" i="1"/>
  <c r="B3742" i="1"/>
  <c r="B3752" i="1"/>
  <c r="B3753" i="1"/>
  <c r="B3761" i="1"/>
  <c r="B3757" i="1"/>
  <c r="B3769" i="1"/>
  <c r="B3773" i="1"/>
  <c r="B3776" i="1"/>
  <c r="B3779" i="1"/>
  <c r="B3782" i="1"/>
  <c r="B3783" i="1"/>
  <c r="B3787" i="1"/>
  <c r="B3791" i="1"/>
  <c r="B3792" i="1"/>
  <c r="B3799" i="1"/>
  <c r="B3854" i="1" s="1"/>
  <c r="B3803" i="1"/>
  <c r="B3804" i="1"/>
  <c r="B3805" i="1"/>
  <c r="B3807" i="1"/>
  <c r="B3809" i="1"/>
  <c r="B3810" i="1"/>
  <c r="B3817" i="1"/>
  <c r="B3856" i="1" s="1"/>
  <c r="B3819" i="1"/>
  <c r="B3830" i="1"/>
  <c r="B3837" i="1"/>
  <c r="B3840" i="1"/>
  <c r="B3842" i="1"/>
  <c r="B3843" i="1"/>
  <c r="B3857" i="1" s="1"/>
  <c r="B3849" i="1"/>
  <c r="B3851" i="1"/>
  <c r="B3858" i="1"/>
  <c r="B3859" i="1"/>
  <c r="B3860" i="1"/>
  <c r="B3909" i="1"/>
  <c r="B3912" i="1"/>
  <c r="B3868" i="1"/>
  <c r="B3871" i="1"/>
  <c r="B3873" i="1"/>
  <c r="B3875" i="1"/>
  <c r="B3877" i="1"/>
  <c r="B3880" i="1"/>
  <c r="B3920" i="1" s="1"/>
  <c r="B3885" i="1"/>
  <c r="B3889" i="1"/>
  <c r="B3891" i="1"/>
  <c r="B3893" i="1"/>
  <c r="B3894" i="1"/>
  <c r="B3895" i="1"/>
  <c r="B3896" i="1" s="1"/>
  <c r="B3903" i="1"/>
  <c r="B3907" i="1"/>
  <c r="B3908" i="1"/>
  <c r="B3922" i="1"/>
  <c r="B3952" i="1" s="1"/>
  <c r="B4011" i="1" s="1"/>
  <c r="B3923" i="1"/>
  <c r="B3953" i="1" s="1"/>
  <c r="B4012" i="1" s="1"/>
  <c r="B3924" i="1"/>
  <c r="B3954" i="1" s="1"/>
  <c r="B4013" i="1" s="1"/>
  <c r="B3927" i="1"/>
  <c r="B3957" i="1" s="1"/>
  <c r="B4016" i="1" s="1"/>
  <c r="B3926" i="1"/>
  <c r="B3956" i="1" s="1"/>
  <c r="B4015" i="1" s="1"/>
  <c r="B3928" i="1"/>
  <c r="B3958" i="1" s="1"/>
  <c r="B4017" i="1" s="1"/>
  <c r="B3929" i="1"/>
  <c r="B3959" i="1" s="1"/>
  <c r="B4018" i="1" s="1"/>
  <c r="B3930" i="1"/>
  <c r="B3960" i="1" s="1"/>
  <c r="B4019" i="1" s="1"/>
  <c r="B3931" i="1"/>
  <c r="B3961" i="1" s="1"/>
  <c r="B4020" i="1" s="1"/>
  <c r="B3932" i="1"/>
  <c r="B3962" i="1" s="1"/>
  <c r="B4021" i="1" s="1"/>
  <c r="B3933" i="1"/>
  <c r="B3963" i="1" s="1"/>
  <c r="B4022" i="1" s="1"/>
  <c r="B3934" i="1"/>
  <c r="B3964" i="1" s="1"/>
  <c r="B4023" i="1" s="1"/>
  <c r="B3935" i="1"/>
  <c r="B3965" i="1" s="1"/>
  <c r="B4024" i="1" s="1"/>
  <c r="B3936" i="1"/>
  <c r="B3966" i="1" s="1"/>
  <c r="B4025" i="1" s="1"/>
  <c r="B3938" i="1"/>
  <c r="B3968" i="1" s="1"/>
  <c r="B4027" i="1" s="1"/>
  <c r="B3939" i="1"/>
  <c r="B3940" i="1"/>
  <c r="B3969" i="1" s="1"/>
  <c r="B4028" i="1" s="1"/>
  <c r="B3941" i="1"/>
  <c r="B3970" i="1" s="1"/>
  <c r="B4029" i="1" s="1"/>
  <c r="B3942" i="1"/>
  <c r="B4001" i="1" s="1"/>
  <c r="B3943" i="1"/>
  <c r="B3972" i="1" s="1"/>
  <c r="B4031" i="1" s="1"/>
  <c r="B3944" i="1"/>
  <c r="B4003" i="1" s="1"/>
  <c r="B3945" i="1"/>
  <c r="B3974" i="1" s="1"/>
  <c r="B4033" i="1" s="1"/>
  <c r="B3946" i="1"/>
  <c r="B3975" i="1" s="1"/>
  <c r="B4034" i="1" s="1"/>
  <c r="B3947" i="1"/>
  <c r="B3976" i="1" s="1"/>
  <c r="B4035" i="1" s="1"/>
  <c r="B3948" i="1"/>
  <c r="B3977" i="1" s="1"/>
  <c r="B4036" i="1" s="1"/>
  <c r="B3949" i="1"/>
  <c r="B3978" i="1" s="1"/>
  <c r="B4037" i="1" s="1"/>
  <c r="B3950" i="1"/>
  <c r="B3979" i="1" s="1"/>
  <c r="B4038" i="1" s="1"/>
  <c r="B3951" i="1"/>
  <c r="B3980" i="1" s="1"/>
  <c r="B4039" i="1" s="1"/>
  <c r="B4040" i="1"/>
  <c r="B4073" i="1" s="1"/>
  <c r="B4138" i="1" s="1"/>
  <c r="B4043" i="1"/>
  <c r="B4076" i="1" s="1"/>
  <c r="B4141" i="1" s="1"/>
  <c r="B4044" i="1"/>
  <c r="B4077" i="1" s="1"/>
  <c r="B4142" i="1" s="1"/>
  <c r="B4045" i="1"/>
  <c r="B4078" i="1" s="1"/>
  <c r="B4143" i="1" s="1"/>
  <c r="B4046" i="1"/>
  <c r="B4079" i="1" s="1"/>
  <c r="B4144" i="1" s="1"/>
  <c r="B4047" i="1"/>
  <c r="B4080" i="1" s="1"/>
  <c r="B4145" i="1" s="1"/>
  <c r="B4048" i="1"/>
  <c r="B4081" i="1" s="1"/>
  <c r="B4146" i="1" s="1"/>
  <c r="B4049" i="1"/>
  <c r="B4082" i="1" s="1"/>
  <c r="B4147" i="1" s="1"/>
  <c r="B4050" i="1"/>
  <c r="B4083" i="1" s="1"/>
  <c r="B4148" i="1" s="1"/>
  <c r="B4051" i="1"/>
  <c r="B4084" i="1" s="1"/>
  <c r="B4149" i="1" s="1"/>
  <c r="B4052" i="1"/>
  <c r="B4085" i="1" s="1"/>
  <c r="B4150" i="1" s="1"/>
  <c r="B4053" i="1"/>
  <c r="B4054" i="1"/>
  <c r="B4086" i="1" s="1"/>
  <c r="B4151" i="1" s="1"/>
  <c r="B4055" i="1"/>
  <c r="B4087" i="1" s="1"/>
  <c r="B4152" i="1" s="1"/>
  <c r="B4058" i="1"/>
  <c r="B4123" i="1" s="1"/>
  <c r="B4057" i="1"/>
  <c r="B4089" i="1" s="1"/>
  <c r="B4154" i="1" s="1"/>
  <c r="B4059" i="1"/>
  <c r="B4091" i="1" s="1"/>
  <c r="B4156" i="1" s="1"/>
  <c r="B4060" i="1"/>
  <c r="B4092" i="1" s="1"/>
  <c r="B4157" i="1" s="1"/>
  <c r="B4061" i="1"/>
  <c r="B4126" i="1" s="1"/>
  <c r="B4062" i="1"/>
  <c r="B4127" i="1" s="1"/>
  <c r="B4063" i="1"/>
  <c r="B4095" i="1" s="1"/>
  <c r="B4160" i="1" s="1"/>
  <c r="B4064" i="1"/>
  <c r="B4096" i="1" s="1"/>
  <c r="B4161" i="1" s="1"/>
  <c r="B4065" i="1"/>
  <c r="B4097" i="1" s="1"/>
  <c r="B4162" i="1" s="1"/>
  <c r="B4066" i="1"/>
  <c r="B4098" i="1" s="1"/>
  <c r="B4163" i="1" s="1"/>
  <c r="B4067" i="1"/>
  <c r="B4099" i="1" s="1"/>
  <c r="B4164" i="1" s="1"/>
  <c r="B4068" i="1"/>
  <c r="B4133" i="1" s="1"/>
  <c r="B4069" i="1"/>
  <c r="B4134" i="1" s="1"/>
  <c r="B4070" i="1"/>
  <c r="B4135" i="1" s="1"/>
  <c r="B4071" i="1"/>
  <c r="B4136" i="1" s="1"/>
  <c r="B4072" i="1"/>
  <c r="B4137" i="1" s="1"/>
  <c r="B4214" i="1"/>
  <c r="B4216" i="1"/>
  <c r="B4217" i="1"/>
  <c r="B4219" i="1"/>
  <c r="B4220" i="1"/>
  <c r="B4221" i="1"/>
  <c r="B4185" i="1"/>
  <c r="B10131" i="1" s="1"/>
  <c r="B10242" i="1" s="1"/>
  <c r="B4186" i="1"/>
  <c r="B10132" i="1" s="1"/>
  <c r="B10243" i="1" s="1"/>
  <c r="B4187" i="1"/>
  <c r="B4188" i="1" s="1"/>
  <c r="B4222" i="1"/>
  <c r="B4223" i="1"/>
  <c r="B10168" i="1" s="1"/>
  <c r="B10279" i="1" s="1"/>
  <c r="B4224" i="1"/>
  <c r="B10169" i="1" s="1"/>
  <c r="B10280" i="1" s="1"/>
  <c r="B4226" i="1"/>
  <c r="B10171" i="1" s="1"/>
  <c r="B10282" i="1" s="1"/>
  <c r="B4227" i="1"/>
  <c r="B4228" i="1"/>
  <c r="B4229" i="1"/>
  <c r="B4230" i="1"/>
  <c r="B4231" i="1"/>
  <c r="B4343" i="1" s="1"/>
  <c r="B10398" i="1" s="1"/>
  <c r="B4232" i="1"/>
  <c r="B10177" i="1" s="1"/>
  <c r="B10288" i="1" s="1"/>
  <c r="B4233" i="1"/>
  <c r="B10178" i="1" s="1"/>
  <c r="B10289" i="1" s="1"/>
  <c r="B4234" i="1"/>
  <c r="B10179" i="1" s="1"/>
  <c r="B10290" i="1" s="1"/>
  <c r="B4236" i="1"/>
  <c r="B10181" i="1" s="1"/>
  <c r="B10292" i="1" s="1"/>
  <c r="B4237" i="1"/>
  <c r="B4238" i="1"/>
  <c r="B4239" i="1"/>
  <c r="B4240" i="1"/>
  <c r="B10185" i="1" s="1"/>
  <c r="B10296" i="1" s="1"/>
  <c r="B4241" i="1"/>
  <c r="B10186" i="1" s="1"/>
  <c r="B10297" i="1" s="1"/>
  <c r="B4242" i="1"/>
  <c r="B10187" i="1" s="1"/>
  <c r="B10298" i="1" s="1"/>
  <c r="B4243" i="1"/>
  <c r="B10188" i="1" s="1"/>
  <c r="B10299" i="1" s="1"/>
  <c r="B4244" i="1"/>
  <c r="B10189" i="1" s="1"/>
  <c r="B10300" i="1" s="1"/>
  <c r="B4245" i="1"/>
  <c r="B10190" i="1" s="1"/>
  <c r="B10301" i="1" s="1"/>
  <c r="B4246" i="1"/>
  <c r="B10191" i="1" s="1"/>
  <c r="B10302" i="1" s="1"/>
  <c r="B4248" i="1"/>
  <c r="B10192" i="1" s="1"/>
  <c r="B10303" i="1" s="1"/>
  <c r="B4249" i="1"/>
  <c r="B10194" i="1" s="1"/>
  <c r="B10305" i="1" s="1"/>
  <c r="B4252" i="1"/>
  <c r="B10197" i="1" s="1"/>
  <c r="B10308" i="1" s="1"/>
  <c r="B4253" i="1"/>
  <c r="B10198" i="1" s="1"/>
  <c r="B10309" i="1" s="1"/>
  <c r="B4254" i="1"/>
  <c r="B10199" i="1" s="1"/>
  <c r="B10310" i="1" s="1"/>
  <c r="B4255" i="1"/>
  <c r="B10200" i="1" s="1"/>
  <c r="B10311" i="1" s="1"/>
  <c r="B4256" i="1"/>
  <c r="B10201" i="1" s="1"/>
  <c r="B10312" i="1" s="1"/>
  <c r="B4257" i="1"/>
  <c r="B10202" i="1" s="1"/>
  <c r="B10313" i="1" s="1"/>
  <c r="B4258" i="1"/>
  <c r="B10203" i="1" s="1"/>
  <c r="B10314" i="1" s="1"/>
  <c r="B4259" i="1"/>
  <c r="B10204" i="1" s="1"/>
  <c r="B10315" i="1" s="1"/>
  <c r="B4260" i="1"/>
  <c r="B10205" i="1" s="1"/>
  <c r="B10316" i="1" s="1"/>
  <c r="B4261" i="1"/>
  <c r="B10206" i="1" s="1"/>
  <c r="B10317" i="1" s="1"/>
  <c r="B4262" i="1"/>
  <c r="B10207" i="1" s="1"/>
  <c r="B10318" i="1" s="1"/>
  <c r="B4263" i="1"/>
  <c r="B10208" i="1" s="1"/>
  <c r="B10319" i="1" s="1"/>
  <c r="B4265" i="1"/>
  <c r="B10210" i="1" s="1"/>
  <c r="B10321" i="1" s="1"/>
  <c r="B4267" i="1"/>
  <c r="B10212" i="1" s="1"/>
  <c r="B10323" i="1" s="1"/>
  <c r="B4271" i="1"/>
  <c r="B10215" i="1" s="1"/>
  <c r="B10326" i="1" s="1"/>
  <c r="B4273" i="1"/>
  <c r="B10217" i="1" s="1"/>
  <c r="B10328" i="1" s="1"/>
  <c r="B4277" i="1"/>
  <c r="B10221" i="1" s="1"/>
  <c r="B10332" i="1" s="1"/>
  <c r="B4278" i="1"/>
  <c r="B10222" i="1" s="1"/>
  <c r="B10333" i="1" s="1"/>
  <c r="B4279" i="1"/>
  <c r="B10223" i="1" s="1"/>
  <c r="B10334" i="1" s="1"/>
  <c r="B4281" i="1"/>
  <c r="B10225" i="1" s="1"/>
  <c r="B10336" i="1" s="1"/>
  <c r="B4282" i="1"/>
  <c r="B10226" i="1" s="1"/>
  <c r="B10337" i="1" s="1"/>
  <c r="B4284" i="1"/>
  <c r="B10228" i="1" s="1"/>
  <c r="B10339" i="1" s="1"/>
  <c r="B4287" i="1"/>
  <c r="B10231" i="1" s="1"/>
  <c r="B10342" i="1" s="1"/>
  <c r="B4288" i="1"/>
  <c r="B10232" i="1" s="1"/>
  <c r="B10343" i="1" s="1"/>
  <c r="B4289" i="1"/>
  <c r="B10233" i="1" s="1"/>
  <c r="B10344" i="1" s="1"/>
  <c r="B4290" i="1"/>
  <c r="B10234" i="1" s="1"/>
  <c r="B10345" i="1" s="1"/>
  <c r="B4357" i="1"/>
  <c r="B6380" i="1"/>
  <c r="B6381" i="1"/>
  <c r="B6382" i="1"/>
  <c r="B6447" i="1" s="1"/>
  <c r="B6393" i="1"/>
  <c r="B6448" i="1" s="1"/>
  <c r="B6394" i="1"/>
  <c r="B6449" i="1" s="1"/>
  <c r="B6395" i="1"/>
  <c r="B6450" i="1" s="1"/>
  <c r="B6396" i="1"/>
  <c r="B6451" i="1" s="1"/>
  <c r="B6397" i="1"/>
  <c r="B6452" i="1" s="1"/>
  <c r="B6398" i="1"/>
  <c r="B6453" i="1" s="1"/>
  <c r="B6399" i="1"/>
  <c r="B6454" i="1" s="1"/>
  <c r="B6401" i="1"/>
  <c r="B6496" i="1" s="1"/>
  <c r="B6403" i="1"/>
  <c r="B6458" i="1" s="1"/>
  <c r="B6405" i="1"/>
  <c r="B6460" i="1" s="1"/>
  <c r="B6416" i="1"/>
  <c r="B6463" i="1" s="1"/>
  <c r="B6417" i="1"/>
  <c r="B6464" i="1" s="1"/>
  <c r="B6420" i="1"/>
  <c r="B6507" i="1" s="1"/>
  <c r="B6423" i="1"/>
  <c r="B6510" i="1" s="1"/>
  <c r="B6424" i="1"/>
  <c r="B6471" i="1" s="1"/>
  <c r="B6425" i="1"/>
  <c r="B6472" i="1" s="1"/>
  <c r="B6426" i="1"/>
  <c r="B6473" i="1" s="1"/>
  <c r="B6427" i="1"/>
  <c r="B6474" i="1" s="1"/>
  <c r="B6428" i="1"/>
  <c r="B6475" i="1" s="1"/>
  <c r="B6429" i="1"/>
  <c r="B6476" i="1" s="1"/>
  <c r="B6430" i="1"/>
  <c r="B6477" i="1" s="1"/>
  <c r="B6431" i="1"/>
  <c r="B6478" i="1" s="1"/>
  <c r="B6432" i="1"/>
  <c r="B6519" i="1" s="1"/>
  <c r="B6434" i="1"/>
  <c r="B6521" i="1" s="1"/>
  <c r="B6435" i="1"/>
  <c r="B6522" i="1" s="1"/>
  <c r="B6436" i="1"/>
  <c r="B6483" i="1" s="1"/>
  <c r="B6439" i="1"/>
  <c r="B6486" i="1" s="1"/>
  <c r="B6528" i="1"/>
  <c r="B6529" i="1"/>
  <c r="B6530" i="1"/>
  <c r="B6531" i="1"/>
  <c r="B6537" i="1"/>
  <c r="B6538" i="1"/>
  <c r="B6539" i="1"/>
  <c r="B6540" i="1"/>
  <c r="B6542" i="1"/>
  <c r="B6544" i="1"/>
  <c r="B6549" i="1"/>
  <c r="B6553" i="1"/>
  <c r="B6556" i="1"/>
  <c r="B6557" i="1"/>
  <c r="B6559" i="1"/>
  <c r="B6560" i="1"/>
  <c r="B6561" i="1"/>
  <c r="B6566" i="1"/>
  <c r="B6568" i="1"/>
  <c r="B6848" i="1" s="1"/>
  <c r="B6569" i="1"/>
  <c r="B6849" i="1" s="1"/>
  <c r="B6570" i="1"/>
  <c r="B7091" i="1" s="1"/>
  <c r="B6573" i="1"/>
  <c r="B6983" i="1" s="1"/>
  <c r="B6574" i="1"/>
  <c r="B7208" i="1" s="1"/>
  <c r="B6575" i="1"/>
  <c r="B7209" i="1" s="1"/>
  <c r="B6576" i="1"/>
  <c r="B7210" i="1" s="1"/>
  <c r="B6577" i="1"/>
  <c r="B7211" i="1" s="1"/>
  <c r="B6578" i="1"/>
  <c r="B6988" i="1" s="1"/>
  <c r="B6579" i="1"/>
  <c r="B7100" i="1" s="1"/>
  <c r="B6581" i="1"/>
  <c r="B7215" i="1" s="1"/>
  <c r="B6582" i="1"/>
  <c r="B7103" i="1" s="1"/>
  <c r="B6583" i="1"/>
  <c r="B6863" i="1" s="1"/>
  <c r="B6584" i="1"/>
  <c r="B6864" i="1" s="1"/>
  <c r="B6585" i="1"/>
  <c r="B6995" i="1" s="1"/>
  <c r="B6588" i="1"/>
  <c r="B7222" i="1" s="1"/>
  <c r="B6589" i="1"/>
  <c r="B7223" i="1" s="1"/>
  <c r="B6592" i="1"/>
  <c r="B7113" i="1" s="1"/>
  <c r="B6593" i="1"/>
  <c r="B7114" i="1" s="1"/>
  <c r="B6595" i="1"/>
  <c r="B7116" i="1" s="1"/>
  <c r="B6596" i="1"/>
  <c r="B7006" i="1" s="1"/>
  <c r="B6597" i="1"/>
  <c r="B7007" i="1" s="1"/>
  <c r="B6599" i="1"/>
  <c r="B7233" i="1" s="1"/>
  <c r="B6601" i="1"/>
  <c r="B7011" i="1" s="1"/>
  <c r="B6602" i="1"/>
  <c r="B7123" i="1" s="1"/>
  <c r="B6603" i="1"/>
  <c r="B6883" i="1" s="1"/>
  <c r="B6605" i="1"/>
  <c r="B7126" i="1" s="1"/>
  <c r="B6606" i="1"/>
  <c r="B7127" i="1" s="1"/>
  <c r="B6608" i="1"/>
  <c r="B7018" i="1" s="1"/>
  <c r="B6609" i="1"/>
  <c r="B7019" i="1" s="1"/>
  <c r="B6611" i="1"/>
  <c r="B7245" i="1" s="1"/>
  <c r="B6612" i="1"/>
  <c r="B7246" i="1" s="1"/>
  <c r="B6614" i="1"/>
  <c r="B7248" i="1" s="1"/>
  <c r="B6615" i="1"/>
  <c r="B7136" i="1" s="1"/>
  <c r="B6616" i="1"/>
  <c r="B7137" i="1" s="1"/>
  <c r="B6617" i="1"/>
  <c r="B7027" i="1" s="1"/>
  <c r="B6618" i="1"/>
  <c r="B6898" i="1" s="1"/>
  <c r="B6619" i="1"/>
  <c r="B6899" i="1" s="1"/>
  <c r="B6620" i="1"/>
  <c r="B7030" i="1" s="1"/>
  <c r="B6621" i="1"/>
  <c r="B7031" i="1" s="1"/>
  <c r="B6622" i="1"/>
  <c r="B7256" i="1" s="1"/>
  <c r="B6624" i="1"/>
  <c r="B7258" i="1" s="1"/>
  <c r="B6625" i="1"/>
  <c r="B7259" i="1" s="1"/>
  <c r="B6626" i="1"/>
  <c r="B7260" i="1" s="1"/>
  <c r="B6627" i="1"/>
  <c r="B7148" i="1" s="1"/>
  <c r="B6628" i="1"/>
  <c r="B7149" i="1" s="1"/>
  <c r="B6629" i="1"/>
  <c r="B7263" i="1" s="1"/>
  <c r="B6630" i="1"/>
  <c r="B7264" i="1" s="1"/>
  <c r="B6632" i="1"/>
  <c r="B6912" i="1" s="1"/>
  <c r="B6634" i="1"/>
  <c r="B6777" i="1" s="1"/>
  <c r="B6635" i="1"/>
  <c r="B7269" i="1" s="1"/>
  <c r="B6637" i="1"/>
  <c r="B6638" i="1"/>
  <c r="B6646" i="1"/>
  <c r="B6649" i="1"/>
  <c r="B6650" i="1"/>
  <c r="B6651" i="1"/>
  <c r="B6658" i="1"/>
  <c r="B6659" i="1"/>
  <c r="B6661" i="1"/>
  <c r="B6665" i="1"/>
  <c r="B7273" i="1" s="1"/>
  <c r="B6667" i="1"/>
  <c r="B7275" i="1" s="1"/>
  <c r="B6668" i="1"/>
  <c r="B7163" i="1" s="1"/>
  <c r="B6669" i="1"/>
  <c r="B7164" i="1" s="1"/>
  <c r="B6670" i="1"/>
  <c r="B7165" i="1" s="1"/>
  <c r="B6675" i="1"/>
  <c r="B7283" i="1" s="1"/>
  <c r="B6676" i="1"/>
  <c r="B7284" i="1" s="1"/>
  <c r="B6677" i="1"/>
  <c r="B7285" i="1" s="1"/>
  <c r="B6679" i="1"/>
  <c r="B7063" i="1" s="1"/>
  <c r="B6680" i="1"/>
  <c r="B7175" i="1" s="1"/>
  <c r="B6686" i="1"/>
  <c r="B6823" i="1" s="1"/>
  <c r="B6690" i="1"/>
  <c r="B7300" i="1" s="1"/>
  <c r="B6691" i="1"/>
  <c r="B7186" i="1" s="1"/>
  <c r="B6692" i="1"/>
  <c r="B7187" i="1" s="1"/>
  <c r="B6693" i="1"/>
  <c r="B7190" i="1" s="1"/>
  <c r="B6694" i="1"/>
  <c r="B7191" i="1" s="1"/>
  <c r="B6695" i="1"/>
  <c r="B7192" i="1" s="1"/>
  <c r="B6696" i="1"/>
  <c r="B7080" i="1" s="1"/>
  <c r="B6698" i="1"/>
  <c r="B7310" i="1" s="1"/>
  <c r="B6699" i="1"/>
  <c r="B7311" i="1" s="1"/>
  <c r="B6702" i="1"/>
  <c r="B7086" i="1" s="1"/>
  <c r="B6704" i="1"/>
  <c r="B6978" i="1" s="1"/>
  <c r="B7319" i="1"/>
  <c r="B7321" i="1"/>
  <c r="B7322" i="1"/>
  <c r="B7323" i="1"/>
  <c r="B7324" i="1"/>
  <c r="B7325" i="1"/>
  <c r="B7326" i="1"/>
  <c r="B7327" i="1"/>
  <c r="B7328" i="1"/>
  <c r="B7330" i="1"/>
  <c r="B7331" i="1"/>
  <c r="B7332" i="1"/>
  <c r="B7342" i="1"/>
  <c r="B7348" i="1"/>
  <c r="B7357" i="1"/>
  <c r="B7358" i="1"/>
  <c r="B7363" i="1" s="1"/>
  <c r="B7359" i="1"/>
  <c r="B7364" i="1" s="1"/>
  <c r="B7361" i="1"/>
  <c r="B7366" i="1" s="1"/>
  <c r="B7362" i="1"/>
  <c r="B7367" i="1" s="1"/>
  <c r="B7371" i="1"/>
  <c r="B7372" i="1"/>
  <c r="B7374" i="1"/>
  <c r="B7442" i="1" s="1"/>
  <c r="B7382" i="1"/>
  <c r="B7446" i="1" s="1"/>
  <c r="B7383" i="1"/>
  <c r="B7447" i="1" s="1"/>
  <c r="B7384" i="1"/>
  <c r="B7448" i="1" s="1"/>
  <c r="B7386" i="1"/>
  <c r="B7450" i="1" s="1"/>
  <c r="B7387" i="1"/>
  <c r="B7451" i="1" s="1"/>
  <c r="B7389" i="1"/>
  <c r="B7453" i="1" s="1"/>
  <c r="B7392" i="1"/>
  <c r="B7454" i="1" s="1"/>
  <c r="B7393" i="1"/>
  <c r="B7455" i="1" s="1"/>
  <c r="B7403" i="1"/>
  <c r="B7457" i="1" s="1"/>
  <c r="B7440" i="1"/>
  <c r="B7478" i="1" s="1"/>
  <c r="B7479" i="1"/>
  <c r="B7480" i="1"/>
  <c r="B7618" i="1" s="1"/>
  <c r="B7481" i="1"/>
  <c r="B7619" i="1" s="1"/>
  <c r="B7482" i="1"/>
  <c r="B7620" i="1" s="1"/>
  <c r="B7484" i="1"/>
  <c r="B9942" i="1" s="1"/>
  <c r="B7485" i="1"/>
  <c r="B7623" i="1" s="1"/>
  <c r="B7486" i="1"/>
  <c r="B7624" i="1" s="1"/>
  <c r="B7488" i="1"/>
  <c r="B7626" i="1" s="1"/>
  <c r="B7489" i="1"/>
  <c r="B7627" i="1" s="1"/>
  <c r="B7490" i="1"/>
  <c r="B7628" i="1" s="1"/>
  <c r="B7491" i="1"/>
  <c r="B7629" i="1" s="1"/>
  <c r="B7492" i="1"/>
  <c r="B7630" i="1" s="1"/>
  <c r="B7493" i="1"/>
  <c r="B9951" i="1" s="1"/>
  <c r="B7494" i="1"/>
  <c r="B7495" i="1"/>
  <c r="B10035" i="1" s="1"/>
  <c r="B7497" i="1"/>
  <c r="B7635" i="1" s="1"/>
  <c r="B7498" i="1"/>
  <c r="B7636" i="1" s="1"/>
  <c r="B7499" i="1"/>
  <c r="B7637" i="1" s="1"/>
  <c r="B7502" i="1"/>
  <c r="B10042" i="1" s="1"/>
  <c r="B7504" i="1"/>
  <c r="B7642" i="1" s="1"/>
  <c r="B7505" i="1"/>
  <c r="B10045" i="1" s="1"/>
  <c r="B7506" i="1"/>
  <c r="B7507" i="1"/>
  <c r="B7645" i="1" s="1"/>
  <c r="B7509" i="1"/>
  <c r="B7647" i="1" s="1"/>
  <c r="B7510" i="1"/>
  <c r="B7648" i="1" s="1"/>
  <c r="B7511" i="1"/>
  <c r="B7649" i="1" s="1"/>
  <c r="B7512" i="1"/>
  <c r="B7650" i="1" s="1"/>
  <c r="B7513" i="1"/>
  <c r="B10053" i="1" s="1"/>
  <c r="B7514" i="1"/>
  <c r="B7652" i="1" s="1"/>
  <c r="B7515" i="1"/>
  <c r="B10055" i="1" s="1"/>
  <c r="B7516" i="1"/>
  <c r="B7654" i="1" s="1"/>
  <c r="B7517" i="1"/>
  <c r="B7655" i="1" s="1"/>
  <c r="B7519" i="1"/>
  <c r="B7657" i="1" s="1"/>
  <c r="B7518" i="1"/>
  <c r="B7656" i="1" s="1"/>
  <c r="B7521" i="1"/>
  <c r="B7659" i="1" s="1"/>
  <c r="B7522" i="1"/>
  <c r="B7660" i="1" s="1"/>
  <c r="B7525" i="1"/>
  <c r="B7663" i="1" s="1"/>
  <c r="B7526" i="1"/>
  <c r="B7664" i="1" s="1"/>
  <c r="B7529" i="1"/>
  <c r="B7667" i="1" s="1"/>
  <c r="B7530" i="1"/>
  <c r="B7668" i="1" s="1"/>
  <c r="B7531" i="1"/>
  <c r="B7669" i="1" s="1"/>
  <c r="B7532" i="1"/>
  <c r="B7670" i="1" s="1"/>
  <c r="B7535" i="1"/>
  <c r="B7673" i="1" s="1"/>
  <c r="B7537" i="1"/>
  <c r="B7675" i="1" s="1"/>
  <c r="B7538" i="1"/>
  <c r="B7676" i="1" s="1"/>
  <c r="B7539" i="1"/>
  <c r="B7677" i="1" s="1"/>
  <c r="B7540" i="1"/>
  <c r="B7678" i="1" s="1"/>
  <c r="B7541" i="1"/>
  <c r="B7679" i="1" s="1"/>
  <c r="B7542" i="1"/>
  <c r="B7680" i="1" s="1"/>
  <c r="B7543" i="1"/>
  <c r="B7681" i="1" s="1"/>
  <c r="B7544" i="1"/>
  <c r="B7682" i="1" s="1"/>
  <c r="B7545" i="1"/>
  <c r="B7683" i="1" s="1"/>
  <c r="B7546" i="1"/>
  <c r="B7684" i="1" s="1"/>
  <c r="B7547" i="1"/>
  <c r="B7685" i="1" s="1"/>
  <c r="B7550" i="1"/>
  <c r="B7688" i="1" s="1"/>
  <c r="B7552" i="1"/>
  <c r="B7690" i="1" s="1"/>
  <c r="B7553" i="1"/>
  <c r="B7691" i="1" s="1"/>
  <c r="B7554" i="1"/>
  <c r="B7558" i="1"/>
  <c r="B7696" i="1" s="1"/>
  <c r="B7559" i="1"/>
  <c r="B7697" i="1" s="1"/>
  <c r="B7560" i="1"/>
  <c r="B7698" i="1" s="1"/>
  <c r="B7561" i="1"/>
  <c r="B10019" i="1" s="1"/>
  <c r="B7562" i="1"/>
  <c r="B7700" i="1" s="1"/>
  <c r="B7563" i="1"/>
  <c r="B7701" i="1" s="1"/>
  <c r="B7564" i="1"/>
  <c r="B7702" i="1" s="1"/>
  <c r="B7565" i="1"/>
  <c r="B7703" i="1" s="1"/>
  <c r="B7566" i="1"/>
  <c r="B7704" i="1" s="1"/>
  <c r="B7567" i="1"/>
  <c r="B7705" i="1" s="1"/>
  <c r="B7568" i="1"/>
  <c r="B7706" i="1" s="1"/>
  <c r="B7569" i="1"/>
  <c r="B7707" i="1" s="1"/>
  <c r="B7573" i="1"/>
  <c r="B7711" i="1" s="1"/>
  <c r="B7579" i="1"/>
  <c r="B7717" i="1" s="1"/>
  <c r="B7581" i="1"/>
  <c r="B7719" i="1" s="1"/>
  <c r="B7584" i="1"/>
  <c r="B7722" i="1" s="1"/>
  <c r="B7585" i="1"/>
  <c r="B7723" i="1" s="1"/>
  <c r="B7586" i="1"/>
  <c r="B7724" i="1" s="1"/>
  <c r="B7588" i="1"/>
  <c r="B7726" i="1" s="1"/>
  <c r="B7590" i="1"/>
  <c r="B7728" i="1" s="1"/>
  <c r="B7591" i="1"/>
  <c r="B7729" i="1" s="1"/>
  <c r="B7596" i="1"/>
  <c r="B7734" i="1" s="1"/>
  <c r="B7600" i="1"/>
  <c r="B7738" i="1" s="1"/>
  <c r="B7603" i="1"/>
  <c r="B7741" i="1" s="1"/>
  <c r="B7604" i="1"/>
  <c r="B7742" i="1" s="1"/>
  <c r="B7605" i="1"/>
  <c r="B7743" i="1" s="1"/>
  <c r="B7607" i="1"/>
  <c r="B7745" i="1" s="1"/>
  <c r="B7609" i="1"/>
  <c r="B7747" i="1" s="1"/>
  <c r="B7611" i="1"/>
  <c r="B7749" i="1" s="1"/>
  <c r="B7613" i="1"/>
  <c r="B7751" i="1" s="1"/>
  <c r="B7614" i="1"/>
  <c r="B7752" i="1" s="1"/>
  <c r="B7616" i="1"/>
  <c r="B7754" i="1" s="1"/>
  <c r="B7617" i="1"/>
  <c r="B7755" i="1" s="1"/>
  <c r="B7757" i="1"/>
  <c r="B7758" i="1"/>
  <c r="B7760" i="1"/>
  <c r="B7762" i="1"/>
  <c r="B7763" i="1"/>
  <c r="B7946" i="1" s="1"/>
  <c r="B8099" i="1" s="1"/>
  <c r="B7764" i="1"/>
  <c r="B7947" i="1" s="1"/>
  <c r="B8100" i="1" s="1"/>
  <c r="B7767" i="1"/>
  <c r="B7949" i="1" s="1"/>
  <c r="B8102" i="1" s="1"/>
  <c r="B7770" i="1"/>
  <c r="B8256" i="1" s="1"/>
  <c r="B7771" i="1"/>
  <c r="B7774" i="1"/>
  <c r="B8259" i="1" s="1"/>
  <c r="B7778" i="1"/>
  <c r="B8262" i="1" s="1"/>
  <c r="B7776" i="1"/>
  <c r="B7955" i="1" s="1"/>
  <c r="B8108" i="1" s="1"/>
  <c r="B7782" i="1"/>
  <c r="B8264" i="1" s="1"/>
  <c r="B7780" i="1"/>
  <c r="B7785" i="1"/>
  <c r="B8266" i="1" s="1"/>
  <c r="B7786" i="1"/>
  <c r="B8267" i="1" s="1"/>
  <c r="B7787" i="1"/>
  <c r="B7963" i="1" s="1"/>
  <c r="B8116" i="1" s="1"/>
  <c r="B7789" i="1"/>
  <c r="B7965" i="1" s="1"/>
  <c r="B8118" i="1" s="1"/>
  <c r="B7791" i="1"/>
  <c r="B7967" i="1" s="1"/>
  <c r="B8120" i="1" s="1"/>
  <c r="B7792" i="1"/>
  <c r="B7968" i="1" s="1"/>
  <c r="B8121" i="1" s="1"/>
  <c r="B7795" i="1"/>
  <c r="B7797" i="1"/>
  <c r="B8278" i="1" s="1"/>
  <c r="B7798" i="1"/>
  <c r="B7974" i="1" s="1"/>
  <c r="B8127" i="1" s="1"/>
  <c r="B7799" i="1"/>
  <c r="B8280" i="1" s="1"/>
  <c r="B7800" i="1"/>
  <c r="B8281" i="1" s="1"/>
  <c r="B7801" i="1"/>
  <c r="B7803" i="1"/>
  <c r="B7979" i="1" s="1"/>
  <c r="B8132" i="1" s="1"/>
  <c r="B7804" i="1"/>
  <c r="B7980" i="1" s="1"/>
  <c r="B8133" i="1" s="1"/>
  <c r="B7805" i="1"/>
  <c r="B8286" i="1" s="1"/>
  <c r="B7806" i="1"/>
  <c r="B7807" i="1"/>
  <c r="B7808" i="1"/>
  <c r="B7984" i="1" s="1"/>
  <c r="B8137" i="1" s="1"/>
  <c r="B7814" i="1"/>
  <c r="B7815" i="1"/>
  <c r="B7819" i="1"/>
  <c r="B7820" i="1"/>
  <c r="B7990" i="1" s="1"/>
  <c r="B8143" i="1" s="1"/>
  <c r="B7821" i="1"/>
  <c r="B7991" i="1" s="1"/>
  <c r="B8144" i="1" s="1"/>
  <c r="B7823" i="1"/>
  <c r="B8298" i="1" s="1"/>
  <c r="B7824" i="1"/>
  <c r="B7825" i="1"/>
  <c r="B7826" i="1"/>
  <c r="B7827" i="1"/>
  <c r="B8302" i="1" s="1"/>
  <c r="B7828" i="1"/>
  <c r="B8303" i="1" s="1"/>
  <c r="B7829" i="1"/>
  <c r="B7830" i="1"/>
  <c r="B8000" i="1" s="1"/>
  <c r="B8153" i="1" s="1"/>
  <c r="B7831" i="1"/>
  <c r="B8001" i="1" s="1"/>
  <c r="B8154" i="1" s="1"/>
  <c r="B7832" i="1"/>
  <c r="B8002" i="1" s="1"/>
  <c r="B8155" i="1" s="1"/>
  <c r="B7833" i="1"/>
  <c r="B8003" i="1" s="1"/>
  <c r="B8156" i="1" s="1"/>
  <c r="B7834" i="1"/>
  <c r="B8004" i="1" s="1"/>
  <c r="B8157" i="1" s="1"/>
  <c r="B7835" i="1"/>
  <c r="B8310" i="1" s="1"/>
  <c r="B7836" i="1"/>
  <c r="B7837" i="1"/>
  <c r="B7838" i="1"/>
  <c r="B7839" i="1"/>
  <c r="B7849" i="1"/>
  <c r="B8313" i="1" s="1"/>
  <c r="B7850" i="1"/>
  <c r="B8314" i="1" s="1"/>
  <c r="B7853" i="1"/>
  <c r="B8014" i="1" s="1"/>
  <c r="B8165" i="1" s="1"/>
  <c r="B7852" i="1"/>
  <c r="B8013" i="1" s="1"/>
  <c r="B8164" i="1" s="1"/>
  <c r="B7854" i="1"/>
  <c r="B8015" i="1" s="1"/>
  <c r="B8166" i="1" s="1"/>
  <c r="B7855" i="1"/>
  <c r="B8016" i="1" s="1"/>
  <c r="B8167" i="1" s="1"/>
  <c r="B7858" i="1"/>
  <c r="B8322" i="1" s="1"/>
  <c r="B7859" i="1"/>
  <c r="B8323" i="1" s="1"/>
  <c r="B7860" i="1"/>
  <c r="B8021" i="1" s="1"/>
  <c r="B8172" i="1" s="1"/>
  <c r="B7865" i="1"/>
  <c r="B8026" i="1" s="1"/>
  <c r="B8177" i="1" s="1"/>
  <c r="B7866" i="1"/>
  <c r="B8330" i="1" s="1"/>
  <c r="B7867" i="1"/>
  <c r="B8331" i="1" s="1"/>
  <c r="B7868" i="1"/>
  <c r="B8029" i="1" s="1"/>
  <c r="B8180" i="1" s="1"/>
  <c r="B7869" i="1"/>
  <c r="B8030" i="1" s="1"/>
  <c r="B8181" i="1" s="1"/>
  <c r="B7870" i="1"/>
  <c r="B8334" i="1" s="1"/>
  <c r="B7871" i="1"/>
  <c r="B8335" i="1" s="1"/>
  <c r="B7873" i="1"/>
  <c r="B7875" i="1"/>
  <c r="B8339" i="1" s="1"/>
  <c r="B7876" i="1"/>
  <c r="B8037" i="1" s="1"/>
  <c r="B8188" i="1" s="1"/>
  <c r="B7877" i="1"/>
  <c r="B8038" i="1" s="1"/>
  <c r="B8189" i="1" s="1"/>
  <c r="B7879" i="1"/>
  <c r="B7880" i="1"/>
  <c r="B7881" i="1"/>
  <c r="B8042" i="1" s="1"/>
  <c r="B8193" i="1" s="1"/>
  <c r="B7882" i="1"/>
  <c r="B8346" i="1" s="1"/>
  <c r="B7883" i="1"/>
  <c r="B8347" i="1" s="1"/>
  <c r="B7884" i="1"/>
  <c r="B8045" i="1" s="1"/>
  <c r="B8196" i="1" s="1"/>
  <c r="B7886" i="1"/>
  <c r="B8047" i="1" s="1"/>
  <c r="B8198" i="1" s="1"/>
  <c r="B7887" i="1"/>
  <c r="B8048" i="1" s="1"/>
  <c r="B8199" i="1" s="1"/>
  <c r="B7888" i="1"/>
  <c r="B8049" i="1" s="1"/>
  <c r="B8200" i="1" s="1"/>
  <c r="B7889" i="1"/>
  <c r="B8050" i="1" s="1"/>
  <c r="B8201" i="1" s="1"/>
  <c r="B7891" i="1"/>
  <c r="B7892" i="1"/>
  <c r="B8053" i="1" s="1"/>
  <c r="B8204" i="1" s="1"/>
  <c r="B7893" i="1"/>
  <c r="B8054" i="1" s="1"/>
  <c r="B8205" i="1" s="1"/>
  <c r="B7895" i="1"/>
  <c r="B8359" i="1" s="1"/>
  <c r="B7896" i="1"/>
  <c r="B8057" i="1" s="1"/>
  <c r="B8208" i="1" s="1"/>
  <c r="B7898" i="1"/>
  <c r="B7899" i="1"/>
  <c r="B7900" i="1"/>
  <c r="B8061" i="1" s="1"/>
  <c r="B8212" i="1" s="1"/>
  <c r="B7901" i="1"/>
  <c r="B7902" i="1"/>
  <c r="B8063" i="1" s="1"/>
  <c r="B8214" i="1" s="1"/>
  <c r="B7904" i="1"/>
  <c r="B7905" i="1"/>
  <c r="B8369" i="1" s="1"/>
  <c r="B7906" i="1"/>
  <c r="B8370" i="1" s="1"/>
  <c r="B7913" i="1"/>
  <c r="B8371" i="1" s="1"/>
  <c r="B7914" i="1"/>
  <c r="B7916" i="1"/>
  <c r="B8071" i="1" s="1"/>
  <c r="B8222" i="1" s="1"/>
  <c r="B7917" i="1"/>
  <c r="B8072" i="1" s="1"/>
  <c r="B8223" i="1" s="1"/>
  <c r="B7918" i="1"/>
  <c r="B8073" i="1" s="1"/>
  <c r="B8224" i="1" s="1"/>
  <c r="B7919" i="1"/>
  <c r="B8074" i="1" s="1"/>
  <c r="B8225" i="1" s="1"/>
  <c r="B7920" i="1"/>
  <c r="B8378" i="1" s="1"/>
  <c r="B7922" i="1"/>
  <c r="B7923" i="1"/>
  <c r="B8381" i="1" s="1"/>
  <c r="B7924" i="1"/>
  <c r="B8382" i="1" s="1"/>
  <c r="B7926" i="1"/>
  <c r="B8384" i="1" s="1"/>
  <c r="B7927" i="1"/>
  <c r="B8082" i="1" s="1"/>
  <c r="B8233" i="1" s="1"/>
  <c r="B7928" i="1"/>
  <c r="B7929" i="1"/>
  <c r="B8387" i="1" s="1"/>
  <c r="B7931" i="1"/>
  <c r="B8086" i="1" s="1"/>
  <c r="B8237" i="1" s="1"/>
  <c r="B7932" i="1"/>
  <c r="B7934" i="1"/>
  <c r="B8089" i="1" s="1"/>
  <c r="B8240" i="1" s="1"/>
  <c r="B7936" i="1"/>
  <c r="B8394" i="1" s="1"/>
  <c r="B7940" i="1"/>
  <c r="B8398" i="1" s="1"/>
  <c r="B8440" i="1"/>
  <c r="B8441" i="1" s="1"/>
  <c r="B8442" i="1" s="1"/>
  <c r="B8443" i="1"/>
  <c r="B8445" i="1" s="1"/>
  <c r="B8444" i="1" s="1"/>
  <c r="B8446" i="1"/>
  <c r="B5527" i="1" s="1"/>
  <c r="B8455" i="1"/>
  <c r="B8457" i="1" s="1"/>
  <c r="B8456" i="1" s="1"/>
  <c r="B8458" i="1"/>
  <c r="B8460" i="1" s="1"/>
  <c r="B8459" i="1" s="1"/>
  <c r="B8461" i="1"/>
  <c r="B8463" i="1" s="1"/>
  <c r="B8462" i="1" s="1"/>
  <c r="B8464" i="1"/>
  <c r="B8466" i="1" s="1"/>
  <c r="B8465" i="1" s="1"/>
  <c r="B8467" i="1"/>
  <c r="B8469" i="1" s="1"/>
  <c r="B8468" i="1" s="1"/>
  <c r="B8470" i="1"/>
  <c r="B8472" i="1" s="1"/>
  <c r="B8471" i="1" s="1"/>
  <c r="B8473" i="1"/>
  <c r="B8475" i="1" s="1"/>
  <c r="B8474" i="1" s="1"/>
  <c r="B8476" i="1"/>
  <c r="B8478" i="1" s="1"/>
  <c r="B8477" i="1" s="1"/>
  <c r="B8479" i="1"/>
  <c r="B8481" i="1" s="1"/>
  <c r="B8480" i="1" s="1"/>
  <c r="B8482" i="1"/>
  <c r="B8483" i="1" s="1"/>
  <c r="B8484" i="1" s="1"/>
  <c r="B8399" i="1"/>
  <c r="B8401" i="1" s="1"/>
  <c r="B8400" i="1" s="1"/>
  <c r="B8402" i="1"/>
  <c r="B5336" i="1" s="1"/>
  <c r="B8405" i="1"/>
  <c r="B8407" i="1" s="1"/>
  <c r="B8406" i="1" s="1"/>
  <c r="B8408" i="1"/>
  <c r="B8410" i="1" s="1"/>
  <c r="B8409" i="1" s="1"/>
  <c r="B8411" i="1"/>
  <c r="B5544" i="1" s="1"/>
  <c r="B8414" i="1"/>
  <c r="B8416" i="1" s="1"/>
  <c r="B8415" i="1" s="1"/>
  <c r="B8420" i="1"/>
  <c r="B5134" i="1" s="1"/>
  <c r="B8429" i="1"/>
  <c r="B5343" i="1" s="1"/>
  <c r="B8437" i="1"/>
  <c r="B8439" i="1" s="1"/>
  <c r="B8438" i="1" s="1"/>
  <c r="B8432" i="1"/>
  <c r="B8434" i="1" s="1"/>
  <c r="B8433" i="1" s="1"/>
  <c r="B8435" i="1"/>
  <c r="B8436" i="1" s="1"/>
  <c r="B8485" i="1" s="1"/>
  <c r="B8486" i="1"/>
  <c r="B5552" i="1" s="1"/>
  <c r="B8487" i="1"/>
  <c r="B8488" i="1"/>
  <c r="B8492" i="1"/>
  <c r="B5145" i="1" s="1"/>
  <c r="B8493" i="1"/>
  <c r="B8781" i="1" s="1"/>
  <c r="B8494" i="1"/>
  <c r="B8495" i="1"/>
  <c r="B8496" i="1"/>
  <c r="B8497" i="1"/>
  <c r="B8498" i="1"/>
  <c r="B5151" i="1" s="1"/>
  <c r="B8499" i="1"/>
  <c r="B8500" i="1"/>
  <c r="B8501" i="1"/>
  <c r="B8502" i="1"/>
  <c r="B8504" i="1"/>
  <c r="B8505" i="1"/>
  <c r="B8511" i="1"/>
  <c r="B8512" i="1"/>
  <c r="B8514" i="1"/>
  <c r="B8515" i="1"/>
  <c r="B8516" i="1"/>
  <c r="B8517" i="1"/>
  <c r="B8520" i="1"/>
  <c r="B8526" i="1"/>
  <c r="B5169" i="1" s="1"/>
  <c r="B8527" i="1"/>
  <c r="B8528" i="1"/>
  <c r="B8529" i="1"/>
  <c r="B8534" i="1"/>
  <c r="B5381" i="1" s="1"/>
  <c r="B8535" i="1"/>
  <c r="B8536" i="1"/>
  <c r="B8537" i="1"/>
  <c r="B8542" i="1"/>
  <c r="B8543" i="1"/>
  <c r="B8544" i="1"/>
  <c r="B8545" i="1"/>
  <c r="B5181" i="1" s="1"/>
  <c r="B8546" i="1"/>
  <c r="B5182" i="1" s="1"/>
  <c r="B8547" i="1"/>
  <c r="B5390" i="1" s="1"/>
  <c r="B8548" i="1"/>
  <c r="B8560" i="1"/>
  <c r="B8561" i="1"/>
  <c r="B8562" i="1"/>
  <c r="B8563" i="1"/>
  <c r="B4964" i="1" s="1"/>
  <c r="B8564" i="1"/>
  <c r="B4965" i="1" s="1"/>
  <c r="B8565" i="1"/>
  <c r="B5191" i="1" s="1"/>
  <c r="B8566" i="1"/>
  <c r="B8567" i="1"/>
  <c r="B8573" i="1"/>
  <c r="B8574" i="1"/>
  <c r="B8576" i="1"/>
  <c r="B8577" i="1"/>
  <c r="B8578" i="1"/>
  <c r="B8579" i="1"/>
  <c r="B5407" i="1" s="1"/>
  <c r="B8580" i="1"/>
  <c r="B8581" i="1"/>
  <c r="B8582" i="1"/>
  <c r="B5203" i="1" s="1"/>
  <c r="B8583" i="1"/>
  <c r="B5411" i="1" s="1"/>
  <c r="B8584" i="1"/>
  <c r="B8585" i="1"/>
  <c r="B8586" i="1"/>
  <c r="B8587" i="1"/>
  <c r="B8588" i="1"/>
  <c r="B8590" i="1"/>
  <c r="B8605" i="1"/>
  <c r="B8609" i="1"/>
  <c r="B8618" i="1"/>
  <c r="B5423" i="1" s="1"/>
  <c r="B8621" i="1"/>
  <c r="B8622" i="1"/>
  <c r="B8623" i="1"/>
  <c r="B8625" i="1"/>
  <c r="B8661" i="1"/>
  <c r="B8663" i="1"/>
  <c r="B8664" i="1"/>
  <c r="B8667" i="1"/>
  <c r="B8666" i="1"/>
  <c r="B8668" i="1"/>
  <c r="B8669" i="1"/>
  <c r="B8670" i="1"/>
  <c r="B8671" i="1"/>
  <c r="B8677" i="1"/>
  <c r="B5682" i="1" s="1"/>
  <c r="B8682" i="1"/>
  <c r="B5258" i="1" s="1"/>
  <c r="B8684" i="1"/>
  <c r="B8685" i="1"/>
  <c r="B8678" i="1"/>
  <c r="B8687" i="1"/>
  <c r="B8688" i="1"/>
  <c r="B8689" i="1"/>
  <c r="B8691" i="1"/>
  <c r="B8693" i="1"/>
  <c r="B5063" i="1" s="1"/>
  <c r="B8694" i="1"/>
  <c r="B5477" i="1" s="1"/>
  <c r="B8695" i="1"/>
  <c r="B9127" i="1" s="1"/>
  <c r="B8697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5495" i="1" s="1"/>
  <c r="B8713" i="1"/>
  <c r="B5289" i="1" s="1"/>
  <c r="B8714" i="1"/>
  <c r="B8718" i="1"/>
  <c r="B5294" i="1" s="1"/>
  <c r="B8719" i="1"/>
  <c r="B5295" i="1" s="1"/>
  <c r="B8725" i="1"/>
  <c r="B5296" i="1" s="1"/>
  <c r="B8726" i="1"/>
  <c r="B5504" i="1" s="1"/>
  <c r="B8727" i="1"/>
  <c r="B8728" i="1"/>
  <c r="B8729" i="1"/>
  <c r="B8731" i="1"/>
  <c r="B8732" i="1"/>
  <c r="B8733" i="1"/>
  <c r="B8734" i="1"/>
  <c r="B8735" i="1"/>
  <c r="B8736" i="1"/>
  <c r="B8738" i="1"/>
  <c r="B8740" i="1"/>
  <c r="B8742" i="1"/>
  <c r="B5520" i="1" s="1"/>
  <c r="B8743" i="1"/>
  <c r="B8744" i="1"/>
  <c r="B8745" i="1"/>
  <c r="B8746" i="1"/>
  <c r="B8628" i="1"/>
  <c r="B8629" i="1"/>
  <c r="B8633" i="1"/>
  <c r="B5224" i="1" s="1"/>
  <c r="B8637" i="1"/>
  <c r="B5657" i="1" s="1"/>
  <c r="B8638" i="1"/>
  <c r="B8640" i="1"/>
  <c r="B8641" i="1"/>
  <c r="B8642" i="1"/>
  <c r="B8643" i="1"/>
  <c r="B8607" i="1"/>
  <c r="B5421" i="1" s="1"/>
  <c r="B8656" i="1"/>
  <c r="B8657" i="1"/>
  <c r="B8658" i="1"/>
  <c r="B8659" i="1"/>
  <c r="B8660" i="1"/>
  <c r="B9366" i="1"/>
  <c r="B9175" i="1"/>
  <c r="B9176" i="1"/>
  <c r="B9370" i="1"/>
  <c r="B9179" i="1"/>
  <c r="B9180" i="1"/>
  <c r="B9181" i="1"/>
  <c r="B9565" i="1" s="1"/>
  <c r="B9182" i="1"/>
  <c r="B9183" i="1"/>
  <c r="B9567" i="1" s="1"/>
  <c r="B9184" i="1"/>
  <c r="B9185" i="1"/>
  <c r="B9186" i="1"/>
  <c r="B9187" i="1"/>
  <c r="B9188" i="1"/>
  <c r="B9573" i="1"/>
  <c r="B9190" i="1"/>
  <c r="B9191" i="1"/>
  <c r="B9192" i="1"/>
  <c r="B9193" i="1"/>
  <c r="B9196" i="1"/>
  <c r="B9199" i="1"/>
  <c r="B9204" i="1"/>
  <c r="B9396" i="1" s="1"/>
  <c r="B9205" i="1"/>
  <c r="B9397" i="1" s="1"/>
  <c r="B9206" i="1"/>
  <c r="B9398" i="1" s="1"/>
  <c r="B9207" i="1"/>
  <c r="B9779" i="1" s="1"/>
  <c r="B9208" i="1"/>
  <c r="B9209" i="1"/>
  <c r="B9210" i="1"/>
  <c r="B9211" i="1"/>
  <c r="B9212" i="1"/>
  <c r="B9404" i="1" s="1"/>
  <c r="B9213" i="1"/>
  <c r="B9215" i="1"/>
  <c r="B9216" i="1"/>
  <c r="B9788" i="1" s="1"/>
  <c r="B9217" i="1"/>
  <c r="B9218" i="1"/>
  <c r="B9219" i="1"/>
  <c r="B9791" i="1" s="1"/>
  <c r="B9222" i="1"/>
  <c r="B9224" i="1"/>
  <c r="B9226" i="1"/>
  <c r="B9228" i="1"/>
  <c r="B9230" i="1"/>
  <c r="B9231" i="1"/>
  <c r="B9232" i="1"/>
  <c r="B9235" i="1"/>
  <c r="B9236" i="1"/>
  <c r="B9237" i="1"/>
  <c r="B9429" i="1" s="1"/>
  <c r="B9243" i="1"/>
  <c r="B9246" i="1"/>
  <c r="B9247" i="1"/>
  <c r="B9819" i="1" s="1"/>
  <c r="B9248" i="1"/>
  <c r="B9440" i="1" s="1"/>
  <c r="B9249" i="1"/>
  <c r="B9250" i="1"/>
  <c r="B9251" i="1"/>
  <c r="B9252" i="1"/>
  <c r="B9253" i="1"/>
  <c r="B9826" i="1"/>
  <c r="B9255" i="1"/>
  <c r="B9257" i="1"/>
  <c r="B9258" i="1"/>
  <c r="B9260" i="1"/>
  <c r="B9262" i="1"/>
  <c r="B9454" i="1" s="1"/>
  <c r="B9267" i="1"/>
  <c r="B9269" i="1"/>
  <c r="B9461" i="1" s="1"/>
  <c r="B9270" i="1"/>
  <c r="B9271" i="1"/>
  <c r="B9272" i="1"/>
  <c r="B9273" i="1"/>
  <c r="B9465" i="1" s="1"/>
  <c r="B9274" i="1"/>
  <c r="B9275" i="1"/>
  <c r="B9276" i="1"/>
  <c r="B9468" i="1" s="1"/>
  <c r="B9277" i="1"/>
  <c r="B9845" i="1" s="1"/>
  <c r="B9278" i="1"/>
  <c r="B9279" i="1"/>
  <c r="B9280" i="1"/>
  <c r="B9472" i="1" s="1"/>
  <c r="B9281" i="1"/>
  <c r="B9282" i="1"/>
  <c r="B9475" i="1"/>
  <c r="B9284" i="1"/>
  <c r="B9476" i="1" s="1"/>
  <c r="B9285" i="1"/>
  <c r="B9286" i="1"/>
  <c r="B9480" i="1"/>
  <c r="B9670" i="1"/>
  <c r="B9291" i="1"/>
  <c r="B9293" i="1"/>
  <c r="B9489" i="1"/>
  <c r="B9298" i="1"/>
  <c r="B9299" i="1"/>
  <c r="B9300" i="1"/>
  <c r="B9301" i="1"/>
  <c r="B9302" i="1"/>
  <c r="B9496" i="1"/>
  <c r="B9307" i="1"/>
  <c r="B9499" i="1" s="1"/>
  <c r="B9308" i="1"/>
  <c r="B9876" i="1" s="1"/>
  <c r="B9361" i="1"/>
  <c r="B9362" i="1"/>
  <c r="B9363" i="1"/>
  <c r="B9364" i="1"/>
  <c r="B9365" i="1"/>
  <c r="B9309" i="1"/>
  <c r="B9314" i="1"/>
  <c r="B9315" i="1"/>
  <c r="B9317" i="1"/>
  <c r="B9887" i="1"/>
  <c r="B9326" i="1"/>
  <c r="B9328" i="1"/>
  <c r="B9329" i="1"/>
  <c r="B9712" i="1"/>
  <c r="B9904" i="1"/>
  <c r="B9529" i="1"/>
  <c r="B9338" i="1"/>
  <c r="B9908" i="1"/>
  <c r="B9341" i="1"/>
  <c r="B9342" i="1"/>
  <c r="B9343" i="1"/>
  <c r="B9344" i="1"/>
  <c r="B9912" i="1" s="1"/>
  <c r="B9345" i="1"/>
  <c r="B9346" i="1"/>
  <c r="B9347" i="1"/>
  <c r="B9348" i="1"/>
  <c r="B9349" i="1"/>
  <c r="B9350" i="1"/>
  <c r="B9351" i="1"/>
  <c r="B9352" i="1"/>
  <c r="B9923" i="1" s="1"/>
  <c r="B9353" i="1"/>
  <c r="B9924" i="1" s="1"/>
  <c r="B9354" i="1"/>
  <c r="B9356" i="1"/>
  <c r="B9357" i="1"/>
  <c r="B9550" i="1"/>
  <c r="B3084" i="1"/>
  <c r="B3189" i="1" s="1"/>
  <c r="B3394" i="1" s="1"/>
  <c r="B3086" i="1"/>
  <c r="B3191" i="1" s="1"/>
  <c r="B3396" i="1" s="1"/>
  <c r="B3088" i="1"/>
  <c r="B3193" i="1" s="1"/>
  <c r="B3398" i="1" s="1"/>
  <c r="B3095" i="1"/>
  <c r="B3198" i="1" s="1"/>
  <c r="B3403" i="1" s="1"/>
  <c r="B3096" i="1"/>
  <c r="B3303" i="1" s="1"/>
  <c r="B3039" i="1"/>
  <c r="B3163" i="1" s="1"/>
  <c r="B3368" i="1" s="1"/>
  <c r="B3037" i="1"/>
  <c r="B3161" i="1" s="1"/>
  <c r="B3366" i="1" s="1"/>
  <c r="B3064" i="1"/>
  <c r="B3289" i="1" s="1"/>
  <c r="B3035" i="1"/>
  <c r="B3159" i="1" s="1"/>
  <c r="B3364" i="1" s="1"/>
  <c r="B3019" i="1"/>
  <c r="B3020" i="1"/>
  <c r="B3029" i="1"/>
  <c r="B3153" i="1" s="1"/>
  <c r="B3358" i="1" s="1"/>
  <c r="B3033" i="1"/>
  <c r="B3157" i="1" s="1"/>
  <c r="B3362" i="1" s="1"/>
  <c r="B3034" i="1"/>
  <c r="B3158" i="1" s="1"/>
  <c r="B3363" i="1" s="1"/>
  <c r="B3018" i="1"/>
  <c r="B342" i="1"/>
  <c r="B2586" i="1"/>
  <c r="B2584" i="1"/>
  <c r="F943" i="1"/>
  <c r="Q959" i="1"/>
  <c r="B2332" i="1"/>
  <c r="B2300" i="1"/>
  <c r="M923" i="1"/>
  <c r="B2225" i="1"/>
  <c r="K913" i="1"/>
  <c r="B2135" i="1"/>
  <c r="B2141" i="1" s="1"/>
  <c r="B2129" i="1"/>
  <c r="B2104" i="1"/>
  <c r="Q878" i="1"/>
  <c r="B2069" i="1"/>
  <c r="B2053" i="1"/>
  <c r="B2028" i="1"/>
  <c r="B2051" i="1"/>
  <c r="B2014" i="1"/>
  <c r="B2003" i="1"/>
  <c r="B1985" i="1"/>
  <c r="B1977" i="1"/>
  <c r="Q826" i="1"/>
  <c r="B1882" i="1"/>
  <c r="B1894" i="1"/>
  <c r="B1876" i="1"/>
  <c r="B1868" i="1"/>
  <c r="B1849" i="1"/>
  <c r="B1918" i="1"/>
  <c r="B1769" i="1"/>
  <c r="B1768" i="1"/>
  <c r="B1763" i="1"/>
  <c r="B1778" i="1" s="1"/>
  <c r="B1715" i="1"/>
  <c r="B1723" i="1"/>
  <c r="B1747" i="1"/>
  <c r="B1754" i="1"/>
  <c r="B1734" i="1"/>
  <c r="B1731" i="1"/>
  <c r="O710" i="1"/>
  <c r="M710" i="1"/>
  <c r="K710" i="1"/>
  <c r="Q710" i="1"/>
  <c r="B1721" i="1"/>
  <c r="B1656" i="1"/>
  <c r="B1668" i="1"/>
  <c r="B1587" i="1"/>
  <c r="B1579" i="1"/>
  <c r="B1435" i="1"/>
  <c r="B1428" i="1"/>
  <c r="B1418" i="1"/>
  <c r="B1310" i="1"/>
  <c r="B1302" i="1"/>
  <c r="B1633" i="1"/>
  <c r="B1568" i="1"/>
  <c r="B1562" i="1"/>
  <c r="B1491" i="1"/>
  <c r="B1482" i="1"/>
  <c r="B1472" i="1"/>
  <c r="B1270" i="1"/>
  <c r="B1266" i="1"/>
  <c r="B1203" i="1"/>
  <c r="B1196" i="1"/>
  <c r="B1191" i="1"/>
  <c r="B1185" i="1"/>
  <c r="B1178" i="1"/>
  <c r="B1172" i="1"/>
  <c r="B1158" i="1"/>
  <c r="B1153" i="1"/>
  <c r="B1144" i="1"/>
  <c r="B1140" i="1"/>
  <c r="B1135" i="1"/>
  <c r="B1130" i="1"/>
  <c r="B1125" i="1"/>
  <c r="B772" i="1"/>
  <c r="B768" i="1"/>
  <c r="B767" i="1"/>
  <c r="B766" i="1"/>
  <c r="B745" i="1"/>
  <c r="B734" i="1"/>
  <c r="B724" i="1"/>
  <c r="B723" i="1"/>
  <c r="B716" i="1"/>
  <c r="B714" i="1"/>
  <c r="B917" i="1"/>
  <c r="B911" i="1"/>
  <c r="B880" i="1"/>
  <c r="B856" i="1"/>
  <c r="B850" i="1"/>
  <c r="B806" i="1"/>
  <c r="B837" i="1"/>
  <c r="B843" i="1"/>
  <c r="B827" i="1"/>
  <c r="B839" i="1"/>
  <c r="B800" i="1"/>
  <c r="B776" i="1"/>
  <c r="B622" i="1"/>
  <c r="B609" i="1"/>
  <c r="B611" i="1"/>
  <c r="B596" i="1"/>
  <c r="B576" i="1"/>
  <c r="B647" i="1"/>
  <c r="B547" i="1"/>
  <c r="B548" i="1"/>
  <c r="B540" i="1"/>
  <c r="B508" i="1"/>
  <c r="B502" i="1"/>
  <c r="B499" i="1"/>
  <c r="B496" i="1"/>
  <c r="B396" i="1"/>
  <c r="B379" i="1"/>
  <c r="B361" i="1"/>
  <c r="B350" i="1"/>
  <c r="B354" i="1"/>
  <c r="B344" i="1"/>
  <c r="B260" i="1"/>
  <c r="B242" i="1"/>
  <c r="B178" i="1"/>
  <c r="B127" i="1"/>
  <c r="B78" i="1"/>
  <c r="B72" i="1"/>
  <c r="B52" i="1"/>
  <c r="B64" i="1"/>
  <c r="B28" i="1"/>
  <c r="B27" i="1"/>
  <c r="B21" i="1"/>
  <c r="B2" i="1"/>
  <c r="Q772" i="1" l="1"/>
  <c r="B1233" i="1"/>
  <c r="B1232" i="1"/>
  <c r="Q1115" i="1"/>
  <c r="B2580" i="1"/>
  <c r="B2579" i="1"/>
  <c r="B81" i="1"/>
  <c r="B943" i="1" s="1"/>
  <c r="B79" i="1"/>
  <c r="B3881" i="1"/>
  <c r="B3911" i="1"/>
  <c r="B231" i="1"/>
  <c r="B226" i="1"/>
  <c r="B230" i="1"/>
  <c r="B227" i="1"/>
  <c r="B223" i="1"/>
  <c r="B222" i="1"/>
  <c r="B220" i="1"/>
  <c r="B221" i="1"/>
  <c r="B229" i="1"/>
  <c r="B225" i="1"/>
  <c r="B224" i="1"/>
  <c r="B228" i="1"/>
  <c r="Q930" i="1"/>
  <c r="B2920" i="1"/>
  <c r="B2919" i="1"/>
  <c r="B2918" i="1"/>
  <c r="B2917" i="1"/>
  <c r="B283" i="1"/>
  <c r="B974" i="1" s="1"/>
  <c r="B285" i="1"/>
  <c r="B973" i="1" s="1"/>
  <c r="B6919" i="1"/>
  <c r="B6644" i="1"/>
  <c r="B6643" i="1"/>
  <c r="B6642" i="1"/>
  <c r="B6641" i="1"/>
  <c r="B6784" i="1" s="1"/>
  <c r="B6640" i="1"/>
  <c r="B6920" i="1" s="1"/>
  <c r="B537" i="1"/>
  <c r="Q145" i="1"/>
  <c r="B329" i="1"/>
  <c r="B1883" i="1"/>
  <c r="B7848" i="1"/>
  <c r="B7847" i="1"/>
  <c r="B7846" i="1"/>
  <c r="B7845" i="1"/>
  <c r="B7844" i="1"/>
  <c r="B7842" i="1"/>
  <c r="B7841" i="1"/>
  <c r="B695" i="1"/>
  <c r="B694" i="1"/>
  <c r="Q986" i="1"/>
  <c r="M986" i="1"/>
  <c r="K986" i="1"/>
  <c r="O1091" i="1"/>
  <c r="K1091" i="1"/>
  <c r="Q974" i="1"/>
  <c r="M974" i="1"/>
  <c r="K974" i="1"/>
  <c r="B2519" i="1"/>
  <c r="K1079" i="1"/>
  <c r="Q1079" i="1"/>
  <c r="B2536" i="1"/>
  <c r="K1090" i="1"/>
  <c r="B2520" i="1"/>
  <c r="B2984" i="1" s="1"/>
  <c r="Q1080" i="1"/>
  <c r="K1080" i="1"/>
  <c r="B2522" i="1"/>
  <c r="B2987" i="1" s="1"/>
  <c r="Q1081" i="1"/>
  <c r="K1081" i="1"/>
  <c r="M1025" i="1"/>
  <c r="K1025" i="1"/>
  <c r="Q1025" i="1"/>
  <c r="B2443" i="1"/>
  <c r="M1051" i="1"/>
  <c r="K1051" i="1"/>
  <c r="Q1051" i="1"/>
  <c r="K1087" i="1"/>
  <c r="M995" i="1"/>
  <c r="K995" i="1"/>
  <c r="Q995" i="1"/>
  <c r="M998" i="1"/>
  <c r="K998" i="1"/>
  <c r="Q998" i="1"/>
  <c r="K1009" i="1"/>
  <c r="Q1009" i="1"/>
  <c r="M1009" i="1"/>
  <c r="K1053" i="1"/>
  <c r="Q1053" i="1"/>
  <c r="M1053" i="1"/>
  <c r="K1092" i="1"/>
  <c r="K977" i="1"/>
  <c r="Q977" i="1"/>
  <c r="M977" i="1"/>
  <c r="Q1067" i="1"/>
  <c r="K1067" i="1"/>
  <c r="B2525" i="1"/>
  <c r="K1084" i="1"/>
  <c r="B1960" i="1"/>
  <c r="K1003" i="1"/>
  <c r="Q1003" i="1"/>
  <c r="M1003" i="1"/>
  <c r="M1022" i="1"/>
  <c r="K1022" i="1"/>
  <c r="Q1022" i="1"/>
  <c r="Q1089" i="1"/>
  <c r="K1089" i="1"/>
  <c r="B1975" i="1"/>
  <c r="B2823" i="1" s="1"/>
  <c r="Q1023" i="1"/>
  <c r="K1023" i="1"/>
  <c r="M1023" i="1"/>
  <c r="K982" i="1"/>
  <c r="M982" i="1"/>
  <c r="Q982" i="1"/>
  <c r="Q999" i="1"/>
  <c r="K999" i="1"/>
  <c r="M999" i="1"/>
  <c r="Q1012" i="1"/>
  <c r="M1012" i="1"/>
  <c r="K1012" i="1"/>
  <c r="Q1057" i="1"/>
  <c r="K1057" i="1"/>
  <c r="Q1011" i="1"/>
  <c r="M1011" i="1"/>
  <c r="K1011" i="1"/>
  <c r="K963" i="1"/>
  <c r="B2418" i="1"/>
  <c r="K1043" i="1"/>
  <c r="Q1043" i="1"/>
  <c r="M1043" i="1"/>
  <c r="Q973" i="1"/>
  <c r="M973" i="1"/>
  <c r="K973" i="1"/>
  <c r="K1088" i="1"/>
  <c r="K1005" i="1"/>
  <c r="Q1005" i="1"/>
  <c r="M1005" i="1"/>
  <c r="B1976" i="1"/>
  <c r="B2824" i="1" s="1"/>
  <c r="Q1024" i="1"/>
  <c r="M1024" i="1"/>
  <c r="K1024" i="1"/>
  <c r="K991" i="1"/>
  <c r="Q991" i="1"/>
  <c r="M991" i="1"/>
  <c r="M994" i="1"/>
  <c r="Q994" i="1"/>
  <c r="K994" i="1"/>
  <c r="K1010" i="1"/>
  <c r="Q1010" i="1"/>
  <c r="M1010" i="1"/>
  <c r="K1072" i="1"/>
  <c r="Q1072" i="1"/>
  <c r="Q1038" i="1"/>
  <c r="M1038" i="1"/>
  <c r="K1038" i="1"/>
  <c r="K1046" i="1"/>
  <c r="Q1046" i="1"/>
  <c r="M1046" i="1"/>
  <c r="M981" i="1"/>
  <c r="K981" i="1"/>
  <c r="Q981" i="1"/>
  <c r="B1948" i="1"/>
  <c r="B2811" i="1" s="1"/>
  <c r="Q1006" i="1"/>
  <c r="K1006" i="1"/>
  <c r="M1006" i="1"/>
  <c r="M1007" i="1"/>
  <c r="K1007" i="1"/>
  <c r="Q1007" i="1"/>
  <c r="M1008" i="1"/>
  <c r="K1008" i="1"/>
  <c r="Q1008" i="1"/>
  <c r="Q1083" i="1"/>
  <c r="K1083" i="1"/>
  <c r="Q1014" i="1"/>
  <c r="M1014" i="1"/>
  <c r="K1014" i="1"/>
  <c r="Q1000" i="1"/>
  <c r="M1000" i="1"/>
  <c r="K1000" i="1"/>
  <c r="K1015" i="1"/>
  <c r="M1015" i="1"/>
  <c r="Q1015" i="1"/>
  <c r="B2466" i="1"/>
  <c r="Q1062" i="1"/>
  <c r="K1062" i="1"/>
  <c r="K1058" i="1"/>
  <c r="Q1058" i="1"/>
  <c r="K1061" i="1"/>
  <c r="Q1061" i="1"/>
  <c r="Q1073" i="1"/>
  <c r="K1073" i="1"/>
  <c r="K1016" i="1"/>
  <c r="Q1016" i="1"/>
  <c r="M1016" i="1"/>
  <c r="B2420" i="1"/>
  <c r="K1044" i="1"/>
  <c r="Q1044" i="1"/>
  <c r="M1044" i="1"/>
  <c r="K1078" i="1"/>
  <c r="Q1078" i="1"/>
  <c r="K1093" i="1"/>
  <c r="Q1037" i="1"/>
  <c r="M1037" i="1"/>
  <c r="K1037" i="1"/>
  <c r="O996" i="1"/>
  <c r="M996" i="1"/>
  <c r="K996" i="1"/>
  <c r="Q996" i="1"/>
  <c r="M1050" i="1"/>
  <c r="K1050" i="1"/>
  <c r="Q1050" i="1"/>
  <c r="Q984" i="1"/>
  <c r="M984" i="1"/>
  <c r="K984" i="1"/>
  <c r="Q985" i="1"/>
  <c r="M985" i="1"/>
  <c r="K985" i="1"/>
  <c r="K1059" i="1"/>
  <c r="Q1059" i="1"/>
  <c r="M1001" i="1"/>
  <c r="Q1001" i="1"/>
  <c r="K1001" i="1"/>
  <c r="M1019" i="1"/>
  <c r="K1019" i="1"/>
  <c r="Q1019" i="1"/>
  <c r="B2467" i="1"/>
  <c r="K1063" i="1"/>
  <c r="Q1063" i="1"/>
  <c r="Q1060" i="1"/>
  <c r="K1060" i="1"/>
  <c r="K976" i="1"/>
  <c r="Q976" i="1"/>
  <c r="M976" i="1"/>
  <c r="K1052" i="1"/>
  <c r="M1052" i="1"/>
  <c r="Q1052" i="1"/>
  <c r="B1933" i="1"/>
  <c r="Q1017" i="1"/>
  <c r="K1017" i="1"/>
  <c r="M1017" i="1"/>
  <c r="O1013" i="1"/>
  <c r="M1013" i="1"/>
  <c r="Q1013" i="1"/>
  <c r="K1013" i="1"/>
  <c r="B2432" i="1"/>
  <c r="Q1047" i="1"/>
  <c r="M1047" i="1"/>
  <c r="K1047" i="1"/>
  <c r="K1021" i="1"/>
  <c r="M1021" i="1"/>
  <c r="Q1021" i="1"/>
  <c r="B1954" i="1"/>
  <c r="B2813" i="1" s="1"/>
  <c r="K1004" i="1"/>
  <c r="Q1004" i="1"/>
  <c r="M1004" i="1"/>
  <c r="Q1086" i="1"/>
  <c r="K1086" i="1"/>
  <c r="Q1082" i="1"/>
  <c r="K1082" i="1"/>
  <c r="Q1018" i="1"/>
  <c r="K1018" i="1"/>
  <c r="M1018" i="1"/>
  <c r="K1027" i="1"/>
  <c r="M1027" i="1"/>
  <c r="Q1027" i="1"/>
  <c r="M1033" i="1"/>
  <c r="K1033" i="1"/>
  <c r="Q1033" i="1"/>
  <c r="Q972" i="1"/>
  <c r="K972" i="1"/>
  <c r="M972" i="1"/>
  <c r="Q1002" i="1"/>
  <c r="M1002" i="1"/>
  <c r="K1002" i="1"/>
  <c r="M1020" i="1"/>
  <c r="K1020" i="1"/>
  <c r="Q1020" i="1"/>
  <c r="K1065" i="1"/>
  <c r="Q1065" i="1"/>
  <c r="Q1066" i="1"/>
  <c r="K1066" i="1"/>
  <c r="K978" i="1"/>
  <c r="Q978" i="1"/>
  <c r="M978" i="1"/>
  <c r="B2408" i="1"/>
  <c r="Q967" i="1"/>
  <c r="O967" i="1"/>
  <c r="M967" i="1"/>
  <c r="K967" i="1"/>
  <c r="B853" i="1"/>
  <c r="B369" i="1"/>
  <c r="B986" i="1" s="1"/>
  <c r="B371" i="1"/>
  <c r="B373" i="1"/>
  <c r="B1516" i="1"/>
  <c r="B268" i="1"/>
  <c r="B271" i="1"/>
  <c r="B970" i="1" s="1"/>
  <c r="B1672" i="1"/>
  <c r="B312" i="1"/>
  <c r="B313" i="1"/>
  <c r="B2370" i="1"/>
  <c r="B2318" i="1"/>
  <c r="B1297" i="1"/>
  <c r="B2623" i="1" s="1"/>
  <c r="O1073" i="1"/>
  <c r="B2495" i="1"/>
  <c r="B2009" i="1"/>
  <c r="B2008" i="1"/>
  <c r="B2002" i="1"/>
  <c r="B2001" i="1"/>
  <c r="B1995" i="1"/>
  <c r="B1994" i="1"/>
  <c r="B1989" i="1"/>
  <c r="B1988" i="1"/>
  <c r="B1983" i="1"/>
  <c r="B1982" i="1"/>
  <c r="B1917" i="1"/>
  <c r="B1916" i="1"/>
  <c r="B1910" i="1"/>
  <c r="B1909" i="1"/>
  <c r="B1898" i="1"/>
  <c r="B1897" i="1"/>
  <c r="B1881" i="1"/>
  <c r="B1880" i="1"/>
  <c r="B1874" i="1"/>
  <c r="B1875" i="1"/>
  <c r="Q779" i="1"/>
  <c r="B1817" i="1"/>
  <c r="B1818" i="1"/>
  <c r="B1775" i="1"/>
  <c r="B1774" i="1"/>
  <c r="B1760" i="1"/>
  <c r="B1759" i="1"/>
  <c r="B1758" i="1"/>
  <c r="B1757" i="1"/>
  <c r="B1746" i="1"/>
  <c r="B1745" i="1"/>
  <c r="B1728" i="1"/>
  <c r="B1727" i="1"/>
  <c r="B1718" i="1"/>
  <c r="B1717" i="1"/>
  <c r="B1714" i="1"/>
  <c r="B1713" i="1"/>
  <c r="B1708" i="1"/>
  <c r="B1707" i="1"/>
  <c r="B1702" i="1"/>
  <c r="B1701" i="1"/>
  <c r="B1697" i="1"/>
  <c r="B1696" i="1"/>
  <c r="B1667" i="1"/>
  <c r="B1666" i="1"/>
  <c r="B1660" i="1"/>
  <c r="B1659" i="1"/>
  <c r="B1649" i="1"/>
  <c r="B1650" i="1"/>
  <c r="B1644" i="1"/>
  <c r="B1643" i="1"/>
  <c r="B1638" i="1"/>
  <c r="B1637" i="1"/>
  <c r="B1585" i="1"/>
  <c r="B1586" i="1"/>
  <c r="B1578" i="1"/>
  <c r="B1577" i="1"/>
  <c r="B1560" i="1"/>
  <c r="B1559" i="1"/>
  <c r="B1549" i="1"/>
  <c r="B1550" i="1"/>
  <c r="Q648" i="1"/>
  <c r="B1539" i="1"/>
  <c r="B1540" i="1"/>
  <c r="B1504" i="1"/>
  <c r="B1503" i="1"/>
  <c r="B1497" i="1"/>
  <c r="B1496" i="1"/>
  <c r="Q626" i="1"/>
  <c r="B1470" i="1"/>
  <c r="B1469" i="1"/>
  <c r="B1461" i="1"/>
  <c r="B1462" i="1"/>
  <c r="B1455" i="1"/>
  <c r="B1454" i="1"/>
  <c r="B1445" i="1"/>
  <c r="B1444" i="1"/>
  <c r="B1424" i="1"/>
  <c r="B1425" i="1"/>
  <c r="B1413" i="1"/>
  <c r="B1412" i="1"/>
  <c r="B1395" i="1"/>
  <c r="B1394" i="1"/>
  <c r="B1389" i="1"/>
  <c r="B1388" i="1"/>
  <c r="B1379" i="1"/>
  <c r="B1378" i="1"/>
  <c r="B1347" i="1"/>
  <c r="B1348" i="1"/>
  <c r="B1342" i="1"/>
  <c r="B1341" i="1"/>
  <c r="B1336" i="1"/>
  <c r="B1335" i="1"/>
  <c r="B1329" i="1"/>
  <c r="B1328" i="1"/>
  <c r="B1315" i="1"/>
  <c r="B1314" i="1"/>
  <c r="B1308" i="1"/>
  <c r="B1309" i="1"/>
  <c r="B1295" i="1"/>
  <c r="B1294" i="1"/>
  <c r="B1274" i="1"/>
  <c r="B1273" i="1"/>
  <c r="B904" i="1"/>
  <c r="B903" i="1"/>
  <c r="B896" i="1"/>
  <c r="B895" i="1"/>
  <c r="B862" i="1"/>
  <c r="B863" i="1"/>
  <c r="B825" i="1"/>
  <c r="B824" i="1"/>
  <c r="B817" i="1"/>
  <c r="B816" i="1"/>
  <c r="B786" i="1"/>
  <c r="B785" i="1"/>
  <c r="B780" i="1"/>
  <c r="B779" i="1"/>
  <c r="Q361" i="1"/>
  <c r="B684" i="1"/>
  <c r="B685" i="1"/>
  <c r="B677" i="1"/>
  <c r="B676" i="1"/>
  <c r="B679" i="1"/>
  <c r="B678" i="1"/>
  <c r="M364" i="1"/>
  <c r="B691" i="1"/>
  <c r="B690" i="1"/>
  <c r="B675" i="1"/>
  <c r="B674" i="1"/>
  <c r="B671" i="1"/>
  <c r="B670" i="1"/>
  <c r="B663" i="1"/>
  <c r="B662" i="1"/>
  <c r="B667" i="1"/>
  <c r="B666" i="1"/>
  <c r="Q62" i="1"/>
  <c r="B105" i="1"/>
  <c r="B104" i="1"/>
  <c r="B264" i="1"/>
  <c r="B263" i="1"/>
  <c r="B51" i="1"/>
  <c r="B50" i="1"/>
  <c r="Q127" i="1"/>
  <c r="B280" i="1"/>
  <c r="B281" i="1"/>
  <c r="Q66" i="1"/>
  <c r="B110" i="1"/>
  <c r="B111" i="1"/>
  <c r="Q134" i="1"/>
  <c r="B296" i="1"/>
  <c r="B297" i="1"/>
  <c r="B976" i="1" s="1"/>
  <c r="Q95" i="1"/>
  <c r="B171" i="1"/>
  <c r="B170" i="1"/>
  <c r="B181" i="1"/>
  <c r="B180" i="1"/>
  <c r="Q9" i="1"/>
  <c r="B11" i="1"/>
  <c r="B10" i="1"/>
  <c r="B504" i="1"/>
  <c r="B503" i="1"/>
  <c r="B44" i="1"/>
  <c r="B43" i="1"/>
  <c r="Q13" i="1"/>
  <c r="B17" i="1"/>
  <c r="B16" i="1"/>
  <c r="Q35" i="1"/>
  <c r="B55" i="1"/>
  <c r="B54" i="1"/>
  <c r="Q78" i="1"/>
  <c r="B130" i="1"/>
  <c r="B129" i="1"/>
  <c r="B2357" i="1" s="1"/>
  <c r="Q119" i="1"/>
  <c r="B262" i="1"/>
  <c r="B261" i="1"/>
  <c r="Q177" i="1"/>
  <c r="B406" i="1"/>
  <c r="B405" i="1"/>
  <c r="B659" i="1"/>
  <c r="B658" i="1"/>
  <c r="B124" i="1"/>
  <c r="B123" i="1"/>
  <c r="Q23" i="1"/>
  <c r="B42" i="1"/>
  <c r="B41" i="1"/>
  <c r="Q90" i="1"/>
  <c r="B156" i="1"/>
  <c r="B155" i="1"/>
  <c r="B2366" i="1" s="1"/>
  <c r="B25" i="1"/>
  <c r="B24" i="1"/>
  <c r="B172" i="1"/>
  <c r="B182" i="1"/>
  <c r="B173" i="1"/>
  <c r="B183" i="1"/>
  <c r="Q27" i="1"/>
  <c r="B36" i="1"/>
  <c r="B35" i="1"/>
  <c r="B56" i="1"/>
  <c r="B57" i="1"/>
  <c r="B32" i="1"/>
  <c r="B31" i="1"/>
  <c r="B140" i="1"/>
  <c r="B139" i="1"/>
  <c r="Q74" i="1"/>
  <c r="B122" i="1"/>
  <c r="Q172" i="1"/>
  <c r="B392" i="1"/>
  <c r="B393" i="1"/>
  <c r="B6" i="1"/>
  <c r="B7" i="1"/>
  <c r="B62" i="1"/>
  <c r="B63" i="1"/>
  <c r="B394" i="1"/>
  <c r="B395" i="1"/>
  <c r="B657" i="1"/>
  <c r="B656" i="1"/>
  <c r="B13" i="1"/>
  <c r="B12" i="1"/>
  <c r="B119" i="1"/>
  <c r="B120" i="1"/>
  <c r="B301" i="1"/>
  <c r="B300" i="1"/>
  <c r="B299" i="1"/>
  <c r="B298" i="1"/>
  <c r="B408" i="1"/>
  <c r="B407" i="1"/>
  <c r="B665" i="1"/>
  <c r="B664" i="1"/>
  <c r="B520" i="1"/>
  <c r="B521" i="1"/>
  <c r="Q16" i="1"/>
  <c r="B22" i="1"/>
  <c r="B23" i="1"/>
  <c r="Q39" i="1"/>
  <c r="B61" i="1"/>
  <c r="B60" i="1"/>
  <c r="Q82" i="1"/>
  <c r="B137" i="1"/>
  <c r="B2359" i="1" s="1"/>
  <c r="B138" i="1"/>
  <c r="Q126" i="1"/>
  <c r="B278" i="1"/>
  <c r="B279" i="1"/>
  <c r="Q20" i="1"/>
  <c r="B29" i="1"/>
  <c r="B30" i="1"/>
  <c r="Q130" i="1"/>
  <c r="B287" i="1"/>
  <c r="B286" i="1"/>
  <c r="B19" i="1"/>
  <c r="B18" i="1"/>
  <c r="B131" i="1"/>
  <c r="B132" i="1"/>
  <c r="B383" i="1"/>
  <c r="B382" i="1"/>
  <c r="B385" i="1"/>
  <c r="B384" i="1"/>
  <c r="B107" i="1"/>
  <c r="B106" i="1"/>
  <c r="Q5" i="1"/>
  <c r="B4" i="1"/>
  <c r="B5" i="1"/>
  <c r="Q70" i="1"/>
  <c r="B118" i="1"/>
  <c r="B117" i="1"/>
  <c r="Q166" i="1"/>
  <c r="B380" i="1"/>
  <c r="B381" i="1"/>
  <c r="B2361" i="1"/>
  <c r="B149" i="1"/>
  <c r="B148" i="1"/>
  <c r="B147" i="1"/>
  <c r="B146" i="1"/>
  <c r="Q31" i="1"/>
  <c r="B49" i="1"/>
  <c r="B48" i="1"/>
  <c r="Q114" i="1"/>
  <c r="B252" i="1"/>
  <c r="B253" i="1"/>
  <c r="B113" i="1"/>
  <c r="B112" i="1"/>
  <c r="B289" i="1"/>
  <c r="B290" i="1"/>
  <c r="B288" i="1"/>
  <c r="B291" i="1"/>
  <c r="B255" i="1"/>
  <c r="B254" i="1"/>
  <c r="B26" i="1"/>
  <c r="B38" i="1"/>
  <c r="B37" i="1"/>
  <c r="B160" i="1"/>
  <c r="B157" i="1"/>
  <c r="B159" i="1"/>
  <c r="B158" i="1"/>
  <c r="B510" i="1"/>
  <c r="B509" i="1"/>
  <c r="B2327" i="1"/>
  <c r="Q957" i="1"/>
  <c r="O1065" i="1"/>
  <c r="M1065" i="1"/>
  <c r="B2375" i="1"/>
  <c r="O984" i="1"/>
  <c r="O976" i="1"/>
  <c r="O972" i="1"/>
  <c r="M962" i="1"/>
  <c r="Q963" i="1"/>
  <c r="O963" i="1"/>
  <c r="M963" i="1"/>
  <c r="Q613" i="1"/>
  <c r="K177" i="1"/>
  <c r="M177" i="1"/>
  <c r="O177" i="1"/>
  <c r="K172" i="1"/>
  <c r="M172" i="1"/>
  <c r="O172" i="1"/>
  <c r="K166" i="1"/>
  <c r="M166" i="1"/>
  <c r="O166" i="1"/>
  <c r="K134" i="1"/>
  <c r="M134" i="1"/>
  <c r="O134" i="1"/>
  <c r="K130" i="1"/>
  <c r="M130" i="1"/>
  <c r="O130" i="1"/>
  <c r="K126" i="1"/>
  <c r="M126" i="1"/>
  <c r="O126" i="1"/>
  <c r="K119" i="1"/>
  <c r="M119" i="1"/>
  <c r="O119" i="1"/>
  <c r="K114" i="1"/>
  <c r="M114" i="1"/>
  <c r="O114" i="1"/>
  <c r="K95" i="1"/>
  <c r="M95" i="1"/>
  <c r="O95" i="1"/>
  <c r="M90" i="1"/>
  <c r="K90" i="1"/>
  <c r="O90" i="1"/>
  <c r="K86" i="1"/>
  <c r="M86" i="1"/>
  <c r="O86" i="1"/>
  <c r="K82" i="1"/>
  <c r="M82" i="1"/>
  <c r="O82" i="1"/>
  <c r="K78" i="1"/>
  <c r="M78" i="1"/>
  <c r="O78" i="1"/>
  <c r="K74" i="1"/>
  <c r="M74" i="1"/>
  <c r="O74" i="1"/>
  <c r="K70" i="1"/>
  <c r="M70" i="1"/>
  <c r="O70" i="1"/>
  <c r="K66" i="1"/>
  <c r="M66" i="1"/>
  <c r="O66" i="1"/>
  <c r="K62" i="1"/>
  <c r="M62" i="1"/>
  <c r="O62" i="1"/>
  <c r="K39" i="1"/>
  <c r="M39" i="1"/>
  <c r="O39" i="1"/>
  <c r="K35" i="1"/>
  <c r="M35" i="1"/>
  <c r="O35" i="1"/>
  <c r="K31" i="1"/>
  <c r="M31" i="1"/>
  <c r="O31" i="1"/>
  <c r="M27" i="1"/>
  <c r="K27" i="1"/>
  <c r="O27" i="1"/>
  <c r="K23" i="1"/>
  <c r="M23" i="1"/>
  <c r="O23" i="1"/>
  <c r="K20" i="1"/>
  <c r="M20" i="1"/>
  <c r="O20" i="1"/>
  <c r="K16" i="1"/>
  <c r="M16" i="1"/>
  <c r="O16" i="1"/>
  <c r="K13" i="1"/>
  <c r="M13" i="1"/>
  <c r="O13" i="1"/>
  <c r="K9" i="1"/>
  <c r="M9" i="1"/>
  <c r="O9" i="1"/>
  <c r="Q773" i="1"/>
  <c r="K5" i="1"/>
  <c r="M5" i="1"/>
  <c r="O5" i="1"/>
  <c r="B1805" i="1"/>
  <c r="K773" i="1"/>
  <c r="B1806" i="1"/>
  <c r="B1799" i="1"/>
  <c r="M773" i="1"/>
  <c r="B1807" i="1"/>
  <c r="B1800" i="1"/>
  <c r="B1801" i="1"/>
  <c r="B1802" i="1"/>
  <c r="B1808" i="1"/>
  <c r="B1331" i="1"/>
  <c r="K774" i="1"/>
  <c r="B1332" i="1"/>
  <c r="M774" i="1"/>
  <c r="O774" i="1"/>
  <c r="K681" i="1"/>
  <c r="M681" i="1"/>
  <c r="Q185" i="1"/>
  <c r="O681" i="1"/>
  <c r="O364" i="1"/>
  <c r="K364" i="1"/>
  <c r="Q364" i="1"/>
  <c r="K361" i="1"/>
  <c r="M361" i="1"/>
  <c r="O361" i="1"/>
  <c r="B798" i="1"/>
  <c r="B789" i="1"/>
  <c r="B790" i="1"/>
  <c r="B791" i="1"/>
  <c r="B792" i="1"/>
  <c r="B793" i="1"/>
  <c r="B527" i="1"/>
  <c r="B794" i="1"/>
  <c r="B795" i="1"/>
  <c r="B796" i="1"/>
  <c r="B797" i="1"/>
  <c r="O268" i="1"/>
  <c r="Q268" i="1"/>
  <c r="K268" i="1"/>
  <c r="M268" i="1"/>
  <c r="B525" i="1"/>
  <c r="B526" i="1"/>
  <c r="M267" i="1"/>
  <c r="O267" i="1"/>
  <c r="K269" i="1"/>
  <c r="K267" i="1"/>
  <c r="B522" i="1"/>
  <c r="M269" i="1"/>
  <c r="B523" i="1"/>
  <c r="O269" i="1"/>
  <c r="B524" i="1"/>
  <c r="B424" i="1"/>
  <c r="B529" i="1"/>
  <c r="B530" i="1"/>
  <c r="B528" i="1"/>
  <c r="B531" i="1"/>
  <c r="M214" i="1"/>
  <c r="Q214" i="1"/>
  <c r="K214" i="1"/>
  <c r="Q184" i="1"/>
  <c r="M213" i="1"/>
  <c r="K213" i="1"/>
  <c r="O213" i="1"/>
  <c r="K215" i="1"/>
  <c r="Q213" i="1"/>
  <c r="M215" i="1"/>
  <c r="O215" i="1"/>
  <c r="B429" i="1"/>
  <c r="B430" i="1"/>
  <c r="B426" i="1"/>
  <c r="B428" i="1"/>
  <c r="B431" i="1"/>
  <c r="B425" i="1"/>
  <c r="K189" i="1"/>
  <c r="Q189" i="1"/>
  <c r="M189" i="1"/>
  <c r="K190" i="1"/>
  <c r="M190" i="1"/>
  <c r="O190" i="1"/>
  <c r="B397" i="1"/>
  <c r="B398" i="1"/>
  <c r="B333" i="1"/>
  <c r="K174" i="1"/>
  <c r="M174" i="1"/>
  <c r="B332" i="1"/>
  <c r="O174" i="1"/>
  <c r="B335" i="1"/>
  <c r="M148" i="1"/>
  <c r="O148" i="1"/>
  <c r="B338" i="1"/>
  <c r="Q149" i="1"/>
  <c r="B339" i="1"/>
  <c r="B340" i="1"/>
  <c r="B334" i="1"/>
  <c r="K148" i="1"/>
  <c r="B336" i="1"/>
  <c r="B337" i="1"/>
  <c r="O147" i="1"/>
  <c r="K149" i="1"/>
  <c r="M149" i="1"/>
  <c r="K147" i="1"/>
  <c r="M147" i="1"/>
  <c r="Q147" i="1"/>
  <c r="O149" i="1"/>
  <c r="B879" i="1"/>
  <c r="B2428" i="1"/>
  <c r="B2430" i="1"/>
  <c r="B2421" i="1"/>
  <c r="B2422" i="1"/>
  <c r="B2427" i="1"/>
  <c r="O1046" i="1"/>
  <c r="B2431" i="1"/>
  <c r="B2429" i="1"/>
  <c r="O1047" i="1"/>
  <c r="B1934" i="1"/>
  <c r="B1935" i="1"/>
  <c r="B1936" i="1"/>
  <c r="B1937" i="1"/>
  <c r="B1938" i="1"/>
  <c r="B1939" i="1"/>
  <c r="B1940" i="1"/>
  <c r="B1941" i="1"/>
  <c r="O1018" i="1"/>
  <c r="B2600" i="1"/>
  <c r="B2601" i="1"/>
  <c r="B2602" i="1"/>
  <c r="B2603" i="1"/>
  <c r="B2597" i="1"/>
  <c r="B2612" i="1"/>
  <c r="B2613" i="1"/>
  <c r="B2596" i="1"/>
  <c r="B2598" i="1"/>
  <c r="K1135" i="1"/>
  <c r="M1135" i="1"/>
  <c r="O1135" i="1"/>
  <c r="B1924" i="1"/>
  <c r="B1925" i="1"/>
  <c r="B1679" i="1"/>
  <c r="B1680" i="1"/>
  <c r="Q1113" i="1"/>
  <c r="B1551" i="1"/>
  <c r="K788" i="1"/>
  <c r="M788" i="1"/>
  <c r="O788" i="1"/>
  <c r="B1552" i="1"/>
  <c r="Q654" i="1"/>
  <c r="K654" i="1"/>
  <c r="B2572" i="1"/>
  <c r="B2575" i="1"/>
  <c r="B2581" i="1"/>
  <c r="B2582" i="1"/>
  <c r="M654" i="1"/>
  <c r="B2571" i="1"/>
  <c r="K1115" i="1"/>
  <c r="M1115" i="1"/>
  <c r="O1115" i="1"/>
  <c r="M1113" i="1"/>
  <c r="K1113" i="1"/>
  <c r="O1113" i="1"/>
  <c r="K1111" i="1"/>
  <c r="M1111" i="1"/>
  <c r="O1111" i="1"/>
  <c r="B372" i="1"/>
  <c r="B1261" i="1"/>
  <c r="B1262" i="1"/>
  <c r="B1263" i="1"/>
  <c r="B1264" i="1"/>
  <c r="B1265" i="1"/>
  <c r="B1267" i="1"/>
  <c r="B143" i="1"/>
  <c r="B145" i="1"/>
  <c r="B152" i="1"/>
  <c r="B2365" i="1" s="1"/>
  <c r="B154" i="1"/>
  <c r="B141" i="1"/>
  <c r="B144" i="1"/>
  <c r="B151" i="1"/>
  <c r="B959" i="1" s="1"/>
  <c r="B153" i="1"/>
  <c r="B366" i="1"/>
  <c r="B370" i="1"/>
  <c r="B2442" i="1"/>
  <c r="B2444" i="1"/>
  <c r="B2440" i="1"/>
  <c r="B2441" i="1"/>
  <c r="B2439" i="1"/>
  <c r="M624" i="1"/>
  <c r="Q624" i="1"/>
  <c r="O1051" i="1"/>
  <c r="O1050" i="1"/>
  <c r="B1463" i="1"/>
  <c r="B1464" i="1"/>
  <c r="B1465" i="1"/>
  <c r="B1466" i="1"/>
  <c r="Q393" i="1"/>
  <c r="O624" i="1"/>
  <c r="K623" i="1"/>
  <c r="M623" i="1"/>
  <c r="O623" i="1"/>
  <c r="K626" i="1"/>
  <c r="M626" i="1"/>
  <c r="O626" i="1"/>
  <c r="B1268" i="1"/>
  <c r="Q481" i="1"/>
  <c r="K393" i="1"/>
  <c r="M393" i="1"/>
  <c r="O393" i="1"/>
  <c r="B1282" i="1"/>
  <c r="Q482" i="1"/>
  <c r="B1284" i="1"/>
  <c r="B1285" i="1"/>
  <c r="K481" i="1"/>
  <c r="M481" i="1"/>
  <c r="O481" i="1"/>
  <c r="K482" i="1"/>
  <c r="O482" i="1"/>
  <c r="O1108" i="1"/>
  <c r="Q1116" i="1"/>
  <c r="B2565" i="1"/>
  <c r="B2567" i="1"/>
  <c r="B2568" i="1"/>
  <c r="B2569" i="1"/>
  <c r="B2570" i="1"/>
  <c r="B2573" i="1"/>
  <c r="B2574" i="1"/>
  <c r="B2577" i="1"/>
  <c r="B2578" i="1"/>
  <c r="B2563" i="1"/>
  <c r="B2564" i="1"/>
  <c r="M1107" i="1"/>
  <c r="Q1107" i="1"/>
  <c r="M1110" i="1"/>
  <c r="O1110" i="1"/>
  <c r="Q1110" i="1"/>
  <c r="O1107" i="1"/>
  <c r="M1114" i="1"/>
  <c r="O1114" i="1"/>
  <c r="Q1108" i="1"/>
  <c r="K1114" i="1"/>
  <c r="Q1114" i="1"/>
  <c r="K1109" i="1"/>
  <c r="M1109" i="1"/>
  <c r="O1109" i="1"/>
  <c r="O1112" i="1"/>
  <c r="Q1112" i="1"/>
  <c r="M1108" i="1"/>
  <c r="O1116" i="1"/>
  <c r="K1112" i="1"/>
  <c r="K1116" i="1"/>
  <c r="K1108" i="1"/>
  <c r="M1116" i="1"/>
  <c r="B2119" i="1"/>
  <c r="B2120" i="1"/>
  <c r="B2531" i="1"/>
  <c r="K891" i="1"/>
  <c r="B2532" i="1"/>
  <c r="M891" i="1"/>
  <c r="O891" i="1"/>
  <c r="Q882" i="1"/>
  <c r="B2117" i="1"/>
  <c r="M1086" i="1"/>
  <c r="O1086" i="1"/>
  <c r="K882" i="1"/>
  <c r="M882" i="1"/>
  <c r="O882" i="1"/>
  <c r="O1016" i="1"/>
  <c r="B1930" i="1"/>
  <c r="B1931" i="1"/>
  <c r="B1932" i="1"/>
  <c r="O1017" i="1"/>
  <c r="K185" i="1"/>
  <c r="M185" i="1"/>
  <c r="O185" i="1"/>
  <c r="B867" i="1"/>
  <c r="B864" i="1"/>
  <c r="B865" i="1"/>
  <c r="B866" i="1"/>
  <c r="B868" i="1"/>
  <c r="B869" i="1"/>
  <c r="K296" i="1"/>
  <c r="M296" i="1"/>
  <c r="O296" i="1"/>
  <c r="B1614" i="1"/>
  <c r="B1613" i="1"/>
  <c r="B1615" i="1"/>
  <c r="B1616" i="1"/>
  <c r="K779" i="1"/>
  <c r="M779" i="1"/>
  <c r="O779" i="1"/>
  <c r="B410" i="1"/>
  <c r="K670" i="1"/>
  <c r="M670" i="1"/>
  <c r="O670" i="1"/>
  <c r="B409" i="1"/>
  <c r="K184" i="1"/>
  <c r="M184" i="1"/>
  <c r="O184" i="1"/>
  <c r="M144" i="1"/>
  <c r="B324" i="1"/>
  <c r="B318" i="1"/>
  <c r="B319" i="1"/>
  <c r="B322" i="1"/>
  <c r="B323" i="1"/>
  <c r="B325" i="1"/>
  <c r="B326" i="1"/>
  <c r="B327" i="1"/>
  <c r="B328" i="1"/>
  <c r="B320" i="1"/>
  <c r="B321" i="1"/>
  <c r="B309" i="1"/>
  <c r="B308" i="1"/>
  <c r="K144" i="1"/>
  <c r="O144" i="1"/>
  <c r="B306" i="1"/>
  <c r="O138" i="1"/>
  <c r="B307" i="1"/>
  <c r="M145" i="1"/>
  <c r="B310" i="1"/>
  <c r="B311" i="1"/>
  <c r="K145" i="1"/>
  <c r="B303" i="1"/>
  <c r="O145" i="1"/>
  <c r="B302" i="1"/>
  <c r="B304" i="1"/>
  <c r="B305" i="1"/>
  <c r="K138" i="1"/>
  <c r="M138" i="1"/>
  <c r="B2296" i="1"/>
  <c r="B2297" i="1"/>
  <c r="B184" i="1"/>
  <c r="B185" i="1"/>
  <c r="B186" i="1"/>
  <c r="B187" i="1"/>
  <c r="B189" i="1"/>
  <c r="B188" i="1"/>
  <c r="B192" i="1"/>
  <c r="B193" i="1"/>
  <c r="B190" i="1"/>
  <c r="B191" i="1"/>
  <c r="B194" i="1"/>
  <c r="B195" i="1"/>
  <c r="O98" i="1"/>
  <c r="Q98" i="1"/>
  <c r="K97" i="1"/>
  <c r="M97" i="1"/>
  <c r="O97" i="1"/>
  <c r="K99" i="1"/>
  <c r="M99" i="1"/>
  <c r="O99" i="1"/>
  <c r="K98" i="1"/>
  <c r="K100" i="1"/>
  <c r="M100" i="1"/>
  <c r="O100" i="1"/>
  <c r="B1353" i="1"/>
  <c r="B1354" i="1"/>
  <c r="B1355" i="1"/>
  <c r="B1356" i="1"/>
  <c r="B2407" i="1"/>
  <c r="B2524" i="1"/>
  <c r="O1038" i="1"/>
  <c r="B2113" i="1"/>
  <c r="B2523" i="1"/>
  <c r="B2114" i="1"/>
  <c r="B2066" i="1"/>
  <c r="B2067" i="1"/>
  <c r="B2059" i="1"/>
  <c r="B2060" i="1"/>
  <c r="B2068" i="1"/>
  <c r="B2112" i="1"/>
  <c r="B2152" i="1"/>
  <c r="B2154" i="1"/>
  <c r="B2151" i="1"/>
  <c r="B2153" i="1"/>
  <c r="M901" i="1"/>
  <c r="O901" i="1"/>
  <c r="K901" i="1"/>
  <c r="M1083" i="1"/>
  <c r="O1083" i="1"/>
  <c r="K879" i="1"/>
  <c r="O873" i="1"/>
  <c r="M879" i="1"/>
  <c r="O879" i="1"/>
  <c r="K872" i="1"/>
  <c r="M872" i="1"/>
  <c r="O872" i="1"/>
  <c r="K873" i="1"/>
  <c r="M873" i="1"/>
  <c r="Q210" i="1"/>
  <c r="O209" i="1"/>
  <c r="Q209" i="1"/>
  <c r="B514" i="1"/>
  <c r="B512" i="1"/>
  <c r="B513" i="1"/>
  <c r="B515" i="1"/>
  <c r="K209" i="1"/>
  <c r="B516" i="1"/>
  <c r="K210" i="1"/>
  <c r="M210" i="1"/>
  <c r="O210" i="1"/>
  <c r="M1070" i="1"/>
  <c r="O1070" i="1"/>
  <c r="K809" i="1"/>
  <c r="Q832" i="1"/>
  <c r="B1857" i="1"/>
  <c r="B1865" i="1"/>
  <c r="M809" i="1"/>
  <c r="Q822" i="1"/>
  <c r="O809" i="1"/>
  <c r="K810" i="1"/>
  <c r="M810" i="1"/>
  <c r="O810" i="1"/>
  <c r="K832" i="1"/>
  <c r="M832" i="1"/>
  <c r="O832" i="1"/>
  <c r="K822" i="1"/>
  <c r="M822" i="1"/>
  <c r="O822" i="1"/>
  <c r="B1593" i="1"/>
  <c r="B1592" i="1"/>
  <c r="B1594" i="1"/>
  <c r="B1595" i="1"/>
  <c r="K664" i="1"/>
  <c r="M664" i="1"/>
  <c r="O664" i="1"/>
  <c r="O763" i="1"/>
  <c r="Q763" i="1"/>
  <c r="K763" i="1"/>
  <c r="B1782" i="1"/>
  <c r="B1784" i="1"/>
  <c r="B1780" i="1"/>
  <c r="B1779" i="1"/>
  <c r="B1781" i="1"/>
  <c r="B1783" i="1"/>
  <c r="B1785" i="1"/>
  <c r="B1795" i="1"/>
  <c r="B1796" i="1"/>
  <c r="B1797" i="1"/>
  <c r="B1798" i="1"/>
  <c r="K772" i="1"/>
  <c r="M772" i="1"/>
  <c r="O772" i="1"/>
  <c r="K764" i="1"/>
  <c r="M764" i="1"/>
  <c r="O764" i="1"/>
  <c r="B2193" i="1"/>
  <c r="B2201" i="1" s="1"/>
  <c r="B2488" i="1"/>
  <c r="B2490" i="1"/>
  <c r="B2492" i="1"/>
  <c r="B2493" i="1"/>
  <c r="B2491" i="1"/>
  <c r="B2494" i="1"/>
  <c r="B2230" i="1"/>
  <c r="B2231" i="1"/>
  <c r="B2489" i="1"/>
  <c r="B2233" i="1"/>
  <c r="B2234" i="1"/>
  <c r="B2235" i="1"/>
  <c r="B2236" i="1"/>
  <c r="B2232" i="1"/>
  <c r="O1072" i="1"/>
  <c r="M1072" i="1"/>
  <c r="B2229" i="1"/>
  <c r="M1073" i="1"/>
  <c r="K926" i="1"/>
  <c r="M926" i="1"/>
  <c r="O926" i="1"/>
  <c r="K927" i="1"/>
  <c r="M927" i="1"/>
  <c r="O927" i="1"/>
  <c r="B2405" i="1"/>
  <c r="B2406" i="1"/>
  <c r="Q555" i="1"/>
  <c r="B1316" i="1"/>
  <c r="B1317" i="1"/>
  <c r="B1318" i="1"/>
  <c r="B2927" i="1"/>
  <c r="O1037" i="1"/>
  <c r="K554" i="1"/>
  <c r="Q554" i="1"/>
  <c r="M554" i="1"/>
  <c r="K555" i="1"/>
  <c r="M555" i="1"/>
  <c r="O555" i="1"/>
  <c r="B2991" i="1"/>
  <c r="B2925" i="1"/>
  <c r="B2926" i="1"/>
  <c r="B2928" i="1"/>
  <c r="B2995" i="1"/>
  <c r="B2996" i="1"/>
  <c r="B2997" i="1"/>
  <c r="B2998" i="1"/>
  <c r="B2999" i="1"/>
  <c r="B3000" i="1"/>
  <c r="B3007" i="1"/>
  <c r="Q1099" i="1"/>
  <c r="B2992" i="1"/>
  <c r="B3008" i="1"/>
  <c r="B3001" i="1"/>
  <c r="B2993" i="1"/>
  <c r="B3009" i="1"/>
  <c r="B3002" i="1"/>
  <c r="B2994" i="1"/>
  <c r="K930" i="1"/>
  <c r="M930" i="1"/>
  <c r="O930" i="1"/>
  <c r="Q1098" i="1"/>
  <c r="K1098" i="1"/>
  <c r="M1098" i="1"/>
  <c r="K1099" i="1"/>
  <c r="M1099" i="1"/>
  <c r="O1099" i="1"/>
  <c r="K1101" i="1"/>
  <c r="M1101" i="1"/>
  <c r="O1101" i="1"/>
  <c r="M1097" i="1"/>
  <c r="K1097" i="1"/>
  <c r="O1097" i="1"/>
  <c r="B589" i="1"/>
  <c r="B2530" i="1"/>
  <c r="B2988" i="1" s="1"/>
  <c r="B1324" i="1"/>
  <c r="B2626" i="1" s="1"/>
  <c r="B1121" i="1"/>
  <c r="B1122" i="1"/>
  <c r="B712" i="1"/>
  <c r="B1338" i="1"/>
  <c r="B2317" i="1"/>
  <c r="B1969" i="1"/>
  <c r="B2820" i="1" s="1"/>
  <c r="B1112" i="1"/>
  <c r="B635" i="1"/>
  <c r="B2702" i="1"/>
  <c r="B2046" i="1"/>
  <c r="B2850" i="1" s="1"/>
  <c r="B1961" i="1"/>
  <c r="B2815" i="1" s="1"/>
  <c r="B1429" i="1"/>
  <c r="B2651" i="1" s="1"/>
  <c r="B1500" i="1"/>
  <c r="B2676" i="1" s="1"/>
  <c r="B386" i="1"/>
  <c r="B1325" i="1"/>
  <c r="B2627" i="1" s="1"/>
  <c r="B1913" i="1"/>
  <c r="B2801" i="1" s="1"/>
  <c r="B2089" i="1"/>
  <c r="B2456" i="1"/>
  <c r="B2977" i="1" s="1"/>
  <c r="B702" i="1"/>
  <c r="B1574" i="1"/>
  <c r="K356" i="1"/>
  <c r="B404" i="1"/>
  <c r="B897" i="1"/>
  <c r="B591" i="1"/>
  <c r="B1417" i="1"/>
  <c r="B2647" i="1" s="1"/>
  <c r="B2458" i="1"/>
  <c r="B1510" i="1"/>
  <c r="B459" i="1"/>
  <c r="B885" i="1"/>
  <c r="B1515" i="1"/>
  <c r="B1384" i="1"/>
  <c r="B2638" i="1" s="1"/>
  <c r="B2347" i="1"/>
  <c r="B2962" i="1" s="1"/>
  <c r="B2295" i="1"/>
  <c r="Q735" i="1"/>
  <c r="B564" i="1"/>
  <c r="Q854" i="1"/>
  <c r="B1123" i="1"/>
  <c r="B1480" i="1"/>
  <c r="B1291" i="1"/>
  <c r="B1871" i="1"/>
  <c r="B2787" i="1" s="1"/>
  <c r="B1508" i="1"/>
  <c r="B2684" i="1" s="1"/>
  <c r="B1732" i="1"/>
  <c r="B2937" i="1"/>
  <c r="B1225" i="1"/>
  <c r="B532" i="1"/>
  <c r="B1015" i="1" s="1"/>
  <c r="B1567" i="1"/>
  <c r="B2705" i="1" s="1"/>
  <c r="B2127" i="1"/>
  <c r="B2890" i="1" s="1"/>
  <c r="Q736" i="1"/>
  <c r="B775" i="1"/>
  <c r="B1064" i="1" s="1"/>
  <c r="O521" i="1"/>
  <c r="K1142" i="1"/>
  <c r="B2464" i="1"/>
  <c r="K929" i="1"/>
  <c r="M929" i="1"/>
  <c r="O929" i="1"/>
  <c r="B2328" i="1"/>
  <c r="B1998" i="1"/>
  <c r="B1997" i="1"/>
  <c r="O356" i="1"/>
  <c r="M356" i="1"/>
  <c r="Q356" i="1"/>
  <c r="K854" i="1"/>
  <c r="M854" i="1"/>
  <c r="O854" i="1"/>
  <c r="B1211" i="1"/>
  <c r="B1212" i="1"/>
  <c r="B1213" i="1"/>
  <c r="Q1090" i="1"/>
  <c r="B2534" i="1"/>
  <c r="B2538" i="1"/>
  <c r="B2540" i="1"/>
  <c r="B2542" i="1"/>
  <c r="B2544" i="1"/>
  <c r="M1090" i="1"/>
  <c r="O1090" i="1"/>
  <c r="Q1091" i="1"/>
  <c r="M1091" i="1"/>
  <c r="B3216" i="1"/>
  <c r="B3421" i="1" s="1"/>
  <c r="B3215" i="1"/>
  <c r="B3420" i="1" s="1"/>
  <c r="B2335" i="1"/>
  <c r="B2336" i="1"/>
  <c r="B1792" i="1"/>
  <c r="B1793" i="1"/>
  <c r="O962" i="1"/>
  <c r="Q962" i="1"/>
  <c r="B497" i="1"/>
  <c r="B437" i="1"/>
  <c r="K194" i="1"/>
  <c r="M194" i="1"/>
  <c r="O194" i="1"/>
  <c r="B368" i="1"/>
  <c r="B836" i="1"/>
  <c r="B1953" i="1"/>
  <c r="B402" i="1"/>
  <c r="B841" i="1"/>
  <c r="B1957" i="1"/>
  <c r="B844" i="1"/>
  <c r="B500" i="1"/>
  <c r="B1126" i="1"/>
  <c r="B2023" i="1"/>
  <c r="B932" i="1"/>
  <c r="B1200" i="1"/>
  <c r="B2026" i="1"/>
  <c r="B2027" i="1"/>
  <c r="B545" i="1"/>
  <c r="B162" i="1"/>
  <c r="B960" i="1" s="1"/>
  <c r="B594" i="1"/>
  <c r="B1645" i="1"/>
  <c r="B2718" i="1" s="1"/>
  <c r="B2174" i="1"/>
  <c r="B2184" i="1" s="1"/>
  <c r="B595" i="1"/>
  <c r="B1646" i="1"/>
  <c r="B2175" i="1"/>
  <c r="B2185" i="1" s="1"/>
  <c r="B2176" i="1"/>
  <c r="B2177" i="1"/>
  <c r="B2187" i="1" s="1"/>
  <c r="B787" i="1"/>
  <c r="B1922" i="1"/>
  <c r="B2804" i="1" s="1"/>
  <c r="B2178" i="1"/>
  <c r="B2188" i="1" s="1"/>
  <c r="B2354" i="1"/>
  <c r="B2355" i="1"/>
  <c r="B590" i="1"/>
  <c r="B715" i="1"/>
  <c r="B1846" i="1"/>
  <c r="B2029" i="1"/>
  <c r="B2842" i="1" s="1"/>
  <c r="B2376" i="1"/>
  <c r="B498" i="1"/>
  <c r="B1001" i="1" s="1"/>
  <c r="B1770" i="1"/>
  <c r="B708" i="1"/>
  <c r="B1771" i="1"/>
  <c r="B2766" i="1" s="1"/>
  <c r="B709" i="1"/>
  <c r="B1352" i="1"/>
  <c r="B360" i="1"/>
  <c r="B592" i="1"/>
  <c r="B732" i="1"/>
  <c r="B1848" i="1"/>
  <c r="B2030" i="1"/>
  <c r="B2378" i="1"/>
  <c r="B1837" i="1"/>
  <c r="B2772" i="1" s="1"/>
  <c r="B593" i="1"/>
  <c r="B771" i="1"/>
  <c r="B2111" i="1"/>
  <c r="B2417" i="1"/>
  <c r="B803" i="1"/>
  <c r="B1690" i="1"/>
  <c r="B53" i="1"/>
  <c r="B936" i="1" s="1"/>
  <c r="B546" i="1"/>
  <c r="B620" i="1"/>
  <c r="B733" i="1"/>
  <c r="B1275" i="1"/>
  <c r="B1692" i="1"/>
  <c r="B2732" i="1" s="1"/>
  <c r="B1964" i="1"/>
  <c r="B2033" i="1"/>
  <c r="B2226" i="1"/>
  <c r="B1109" i="1"/>
  <c r="B1436" i="1"/>
  <c r="B2656" i="1" s="1"/>
  <c r="B479" i="1"/>
  <c r="B549" i="1"/>
  <c r="B621" i="1"/>
  <c r="B2035" i="1"/>
  <c r="B1437" i="1"/>
  <c r="B2657" i="1" s="1"/>
  <c r="B1691" i="1"/>
  <c r="B399" i="1"/>
  <c r="B483" i="1"/>
  <c r="B550" i="1"/>
  <c r="B634" i="1"/>
  <c r="B743" i="1"/>
  <c r="B913" i="1"/>
  <c r="B1877" i="1"/>
  <c r="B2050" i="1"/>
  <c r="B2849" i="1" s="1"/>
  <c r="B2553" i="1"/>
  <c r="B251" i="1"/>
  <c r="B965" i="1" s="1"/>
  <c r="B282" i="1"/>
  <c r="B400" i="1"/>
  <c r="B486" i="1"/>
  <c r="B995" i="1" s="1"/>
  <c r="B744" i="1"/>
  <c r="B916" i="1"/>
  <c r="B1573" i="1"/>
  <c r="B2703" i="1" s="1"/>
  <c r="B1764" i="1"/>
  <c r="B2554" i="1"/>
  <c r="B1108" i="1"/>
  <c r="B1167" i="1"/>
  <c r="B128" i="1"/>
  <c r="B952" i="1" s="1"/>
  <c r="B401" i="1"/>
  <c r="B996" i="1"/>
  <c r="B1765" i="1"/>
  <c r="B2764" i="1" s="1"/>
  <c r="B1886" i="1"/>
  <c r="B1990" i="1"/>
  <c r="B2830" i="1" s="1"/>
  <c r="B2052" i="1"/>
  <c r="B2555" i="1"/>
  <c r="B109" i="1"/>
  <c r="B946" i="1" s="1"/>
  <c r="B490" i="1"/>
  <c r="B489" i="1"/>
  <c r="B488" i="1"/>
  <c r="B773" i="1"/>
  <c r="B804" i="1"/>
  <c r="B753" i="1"/>
  <c r="B751" i="1"/>
  <c r="B750" i="1"/>
  <c r="B757" i="1"/>
  <c r="B756" i="1"/>
  <c r="B755" i="1"/>
  <c r="B754" i="1"/>
  <c r="B752" i="1"/>
  <c r="B1129" i="1"/>
  <c r="B1507" i="1"/>
  <c r="O581" i="1"/>
  <c r="B1385" i="1"/>
  <c r="B1678" i="1"/>
  <c r="B2728" i="1" s="1"/>
  <c r="B1677" i="1"/>
  <c r="B1676" i="1"/>
  <c r="K886" i="1"/>
  <c r="B2100" i="1"/>
  <c r="B2076" i="1"/>
  <c r="B2077" i="1"/>
  <c r="B2101" i="1"/>
  <c r="B2873" i="1" s="1"/>
  <c r="B2099" i="1"/>
  <c r="B2106" i="1"/>
  <c r="B2105" i="1"/>
  <c r="O8" i="1"/>
  <c r="B77" i="1"/>
  <c r="B558" i="1"/>
  <c r="B557" i="1"/>
  <c r="B556" i="1"/>
  <c r="B1554" i="1"/>
  <c r="B2698" i="1" s="1"/>
  <c r="B1391" i="1"/>
  <c r="B2641" i="1" s="1"/>
  <c r="B1870" i="1"/>
  <c r="B2063" i="1"/>
  <c r="B2064" i="1"/>
  <c r="O888" i="1"/>
  <c r="B2159" i="1"/>
  <c r="B2196" i="1"/>
  <c r="B2194" i="1"/>
  <c r="B2202" i="1" s="1"/>
  <c r="B2195" i="1"/>
  <c r="B2203" i="1" s="1"/>
  <c r="B1942" i="1"/>
  <c r="B2808" i="1" s="1"/>
  <c r="B2446" i="1"/>
  <c r="Q583" i="1"/>
  <c r="B1206" i="1"/>
  <c r="B1205" i="1"/>
  <c r="B1207" i="1"/>
  <c r="B1111" i="1"/>
  <c r="B8" i="1"/>
  <c r="B926" i="1" s="1"/>
  <c r="B991" i="1"/>
  <c r="B578" i="1"/>
  <c r="B585" i="1"/>
  <c r="B584" i="1"/>
  <c r="B583" i="1"/>
  <c r="B582" i="1"/>
  <c r="B581" i="1"/>
  <c r="B580" i="1"/>
  <c r="B579" i="1"/>
  <c r="B873" i="1"/>
  <c r="B874" i="1"/>
  <c r="K531" i="1"/>
  <c r="B1670" i="1"/>
  <c r="K716" i="1"/>
  <c r="B1736" i="1"/>
  <c r="B1113" i="1"/>
  <c r="M889" i="1"/>
  <c r="B2103" i="1"/>
  <c r="B2875" i="1" s="1"/>
  <c r="B2102" i="1"/>
  <c r="B2107" i="1"/>
  <c r="B2311" i="1"/>
  <c r="B2314" i="1"/>
  <c r="B2310" i="1"/>
  <c r="B2546" i="1"/>
  <c r="B343" i="1"/>
  <c r="B919" i="1"/>
  <c r="B1693" i="1"/>
  <c r="B2734" i="1" s="1"/>
  <c r="B2528" i="1"/>
  <c r="B14" i="1"/>
  <c r="B150" i="1"/>
  <c r="B292" i="1"/>
  <c r="B293" i="1"/>
  <c r="B975" i="1" s="1"/>
  <c r="B533" i="1"/>
  <c r="B561" i="1"/>
  <c r="B638" i="1"/>
  <c r="B636" i="1"/>
  <c r="B820" i="1"/>
  <c r="B819" i="1"/>
  <c r="B1276" i="1"/>
  <c r="B1639" i="1"/>
  <c r="B2716" i="1" s="1"/>
  <c r="B1351" i="1"/>
  <c r="B1349" i="1"/>
  <c r="B1458" i="1"/>
  <c r="B2664" i="1" s="1"/>
  <c r="Q662" i="1"/>
  <c r="B1591" i="1"/>
  <c r="B1835" i="1"/>
  <c r="B1929" i="1"/>
  <c r="B2807" i="1" s="1"/>
  <c r="B1928" i="1"/>
  <c r="B1927" i="1"/>
  <c r="B2549" i="1"/>
  <c r="B2547" i="1"/>
  <c r="B2550" i="1"/>
  <c r="B2548" i="1"/>
  <c r="B2294" i="1"/>
  <c r="B2293" i="1"/>
  <c r="B814" i="1"/>
  <c r="B815" i="1"/>
  <c r="B813" i="1"/>
  <c r="B1120" i="1"/>
  <c r="Q695" i="1"/>
  <c r="B1905" i="1"/>
  <c r="B1893" i="1"/>
  <c r="Q893" i="1"/>
  <c r="B2539" i="1"/>
  <c r="B2130" i="1"/>
  <c r="B2122" i="1"/>
  <c r="B2541" i="1"/>
  <c r="B2537" i="1"/>
  <c r="B2123" i="1"/>
  <c r="B2215" i="1"/>
  <c r="B2223" i="1" s="1"/>
  <c r="B2214" i="1"/>
  <c r="B2222" i="1" s="1"/>
  <c r="B2216" i="1"/>
  <c r="B1943" i="1"/>
  <c r="B2809" i="1" s="1"/>
  <c r="B2398" i="1"/>
  <c r="B1544" i="1"/>
  <c r="B2693" i="1" s="1"/>
  <c r="B1543" i="1"/>
  <c r="Q468" i="1"/>
  <c r="Q87" i="1"/>
  <c r="B2364" i="1"/>
  <c r="B2363" i="1"/>
  <c r="B2362" i="1"/>
  <c r="B66" i="1"/>
  <c r="B940" i="1" s="1"/>
  <c r="B345" i="1"/>
  <c r="B639" i="1"/>
  <c r="B811" i="1"/>
  <c r="B871" i="1"/>
  <c r="B1176" i="1"/>
  <c r="B1390" i="1"/>
  <c r="B2640" i="1" s="1"/>
  <c r="B1716" i="1"/>
  <c r="B1926" i="1"/>
  <c r="B2093" i="1"/>
  <c r="B47" i="1"/>
  <c r="B935" i="1" s="1"/>
  <c r="B80" i="1"/>
  <c r="B944" i="1" s="1"/>
  <c r="B259" i="1"/>
  <c r="B968" i="1" s="1"/>
  <c r="B1105" i="1"/>
  <c r="B1107" i="1"/>
  <c r="B1106" i="1"/>
  <c r="B538" i="1"/>
  <c r="B562" i="1"/>
  <c r="B563" i="1"/>
  <c r="B600" i="1"/>
  <c r="B602" i="1"/>
  <c r="B601" i="1"/>
  <c r="B599" i="1"/>
  <c r="B891" i="1"/>
  <c r="B890" i="1"/>
  <c r="B889" i="1"/>
  <c r="B888" i="1"/>
  <c r="B697" i="1"/>
  <c r="B696" i="1"/>
  <c r="B736" i="1"/>
  <c r="B1052" i="1" s="1"/>
  <c r="B735" i="1"/>
  <c r="B1147" i="1"/>
  <c r="B1182" i="1"/>
  <c r="B1181" i="1"/>
  <c r="B1561" i="1"/>
  <c r="B1311" i="1"/>
  <c r="B1372" i="1"/>
  <c r="B1371" i="1"/>
  <c r="B1406" i="1"/>
  <c r="B1492" i="1"/>
  <c r="B1499" i="1"/>
  <c r="B1498" i="1"/>
  <c r="B2675" i="1" s="1"/>
  <c r="B1536" i="1"/>
  <c r="B1535" i="1"/>
  <c r="B1534" i="1"/>
  <c r="B1598" i="1"/>
  <c r="B1603" i="1" s="1"/>
  <c r="B1596" i="1"/>
  <c r="B1597" i="1"/>
  <c r="B1753" i="1"/>
  <c r="B1741" i="1"/>
  <c r="B2758" i="1" s="1"/>
  <c r="Q742" i="1"/>
  <c r="B1842" i="1"/>
  <c r="B1841" i="1"/>
  <c r="B1836" i="1"/>
  <c r="B1840" i="1"/>
  <c r="M864" i="1"/>
  <c r="B2017" i="1"/>
  <c r="B2016" i="1"/>
  <c r="B2013" i="1"/>
  <c r="B2012" i="1"/>
  <c r="B2131" i="1"/>
  <c r="B2179" i="1"/>
  <c r="B2189" i="1" s="1"/>
  <c r="B2180" i="1"/>
  <c r="B2190" i="1" s="1"/>
  <c r="B2212" i="1"/>
  <c r="B2211" i="1"/>
  <c r="B2219" i="1" s="1"/>
  <c r="B2210" i="1"/>
  <c r="B2218" i="1" s="1"/>
  <c r="B2343" i="1"/>
  <c r="B2346" i="1"/>
  <c r="B2963" i="1" s="1"/>
  <c r="B1958" i="1"/>
  <c r="B1947" i="1"/>
  <c r="B1970" i="1"/>
  <c r="B2453" i="1"/>
  <c r="B2976" i="1" s="1"/>
  <c r="B2583" i="1"/>
  <c r="O1011" i="1"/>
  <c r="Q299" i="1"/>
  <c r="O975" i="1"/>
  <c r="B2352" i="1"/>
  <c r="B2351" i="1"/>
  <c r="Q444" i="1"/>
  <c r="B71" i="1"/>
  <c r="B942" i="1" s="1"/>
  <c r="B276" i="1"/>
  <c r="B971" i="1" s="1"/>
  <c r="B507" i="1"/>
  <c r="B565" i="1"/>
  <c r="B640" i="1"/>
  <c r="B710" i="1"/>
  <c r="B760" i="1"/>
  <c r="B812" i="1"/>
  <c r="B872" i="1"/>
  <c r="B1180" i="1"/>
  <c r="B1541" i="1"/>
  <c r="B2692" i="1" s="1"/>
  <c r="B2108" i="1"/>
  <c r="B2543" i="1"/>
  <c r="B536" i="1"/>
  <c r="B535" i="1"/>
  <c r="B534" i="1"/>
  <c r="B646" i="1"/>
  <c r="B1034" i="1" s="1"/>
  <c r="B645" i="1"/>
  <c r="B644" i="1"/>
  <c r="B643" i="1"/>
  <c r="B598" i="1"/>
  <c r="B597" i="1"/>
  <c r="B886" i="1"/>
  <c r="B887" i="1"/>
  <c r="B698" i="1"/>
  <c r="B699" i="1"/>
  <c r="B731" i="1"/>
  <c r="B1049" i="1" s="1"/>
  <c r="B1149" i="1"/>
  <c r="B1152" i="1"/>
  <c r="B1150" i="1"/>
  <c r="B1277" i="1"/>
  <c r="B2619" i="1" s="1"/>
  <c r="B1380" i="1"/>
  <c r="B2637" i="1" s="1"/>
  <c r="B1409" i="1"/>
  <c r="B2646" i="1" s="1"/>
  <c r="B1408" i="1"/>
  <c r="B1407" i="1"/>
  <c r="B1438" i="1"/>
  <c r="B1493" i="1"/>
  <c r="B2674" i="1" s="1"/>
  <c r="M651" i="1"/>
  <c r="B1546" i="1"/>
  <c r="B1296" i="1"/>
  <c r="Q696" i="1"/>
  <c r="Q721" i="1"/>
  <c r="B1742" i="1"/>
  <c r="Q743" i="1"/>
  <c r="B1703" i="1"/>
  <c r="B1776" i="1"/>
  <c r="B1777" i="1"/>
  <c r="B2765" i="1" s="1"/>
  <c r="B1844" i="1"/>
  <c r="B1843" i="1"/>
  <c r="B1839" i="1"/>
  <c r="K823" i="1"/>
  <c r="B2133" i="1"/>
  <c r="B2139" i="1" s="1"/>
  <c r="B2132" i="1"/>
  <c r="B2138" i="1" s="1"/>
  <c r="B2134" i="1"/>
  <c r="O954" i="1"/>
  <c r="B2330" i="1"/>
  <c r="B2350" i="1"/>
  <c r="B2964" i="1" s="1"/>
  <c r="B1952" i="1"/>
  <c r="B1971" i="1"/>
  <c r="B2455" i="1"/>
  <c r="B2454" i="1"/>
  <c r="B2469" i="1"/>
  <c r="B2468" i="1"/>
  <c r="B1965" i="1"/>
  <c r="B1900" i="1"/>
  <c r="B2798" i="1" s="1"/>
  <c r="K442" i="1"/>
  <c r="B1227" i="1"/>
  <c r="B1226" i="1"/>
  <c r="B2445" i="1"/>
  <c r="B2972" i="1" s="1"/>
  <c r="B177" i="1"/>
  <c r="B358" i="1"/>
  <c r="B403" i="1"/>
  <c r="B481" i="1"/>
  <c r="B566" i="1"/>
  <c r="B608" i="1"/>
  <c r="B641" i="1"/>
  <c r="B763" i="1"/>
  <c r="B818" i="1"/>
  <c r="B883" i="1"/>
  <c r="B1097" i="1" s="1"/>
  <c r="B1127" i="1"/>
  <c r="B1471" i="1"/>
  <c r="B1542" i="1"/>
  <c r="B1655" i="1"/>
  <c r="B2010" i="1"/>
  <c r="B2109" i="1"/>
  <c r="B2181" i="1"/>
  <c r="B2323" i="1"/>
  <c r="B2457" i="1"/>
  <c r="B359" i="1"/>
  <c r="B482" i="1"/>
  <c r="B567" i="1"/>
  <c r="B642" i="1"/>
  <c r="B834" i="1"/>
  <c r="B884" i="1"/>
  <c r="B1128" i="1"/>
  <c r="B1303" i="1"/>
  <c r="B1833" i="1"/>
  <c r="B2770" i="1" s="1"/>
  <c r="B1887" i="1"/>
  <c r="B2793" i="1" s="1"/>
  <c r="B1959" i="1"/>
  <c r="B2065" i="1"/>
  <c r="B2858" i="1" s="1"/>
  <c r="B2110" i="1"/>
  <c r="B2213" i="1"/>
  <c r="B2324" i="1"/>
  <c r="B2545" i="1"/>
  <c r="B2462" i="1"/>
  <c r="B40" i="1"/>
  <c r="B933" i="1" s="1"/>
  <c r="B256" i="1"/>
  <c r="B257" i="1"/>
  <c r="B511" i="1"/>
  <c r="M601" i="1"/>
  <c r="B1419" i="1"/>
  <c r="B1748" i="1"/>
  <c r="B2761" i="1" s="1"/>
  <c r="K869" i="1"/>
  <c r="B2054" i="1"/>
  <c r="B2853" i="1" s="1"/>
  <c r="Q944" i="1"/>
  <c r="B2307" i="1"/>
  <c r="B2306" i="1"/>
  <c r="B1421" i="1"/>
  <c r="B2084" i="1"/>
  <c r="B920" i="1"/>
  <c r="B922" i="1"/>
  <c r="B1102" i="1" s="1"/>
  <c r="K489" i="1"/>
  <c r="B1682" i="1"/>
  <c r="B1681" i="1"/>
  <c r="B2018" i="1"/>
  <c r="B2004" i="1"/>
  <c r="B2199" i="1"/>
  <c r="B2207" i="1" s="1"/>
  <c r="B2198" i="1"/>
  <c r="B2206" i="1" s="1"/>
  <c r="B2200" i="1"/>
  <c r="B1966" i="1"/>
  <c r="B1968" i="1"/>
  <c r="B1967" i="1"/>
  <c r="M569" i="1"/>
  <c r="K588" i="1"/>
  <c r="B1396" i="1"/>
  <c r="B765" i="1"/>
  <c r="B764" i="1"/>
  <c r="B762" i="1"/>
  <c r="B761" i="1"/>
  <c r="B759" i="1"/>
  <c r="B1634" i="1"/>
  <c r="B1343" i="1"/>
  <c r="B1432" i="1"/>
  <c r="B1431" i="1"/>
  <c r="Q708" i="1"/>
  <c r="B1729" i="1"/>
  <c r="M707" i="1"/>
  <c r="B1722" i="1"/>
  <c r="M715" i="1"/>
  <c r="B1735" i="1"/>
  <c r="M858" i="1"/>
  <c r="B2005" i="1"/>
  <c r="B2313" i="1"/>
  <c r="B2950" i="1" s="1"/>
  <c r="B2309" i="1"/>
  <c r="B2371" i="1"/>
  <c r="Q589" i="1"/>
  <c r="B1397" i="1"/>
  <c r="B1514" i="1"/>
  <c r="B2686" i="1" s="1"/>
  <c r="B1912" i="1"/>
  <c r="B555" i="1"/>
  <c r="B1024" i="1" s="1"/>
  <c r="B554" i="1"/>
  <c r="B553" i="1"/>
  <c r="B2209" i="1"/>
  <c r="B2091" i="1"/>
  <c r="O28" i="1"/>
  <c r="B356" i="1"/>
  <c r="B357" i="1"/>
  <c r="B982" i="1" s="1"/>
  <c r="B355" i="1"/>
  <c r="B588" i="1"/>
  <c r="B587" i="1"/>
  <c r="B586" i="1"/>
  <c r="B892" i="1"/>
  <c r="B1098" i="1" s="1"/>
  <c r="B1489" i="1"/>
  <c r="B2671" i="1" s="1"/>
  <c r="B1405" i="1"/>
  <c r="B2643" i="1" s="1"/>
  <c r="B2182" i="1"/>
  <c r="B1945" i="1"/>
  <c r="B1944" i="1"/>
  <c r="B1946" i="1"/>
  <c r="O959" i="1"/>
  <c r="Q769" i="1"/>
  <c r="B65" i="1"/>
  <c r="B637" i="1"/>
  <c r="B921" i="1"/>
  <c r="B1175" i="1"/>
  <c r="B1521" i="1"/>
  <c r="B2689" i="1" s="1"/>
  <c r="B1923" i="1"/>
  <c r="B2092" i="1"/>
  <c r="B2315" i="1"/>
  <c r="B46" i="1"/>
  <c r="B295" i="1"/>
  <c r="B294" i="1"/>
  <c r="B729" i="1"/>
  <c r="B725" i="1"/>
  <c r="B728" i="1"/>
  <c r="B727" i="1"/>
  <c r="B726" i="1"/>
  <c r="B1640" i="1"/>
  <c r="B2717" i="1" s="1"/>
  <c r="K622" i="1"/>
  <c r="B2015" i="1"/>
  <c r="B2838" i="1" s="1"/>
  <c r="B2011" i="1"/>
  <c r="B2475" i="1"/>
  <c r="B2452" i="1"/>
  <c r="B2379" i="1"/>
  <c r="B39" i="1"/>
  <c r="B20" i="1"/>
  <c r="B929" i="1" s="1"/>
  <c r="B45" i="1"/>
  <c r="B103" i="1"/>
  <c r="B945" i="1" s="1"/>
  <c r="B267" i="1"/>
  <c r="B969" i="1" s="1"/>
  <c r="B266" i="1"/>
  <c r="B604" i="1"/>
  <c r="B607" i="1"/>
  <c r="B606" i="1"/>
  <c r="B605" i="1"/>
  <c r="B603" i="1"/>
  <c r="B782" i="1"/>
  <c r="B840" i="1"/>
  <c r="B832" i="1"/>
  <c r="B849" i="1"/>
  <c r="B831" i="1"/>
  <c r="B848" i="1"/>
  <c r="B847" i="1"/>
  <c r="B852" i="1"/>
  <c r="B851" i="1"/>
  <c r="B713" i="1"/>
  <c r="B711" i="1"/>
  <c r="B1124" i="1"/>
  <c r="B1134" i="1"/>
  <c r="B1133" i="1"/>
  <c r="B1132" i="1"/>
  <c r="O503" i="1"/>
  <c r="K746" i="1"/>
  <c r="B115" i="1"/>
  <c r="B949" i="1" s="1"/>
  <c r="B610" i="1"/>
  <c r="B1013" i="1" s="1"/>
  <c r="B1834" i="1"/>
  <c r="B269" i="1"/>
  <c r="B270" i="1"/>
  <c r="B501" i="1"/>
  <c r="B472" i="1"/>
  <c r="B471" i="1"/>
  <c r="B470" i="1"/>
  <c r="B469" i="1"/>
  <c r="B828" i="1"/>
  <c r="B830" i="1"/>
  <c r="B1081" i="1" s="1"/>
  <c r="B829" i="1"/>
  <c r="B900" i="1"/>
  <c r="B1099" i="1" s="1"/>
  <c r="B899" i="1"/>
  <c r="B898" i="1"/>
  <c r="B741" i="1"/>
  <c r="B748" i="1"/>
  <c r="B742" i="1"/>
  <c r="B747" i="1"/>
  <c r="B746" i="1"/>
  <c r="B1157" i="1"/>
  <c r="B1156" i="1"/>
  <c r="B1155" i="1"/>
  <c r="B1194" i="1"/>
  <c r="B1193" i="1"/>
  <c r="B1195" i="1"/>
  <c r="B1430" i="1"/>
  <c r="B2652" i="1" s="1"/>
  <c r="B1365" i="1"/>
  <c r="B2633" i="1" s="1"/>
  <c r="B1290" i="1"/>
  <c r="B1439" i="1"/>
  <c r="B1440" i="1"/>
  <c r="B1441" i="1"/>
  <c r="B2660" i="1" s="1"/>
  <c r="B1661" i="1"/>
  <c r="B2722" i="1" s="1"/>
  <c r="B1709" i="1"/>
  <c r="B1786" i="1"/>
  <c r="B2767" i="1" s="1"/>
  <c r="O797" i="1"/>
  <c r="B1852" i="1"/>
  <c r="B1851" i="1"/>
  <c r="B1850" i="1"/>
  <c r="M852" i="1"/>
  <c r="B2049" i="1"/>
  <c r="B2034" i="1"/>
  <c r="B2032" i="1"/>
  <c r="B2031" i="1"/>
  <c r="B2041" i="1"/>
  <c r="B2040" i="1"/>
  <c r="B2048" i="1"/>
  <c r="B2042" i="1"/>
  <c r="K884" i="1"/>
  <c r="B2090" i="1"/>
  <c r="B2082" i="1"/>
  <c r="B2870" i="1" s="1"/>
  <c r="B2098" i="1"/>
  <c r="B2872" i="1" s="1"/>
  <c r="B2075" i="1"/>
  <c r="B2144" i="1"/>
  <c r="B2148" i="1" s="1"/>
  <c r="B2146" i="1"/>
  <c r="B2145" i="1"/>
  <c r="B2149" i="1" s="1"/>
  <c r="B2302" i="1"/>
  <c r="B2943" i="1" s="1"/>
  <c r="B2303" i="1"/>
  <c r="B116" i="1"/>
  <c r="B948" i="1" s="1"/>
  <c r="B247" i="1"/>
  <c r="B284" i="1"/>
  <c r="B484" i="1"/>
  <c r="B539" i="1"/>
  <c r="B1018" i="1" s="1"/>
  <c r="B575" i="1"/>
  <c r="B769" i="1"/>
  <c r="B1142" i="1"/>
  <c r="B1683" i="1"/>
  <c r="B2729" i="1" s="1"/>
  <c r="B1962" i="1"/>
  <c r="B2227" i="1"/>
  <c r="B59" i="1"/>
  <c r="B938" i="1" s="1"/>
  <c r="B136" i="1"/>
  <c r="B954" i="1" s="1"/>
  <c r="B135" i="1"/>
  <c r="B2358" i="1" s="1"/>
  <c r="B347" i="1"/>
  <c r="B346" i="1"/>
  <c r="B552" i="1"/>
  <c r="B788" i="1"/>
  <c r="B717" i="1"/>
  <c r="B1165" i="1"/>
  <c r="O615" i="1"/>
  <c r="B1450" i="1"/>
  <c r="B1506" i="1"/>
  <c r="B2678" i="1" s="1"/>
  <c r="B1582" i="1"/>
  <c r="B2708" i="1" s="1"/>
  <c r="B1580" i="1"/>
  <c r="B1581" i="1"/>
  <c r="B1653" i="1"/>
  <c r="B1652" i="1"/>
  <c r="B1733" i="1"/>
  <c r="Q787" i="1"/>
  <c r="B1686" i="1"/>
  <c r="B1685" i="1"/>
  <c r="B1899" i="1"/>
  <c r="B2797" i="1" s="1"/>
  <c r="K856" i="1"/>
  <c r="B2126" i="1"/>
  <c r="B2125" i="1"/>
  <c r="B2197" i="1"/>
  <c r="K942" i="1"/>
  <c r="B2305" i="1"/>
  <c r="B2337" i="1"/>
  <c r="B2285" i="1"/>
  <c r="O1067" i="1"/>
  <c r="B2471" i="1"/>
  <c r="Q1102" i="1"/>
  <c r="B2557" i="1"/>
  <c r="B2558" i="1"/>
  <c r="B244" i="1"/>
  <c r="B243" i="1"/>
  <c r="B245" i="1"/>
  <c r="B277" i="1"/>
  <c r="B972" i="1" s="1"/>
  <c r="B505" i="1"/>
  <c r="B551" i="1"/>
  <c r="B626" i="1"/>
  <c r="B624" i="1"/>
  <c r="B630" i="1"/>
  <c r="B629" i="1"/>
  <c r="B628" i="1"/>
  <c r="B627" i="1"/>
  <c r="B625" i="1"/>
  <c r="B623" i="1"/>
  <c r="B799" i="1"/>
  <c r="B807" i="1"/>
  <c r="B881" i="1"/>
  <c r="B882" i="1"/>
  <c r="B1096" i="1" s="1"/>
  <c r="B706" i="1"/>
  <c r="B720" i="1"/>
  <c r="B719" i="1"/>
  <c r="B1042" i="1" s="1"/>
  <c r="B718" i="1"/>
  <c r="B758" i="1"/>
  <c r="B1168" i="1"/>
  <c r="B1162" i="1"/>
  <c r="B1161" i="1"/>
  <c r="B1160" i="1"/>
  <c r="B1553" i="1"/>
  <c r="B2697" i="1" s="1"/>
  <c r="B1451" i="1"/>
  <c r="B1114" i="1"/>
  <c r="K814" i="1"/>
  <c r="B1869" i="1"/>
  <c r="B2062" i="1"/>
  <c r="B2055" i="1"/>
  <c r="B2854" i="1" s="1"/>
  <c r="K887" i="1"/>
  <c r="B2088" i="1"/>
  <c r="B2087" i="1"/>
  <c r="B2074" i="1"/>
  <c r="B2073" i="1"/>
  <c r="B2096" i="1"/>
  <c r="B2080" i="1"/>
  <c r="B2081" i="1"/>
  <c r="B2869" i="1" s="1"/>
  <c r="B2097" i="1"/>
  <c r="B2871" i="1" s="1"/>
  <c r="B2095" i="1"/>
  <c r="B2078" i="1"/>
  <c r="B2072" i="1"/>
  <c r="M907" i="1"/>
  <c r="B2164" i="1"/>
  <c r="B2171" i="1" s="1"/>
  <c r="B2163" i="1"/>
  <c r="B2170" i="1" s="1"/>
  <c r="B2308" i="1"/>
  <c r="B2312" i="1"/>
  <c r="K965" i="1"/>
  <c r="B2338" i="1"/>
  <c r="B2286" i="1"/>
  <c r="B2387" i="1"/>
  <c r="B2526" i="1"/>
  <c r="K1134" i="1"/>
  <c r="B2459" i="1"/>
  <c r="B2460" i="1"/>
  <c r="B2979" i="1" s="1"/>
  <c r="B1169" i="1"/>
  <c r="B1911" i="1"/>
  <c r="B2085" i="1"/>
  <c r="B2165" i="1"/>
  <c r="B142" i="1"/>
  <c r="B957" i="1" s="1"/>
  <c r="B506" i="1"/>
  <c r="B878" i="1"/>
  <c r="B1095" i="1" s="1"/>
  <c r="B877" i="1"/>
  <c r="B876" i="1"/>
  <c r="B875" i="1"/>
  <c r="B722" i="1"/>
  <c r="B1045" i="1" s="1"/>
  <c r="B721" i="1"/>
  <c r="B1305" i="1"/>
  <c r="B1304" i="1"/>
  <c r="B1525" i="1"/>
  <c r="B1526" i="1"/>
  <c r="B1524" i="1"/>
  <c r="Q790" i="1"/>
  <c r="B1687" i="1"/>
  <c r="B1689" i="1"/>
  <c r="B1688" i="1"/>
  <c r="B2521" i="1"/>
  <c r="B918" i="1"/>
  <c r="B2527" i="1"/>
  <c r="B2989" i="1" s="1"/>
  <c r="B34" i="1"/>
  <c r="B930" i="1" s="1"/>
  <c r="B632" i="1"/>
  <c r="B633" i="1"/>
  <c r="B631" i="1"/>
  <c r="B915" i="1"/>
  <c r="B914" i="1"/>
  <c r="B1404" i="1"/>
  <c r="B2642" i="1" s="1"/>
  <c r="O512" i="1"/>
  <c r="B1555" i="1"/>
  <c r="B1344" i="1"/>
  <c r="B2632" i="1" s="1"/>
  <c r="B1433" i="1"/>
  <c r="B2654" i="1" s="1"/>
  <c r="K619" i="1"/>
  <c r="B1457" i="1"/>
  <c r="B1456" i="1"/>
  <c r="K692" i="1"/>
  <c r="B1671" i="1"/>
  <c r="Q709" i="1"/>
  <c r="B1730" i="1"/>
  <c r="B2058" i="1"/>
  <c r="B2855" i="1" s="1"/>
  <c r="B2057" i="1"/>
  <c r="K909" i="1"/>
  <c r="B2160" i="1"/>
  <c r="B2167" i="1" s="1"/>
  <c r="B2162" i="1"/>
  <c r="B2161" i="1"/>
  <c r="B2168" i="1" s="1"/>
  <c r="B2345" i="1"/>
  <c r="Q353" i="1"/>
  <c r="B669" i="1"/>
  <c r="B668" i="1"/>
  <c r="B9" i="1"/>
  <c r="B805" i="1"/>
  <c r="B1174" i="1"/>
  <c r="B842" i="1"/>
  <c r="B833" i="1"/>
  <c r="B826" i="1"/>
  <c r="B1556" i="1"/>
  <c r="B1434" i="1"/>
  <c r="B2727" i="1"/>
  <c r="B1740" i="1"/>
  <c r="B2757" i="1" s="1"/>
  <c r="B1119" i="1"/>
  <c r="B2735" i="1" s="1"/>
  <c r="B1978" i="1"/>
  <c r="B1984" i="1"/>
  <c r="B2070" i="1"/>
  <c r="B2860" i="1" s="1"/>
  <c r="K892" i="1"/>
  <c r="B2535" i="1"/>
  <c r="B2533" i="1"/>
  <c r="B2121" i="1"/>
  <c r="K949" i="1"/>
  <c r="B2463" i="1"/>
  <c r="B2461" i="1"/>
  <c r="B1533" i="1"/>
  <c r="B2691" i="1" s="1"/>
  <c r="B870" i="1"/>
  <c r="B2529" i="1"/>
  <c r="B15" i="1"/>
  <c r="B927" i="1" s="1"/>
  <c r="B258" i="1"/>
  <c r="B265" i="1"/>
  <c r="B352" i="1"/>
  <c r="B351" i="1"/>
  <c r="B353" i="1"/>
  <c r="B389" i="1"/>
  <c r="B391" i="1"/>
  <c r="B390" i="1"/>
  <c r="B1104" i="1"/>
  <c r="B1103" i="1"/>
  <c r="B650" i="1"/>
  <c r="B648" i="1"/>
  <c r="B649" i="1"/>
  <c r="B654" i="1"/>
  <c r="B653" i="1"/>
  <c r="B652" i="1"/>
  <c r="B651" i="1"/>
  <c r="B1146" i="1"/>
  <c r="B1145" i="1"/>
  <c r="O499" i="1"/>
  <c r="B1490" i="1"/>
  <c r="K571" i="1"/>
  <c r="B1350" i="1"/>
  <c r="K593" i="1"/>
  <c r="B1414" i="1"/>
  <c r="B1415" i="1"/>
  <c r="B1416" i="1"/>
  <c r="B1599" i="1"/>
  <c r="B1604" i="1" s="1"/>
  <c r="B1698" i="1"/>
  <c r="B2736" i="1" s="1"/>
  <c r="B1979" i="1"/>
  <c r="B2061" i="1"/>
  <c r="B2856" i="1" s="1"/>
  <c r="O911" i="1"/>
  <c r="B2173" i="1"/>
  <c r="B2349" i="1"/>
  <c r="B2348" i="1"/>
  <c r="K649" i="1"/>
  <c r="B1545" i="1"/>
  <c r="B2695" i="1" s="1"/>
  <c r="B2316" i="1"/>
  <c r="B179" i="1"/>
  <c r="B169" i="1" s="1"/>
  <c r="B364" i="1"/>
  <c r="B365" i="1"/>
  <c r="B573" i="1"/>
  <c r="B572" i="1"/>
  <c r="B571" i="1"/>
  <c r="B570" i="1"/>
  <c r="B738" i="1"/>
  <c r="B740" i="1"/>
  <c r="B1053" i="1" s="1"/>
  <c r="B739" i="1"/>
  <c r="B737" i="1"/>
  <c r="Q539" i="1"/>
  <c r="K577" i="1"/>
  <c r="B1375" i="1"/>
  <c r="B1374" i="1"/>
  <c r="B1373" i="1"/>
  <c r="B1449" i="1"/>
  <c r="B2659" i="1" s="1"/>
  <c r="B1448" i="1"/>
  <c r="B1447" i="1"/>
  <c r="B1330" i="1"/>
  <c r="B2628" i="1" s="1"/>
  <c r="Q699" i="1"/>
  <c r="B1847" i="1"/>
  <c r="B1838" i="1"/>
  <c r="B33" i="1"/>
  <c r="B931" i="1" s="1"/>
  <c r="B246" i="1"/>
  <c r="B574" i="1"/>
  <c r="B655" i="1"/>
  <c r="B1479" i="1"/>
  <c r="B2667" i="1" s="1"/>
  <c r="B2329" i="1"/>
  <c r="B2955" i="1" s="1"/>
  <c r="B3" i="1"/>
  <c r="B923" i="1" s="1"/>
  <c r="B108" i="1"/>
  <c r="B947" i="1" s="1"/>
  <c r="B134" i="1"/>
  <c r="B955" i="1" s="1"/>
  <c r="B133" i="1"/>
  <c r="B367" i="1"/>
  <c r="B998" i="1"/>
  <c r="B480" i="1"/>
  <c r="B475" i="1"/>
  <c r="B478" i="1"/>
  <c r="B477" i="1"/>
  <c r="B476" i="1"/>
  <c r="B474" i="1"/>
  <c r="B473" i="1"/>
  <c r="B845" i="1"/>
  <c r="B835" i="1"/>
  <c r="B846" i="1"/>
  <c r="B858" i="1"/>
  <c r="B857" i="1"/>
  <c r="B859" i="1"/>
  <c r="B704" i="1"/>
  <c r="B749" i="1"/>
  <c r="B1139" i="1"/>
  <c r="B1138" i="1"/>
  <c r="B1137" i="1"/>
  <c r="K487" i="1"/>
  <c r="K506" i="1"/>
  <c r="O525" i="1"/>
  <c r="B1366" i="1"/>
  <c r="B2634" i="1" s="1"/>
  <c r="B1337" i="1"/>
  <c r="B2629" i="1" s="1"/>
  <c r="B1427" i="1"/>
  <c r="B1426" i="1"/>
  <c r="M634" i="1"/>
  <c r="B1505" i="1"/>
  <c r="B1590" i="1"/>
  <c r="B1589" i="1"/>
  <c r="B1588" i="1"/>
  <c r="Q685" i="1"/>
  <c r="B1654" i="1"/>
  <c r="B1651" i="1"/>
  <c r="M712" i="1"/>
  <c r="K748" i="1"/>
  <c r="B1724" i="1"/>
  <c r="B1710" i="1"/>
  <c r="Q766" i="1"/>
  <c r="B1789" i="1"/>
  <c r="B1788" i="1"/>
  <c r="B1787" i="1"/>
  <c r="B250" i="1"/>
  <c r="B1110" i="1"/>
  <c r="B485" i="1"/>
  <c r="B577" i="1"/>
  <c r="B1007" i="1" s="1"/>
  <c r="B619" i="1"/>
  <c r="B730" i="1"/>
  <c r="B770" i="1"/>
  <c r="B838" i="1"/>
  <c r="B912" i="1"/>
  <c r="B1143" i="1"/>
  <c r="B1420" i="1"/>
  <c r="B1481" i="1"/>
  <c r="B1684" i="1"/>
  <c r="B1737" i="1"/>
  <c r="B2755" i="1" s="1"/>
  <c r="B1845" i="1"/>
  <c r="B2777" i="1" s="1"/>
  <c r="B1906" i="1"/>
  <c r="B1963" i="1"/>
  <c r="B2083" i="1"/>
  <c r="B2128" i="1"/>
  <c r="B2228" i="1"/>
  <c r="B2353" i="1"/>
  <c r="B2465" i="1"/>
  <c r="B2980" i="1" s="1"/>
  <c r="B2094" i="1"/>
  <c r="B2874" i="1" s="1"/>
  <c r="B2333" i="1"/>
  <c r="B114" i="1"/>
  <c r="B102" i="1"/>
  <c r="B126" i="1"/>
  <c r="B953" i="1" s="1"/>
  <c r="B125" i="1"/>
  <c r="B165" i="1"/>
  <c r="B164" i="1"/>
  <c r="B363" i="1"/>
  <c r="B362" i="1"/>
  <c r="B614" i="1"/>
  <c r="B612" i="1"/>
  <c r="B618" i="1"/>
  <c r="B617" i="1"/>
  <c r="B616" i="1"/>
  <c r="B615" i="1"/>
  <c r="B613" i="1"/>
  <c r="B810" i="1"/>
  <c r="B1074" i="1" s="1"/>
  <c r="B809" i="1"/>
  <c r="B808" i="1"/>
  <c r="B700" i="1"/>
  <c r="B703" i="1"/>
  <c r="B707" i="1"/>
  <c r="B705" i="1"/>
  <c r="B1189" i="1"/>
  <c r="B1187" i="1"/>
  <c r="B1188" i="1"/>
  <c r="B1509" i="1"/>
  <c r="M576" i="1"/>
  <c r="B1381" i="1"/>
  <c r="B1383" i="1"/>
  <c r="B1382" i="1"/>
  <c r="K653" i="1"/>
  <c r="K697" i="1"/>
  <c r="B1704" i="1"/>
  <c r="Q795" i="1"/>
  <c r="B1921" i="1"/>
  <c r="B1920" i="1"/>
  <c r="B1919" i="1"/>
  <c r="B1991" i="1"/>
  <c r="K865" i="1"/>
  <c r="B2019" i="1"/>
  <c r="B2020" i="1"/>
  <c r="B2116" i="1"/>
  <c r="B2878" i="1" s="1"/>
  <c r="B2115" i="1"/>
  <c r="Q938" i="1"/>
  <c r="B2326" i="1"/>
  <c r="B2325" i="1"/>
  <c r="B1973" i="1"/>
  <c r="B1972" i="1"/>
  <c r="B2516" i="1"/>
  <c r="B2518" i="1"/>
  <c r="M1121" i="1"/>
  <c r="B2585" i="1"/>
  <c r="Q1088" i="1"/>
  <c r="Q836" i="1"/>
  <c r="B1903" i="1"/>
  <c r="B1904" i="1"/>
  <c r="B1974" i="1"/>
  <c r="B2822" i="1" s="1"/>
  <c r="O851" i="1"/>
  <c r="B2047" i="1"/>
  <c r="B2851" i="1" s="1"/>
  <c r="B2039" i="1"/>
  <c r="K883" i="1"/>
  <c r="B2086" i="1"/>
  <c r="B2079" i="1"/>
  <c r="K939" i="1"/>
  <c r="B2301" i="1"/>
  <c r="O958" i="1"/>
  <c r="B2331" i="1"/>
  <c r="B2374" i="1"/>
  <c r="B2967" i="1" s="1"/>
  <c r="B1956" i="1"/>
  <c r="B1955" i="1"/>
  <c r="B2517" i="1"/>
  <c r="B2367" i="1"/>
  <c r="B2377" i="1"/>
  <c r="O438" i="1"/>
  <c r="B1221" i="1"/>
  <c r="B1220" i="1"/>
  <c r="B1219" i="1"/>
  <c r="B2419" i="1"/>
  <c r="B1116" i="1"/>
  <c r="B1115" i="1"/>
  <c r="B163" i="1"/>
  <c r="B174" i="1" s="1"/>
  <c r="B1446" i="1"/>
  <c r="B2661" i="1" s="1"/>
  <c r="B2043" i="1"/>
  <c r="B2852" i="1" s="1"/>
  <c r="B2071" i="1"/>
  <c r="B2136" i="1"/>
  <c r="B2142" i="1" s="1"/>
  <c r="B2304" i="1"/>
  <c r="B2945" i="1" s="1"/>
  <c r="B2588" i="1"/>
  <c r="B2470" i="1"/>
  <c r="M904" i="1"/>
  <c r="Q1093" i="1"/>
  <c r="B2552" i="1"/>
  <c r="B2551" i="1"/>
  <c r="B1198" i="1"/>
  <c r="B2143" i="1"/>
  <c r="B2147" i="1" s="1"/>
  <c r="Q808" i="1"/>
  <c r="B1855" i="1"/>
  <c r="B1854" i="1"/>
  <c r="B1888" i="1"/>
  <c r="B1996" i="1"/>
  <c r="K868" i="1"/>
  <c r="B2037" i="1"/>
  <c r="B2025" i="1"/>
  <c r="B2021" i="1"/>
  <c r="B2045" i="1"/>
  <c r="B2044" i="1"/>
  <c r="B2024" i="1"/>
  <c r="B2022" i="1"/>
  <c r="B2038" i="1"/>
  <c r="B2036" i="1"/>
  <c r="Q885" i="1"/>
  <c r="Q902" i="1"/>
  <c r="B2124" i="1"/>
  <c r="K918" i="1"/>
  <c r="Q960" i="1"/>
  <c r="B2334" i="1"/>
  <c r="B2291" i="1"/>
  <c r="B2287" i="1"/>
  <c r="B2936" i="1" s="1"/>
  <c r="B1951" i="1"/>
  <c r="B2812" i="1" s="1"/>
  <c r="B1950" i="1"/>
  <c r="B1949" i="1"/>
  <c r="B2589" i="1"/>
  <c r="B2472" i="1"/>
  <c r="B2474" i="1"/>
  <c r="B2473" i="1"/>
  <c r="O905" i="1"/>
  <c r="B701" i="1"/>
  <c r="B1199" i="1"/>
  <c r="B1853" i="1"/>
  <c r="K736" i="1"/>
  <c r="B1118" i="1"/>
  <c r="B1117" i="1"/>
  <c r="B2556" i="1"/>
  <c r="Q212" i="1"/>
  <c r="K212" i="1"/>
  <c r="M212" i="1"/>
  <c r="O212" i="1"/>
  <c r="M736" i="1"/>
  <c r="O736" i="1"/>
  <c r="K735" i="1"/>
  <c r="M735" i="1"/>
  <c r="O735" i="1"/>
  <c r="K87" i="1"/>
  <c r="M87" i="1"/>
  <c r="O87" i="1"/>
  <c r="O995" i="1"/>
  <c r="K353" i="1"/>
  <c r="M353" i="1"/>
  <c r="O353" i="1"/>
  <c r="M127" i="1"/>
  <c r="O127" i="1"/>
  <c r="K127" i="1"/>
  <c r="M944" i="1"/>
  <c r="O944" i="1"/>
  <c r="K944" i="1"/>
  <c r="O1043" i="1"/>
  <c r="O1044" i="1"/>
  <c r="M890" i="1"/>
  <c r="O890" i="1"/>
  <c r="K890" i="1"/>
  <c r="Q442" i="1"/>
  <c r="K436" i="1"/>
  <c r="M436" i="1"/>
  <c r="O436" i="1"/>
  <c r="M442" i="1"/>
  <c r="O442" i="1"/>
  <c r="M444" i="1"/>
  <c r="Q436" i="1"/>
  <c r="M438" i="1"/>
  <c r="Q440" i="1"/>
  <c r="Q438" i="1"/>
  <c r="M433" i="1"/>
  <c r="K438" i="1"/>
  <c r="O433" i="1"/>
  <c r="K440" i="1"/>
  <c r="K444" i="1"/>
  <c r="M440" i="1"/>
  <c r="O440" i="1"/>
  <c r="O444" i="1"/>
  <c r="Q433" i="1"/>
  <c r="O429" i="1"/>
  <c r="B2356" i="1"/>
  <c r="B10230" i="1"/>
  <c r="B10341" i="1" s="1"/>
  <c r="B10229" i="1"/>
  <c r="B10340" i="1" s="1"/>
  <c r="B10227" i="1"/>
  <c r="B10338" i="1" s="1"/>
  <c r="B10224" i="1"/>
  <c r="B10335" i="1" s="1"/>
  <c r="B10220" i="1"/>
  <c r="B10331" i="1" s="1"/>
  <c r="B10219" i="1"/>
  <c r="B10330" i="1" s="1"/>
  <c r="B10218" i="1"/>
  <c r="B10329" i="1" s="1"/>
  <c r="B10216" i="1"/>
  <c r="B10327" i="1" s="1"/>
  <c r="B10214" i="1"/>
  <c r="B10325" i="1" s="1"/>
  <c r="B10213" i="1"/>
  <c r="B10324" i="1" s="1"/>
  <c r="B10211" i="1"/>
  <c r="B10322" i="1" s="1"/>
  <c r="B10209" i="1"/>
  <c r="B10320" i="1" s="1"/>
  <c r="B10196" i="1"/>
  <c r="B10307" i="1" s="1"/>
  <c r="B10195" i="1"/>
  <c r="B10306" i="1" s="1"/>
  <c r="B10193" i="1"/>
  <c r="B10304" i="1" s="1"/>
  <c r="B8090" i="1"/>
  <c r="B8241" i="1" s="1"/>
  <c r="B8035" i="1"/>
  <c r="B8186" i="1" s="1"/>
  <c r="B8034" i="1"/>
  <c r="B8185" i="1" s="1"/>
  <c r="B8305" i="1"/>
  <c r="B8279" i="1"/>
  <c r="B8338" i="1"/>
  <c r="B8364" i="1"/>
  <c r="B8363" i="1"/>
  <c r="B7989" i="1"/>
  <c r="B8142" i="1" s="1"/>
  <c r="B8362" i="1"/>
  <c r="B8253" i="1"/>
  <c r="B7988" i="1"/>
  <c r="B8141" i="1" s="1"/>
  <c r="B7987" i="1"/>
  <c r="B8140" i="1" s="1"/>
  <c r="B8247" i="1"/>
  <c r="B7978" i="1"/>
  <c r="B8131" i="1" s="1"/>
  <c r="B8304" i="1"/>
  <c r="B7964" i="1"/>
  <c r="B8117" i="1" s="1"/>
  <c r="B7962" i="1"/>
  <c r="B8115" i="1" s="1"/>
  <c r="B8033" i="1"/>
  <c r="B8184" i="1" s="1"/>
  <c r="B8032" i="1"/>
  <c r="B8183" i="1" s="1"/>
  <c r="B8273" i="1"/>
  <c r="B8397" i="1"/>
  <c r="B8271" i="1"/>
  <c r="B8031" i="1"/>
  <c r="B8182" i="1" s="1"/>
  <c r="B8396" i="1"/>
  <c r="B8270" i="1"/>
  <c r="B8337" i="1"/>
  <c r="B7960" i="1"/>
  <c r="B8113" i="1" s="1"/>
  <c r="B8389" i="1"/>
  <c r="B8307" i="1"/>
  <c r="B8059" i="1"/>
  <c r="B8210" i="1" s="1"/>
  <c r="B8336" i="1"/>
  <c r="B8081" i="1"/>
  <c r="B8232" i="1" s="1"/>
  <c r="B8269" i="1"/>
  <c r="B8065" i="1"/>
  <c r="B8216" i="1" s="1"/>
  <c r="B8011" i="1"/>
  <c r="B8162" i="1" s="1"/>
  <c r="B8062" i="1"/>
  <c r="B8213" i="1" s="1"/>
  <c r="B8010" i="1"/>
  <c r="B8161" i="1" s="1"/>
  <c r="B8391" i="1"/>
  <c r="B8308" i="1"/>
  <c r="B8060" i="1"/>
  <c r="B8211" i="1" s="1"/>
  <c r="B8365" i="1"/>
  <c r="B8306" i="1"/>
  <c r="B8254" i="1"/>
  <c r="B8036" i="1"/>
  <c r="B8187" i="1" s="1"/>
  <c r="B8009" i="1"/>
  <c r="B8353" i="1"/>
  <c r="B7977" i="1"/>
  <c r="B8130" i="1" s="1"/>
  <c r="B8319" i="1"/>
  <c r="B7975" i="1"/>
  <c r="B8128" i="1" s="1"/>
  <c r="B8349" i="1"/>
  <c r="B8294" i="1"/>
  <c r="B7999" i="1"/>
  <c r="B8152" i="1" s="1"/>
  <c r="B8373" i="1"/>
  <c r="B8348" i="1"/>
  <c r="B8316" i="1"/>
  <c r="B8293" i="1"/>
  <c r="B8260" i="1"/>
  <c r="B8068" i="1"/>
  <c r="B8219" i="1" s="1"/>
  <c r="B8022" i="1"/>
  <c r="B8173" i="1" s="1"/>
  <c r="B7998" i="1"/>
  <c r="B8151" i="1" s="1"/>
  <c r="B7973" i="1"/>
  <c r="B8126" i="1" s="1"/>
  <c r="B7961" i="1"/>
  <c r="B8114" i="1" s="1"/>
  <c r="B8080" i="1"/>
  <c r="B8231" i="1" s="1"/>
  <c r="B8326" i="1"/>
  <c r="B8079" i="1"/>
  <c r="B8230" i="1" s="1"/>
  <c r="B8388" i="1"/>
  <c r="B8352" i="1"/>
  <c r="B8325" i="1"/>
  <c r="B8078" i="1"/>
  <c r="B8229" i="1" s="1"/>
  <c r="B7957" i="1"/>
  <c r="B8110" i="1" s="1"/>
  <c r="B8351" i="1"/>
  <c r="B8077" i="1"/>
  <c r="B8228" i="1" s="1"/>
  <c r="B8350" i="1"/>
  <c r="B8318" i="1"/>
  <c r="B8295" i="1"/>
  <c r="B8070" i="1"/>
  <c r="B8221" i="1" s="1"/>
  <c r="B7954" i="1"/>
  <c r="B8107" i="1" s="1"/>
  <c r="B8377" i="1"/>
  <c r="B8069" i="1"/>
  <c r="B8220" i="1" s="1"/>
  <c r="B8372" i="1"/>
  <c r="B8292" i="1"/>
  <c r="B8095" i="1"/>
  <c r="B8246" i="1" s="1"/>
  <c r="B8067" i="1"/>
  <c r="B8218" i="1" s="1"/>
  <c r="B8044" i="1"/>
  <c r="B8195" i="1" s="1"/>
  <c r="B8019" i="1"/>
  <c r="B8170" i="1" s="1"/>
  <c r="B7997" i="1"/>
  <c r="B8150" i="1" s="1"/>
  <c r="B7971" i="1"/>
  <c r="B8124" i="1" s="1"/>
  <c r="B7952" i="1"/>
  <c r="B8105" i="1" s="1"/>
  <c r="B7976" i="1"/>
  <c r="B8129" i="1" s="1"/>
  <c r="B8317" i="1"/>
  <c r="B8366" i="1"/>
  <c r="B8066" i="1"/>
  <c r="B8217" i="1" s="1"/>
  <c r="B8043" i="1"/>
  <c r="B8194" i="1" s="1"/>
  <c r="B8301" i="1"/>
  <c r="B7950" i="1"/>
  <c r="B8103" i="1" s="1"/>
  <c r="B8017" i="1"/>
  <c r="B8168" i="1" s="1"/>
  <c r="B8320" i="1"/>
  <c r="B8084" i="1"/>
  <c r="B8235" i="1" s="1"/>
  <c r="B8356" i="1"/>
  <c r="B8386" i="1"/>
  <c r="B8012" i="1"/>
  <c r="B8163" i="1" s="1"/>
  <c r="B8052" i="1"/>
  <c r="B8203" i="1" s="1"/>
  <c r="B8087" i="1"/>
  <c r="B8238" i="1" s="1"/>
  <c r="B8277" i="1"/>
  <c r="B8055" i="1"/>
  <c r="B8206" i="1" s="1"/>
  <c r="B8321" i="1"/>
  <c r="B8018" i="1"/>
  <c r="B8169" i="1" s="1"/>
  <c r="B8040" i="1"/>
  <c r="B8191" i="1" s="1"/>
  <c r="B8006" i="1"/>
  <c r="B8159" i="1" s="1"/>
  <c r="B7994" i="1"/>
  <c r="B8147" i="1" s="1"/>
  <c r="B8249" i="1"/>
  <c r="B7944" i="1"/>
  <c r="B8097" i="1" s="1"/>
  <c r="B8299" i="1"/>
  <c r="B7644" i="1"/>
  <c r="B8385" i="1"/>
  <c r="B8329" i="1"/>
  <c r="B8282" i="1"/>
  <c r="B8255" i="1"/>
  <c r="B7631" i="1"/>
  <c r="B8328" i="1"/>
  <c r="B8297" i="1"/>
  <c r="B8343" i="1"/>
  <c r="B8327" i="1"/>
  <c r="B8296" i="1"/>
  <c r="B8311" i="1"/>
  <c r="B8361" i="1"/>
  <c r="B8341" i="1"/>
  <c r="B8075" i="1"/>
  <c r="B8226" i="1" s="1"/>
  <c r="B8333" i="1"/>
  <c r="B8289" i="1"/>
  <c r="B7951" i="1"/>
  <c r="B8104" i="1" s="1"/>
  <c r="B7943" i="1"/>
  <c r="B8096" i="1" s="1"/>
  <c r="B8248" i="1"/>
  <c r="B8039" i="1"/>
  <c r="B8190" i="1" s="1"/>
  <c r="B8376" i="1"/>
  <c r="B8360" i="1"/>
  <c r="B8340" i="1"/>
  <c r="B8324" i="1"/>
  <c r="B8309" i="1"/>
  <c r="B8252" i="1"/>
  <c r="B8008" i="1"/>
  <c r="B7986" i="1"/>
  <c r="B8139" i="1" s="1"/>
  <c r="B8344" i="1"/>
  <c r="B8007" i="1"/>
  <c r="B8160" i="1" s="1"/>
  <c r="B8312" i="1"/>
  <c r="B7995" i="1"/>
  <c r="B8148" i="1" s="1"/>
  <c r="B8300" i="1"/>
  <c r="B8250" i="1"/>
  <c r="B7945" i="1"/>
  <c r="B8098" i="1" s="1"/>
  <c r="B8285" i="1"/>
  <c r="B8005" i="1"/>
  <c r="B8158" i="1" s="1"/>
  <c r="B8283" i="1"/>
  <c r="B8083" i="1"/>
  <c r="B8234" i="1" s="1"/>
  <c r="B7942" i="1"/>
  <c r="B10090" i="1"/>
  <c r="B7692" i="1"/>
  <c r="B7958" i="1"/>
  <c r="B8111" i="1" s="1"/>
  <c r="B8076" i="1"/>
  <c r="B8227" i="1" s="1"/>
  <c r="B7996" i="1"/>
  <c r="B8149" i="1" s="1"/>
  <c r="B8332" i="1"/>
  <c r="B7983" i="1"/>
  <c r="B8136" i="1" s="1"/>
  <c r="B8288" i="1"/>
  <c r="B7969" i="1"/>
  <c r="B8122" i="1" s="1"/>
  <c r="B8375" i="1"/>
  <c r="B8355" i="1"/>
  <c r="B8261" i="1"/>
  <c r="B8251" i="1"/>
  <c r="B8092" i="1"/>
  <c r="B8243" i="1" s="1"/>
  <c r="B8041" i="1"/>
  <c r="B8192" i="1" s="1"/>
  <c r="B7985" i="1"/>
  <c r="B8138" i="1" s="1"/>
  <c r="B8345" i="1"/>
  <c r="B8027" i="1"/>
  <c r="B8178" i="1" s="1"/>
  <c r="B7981" i="1"/>
  <c r="B8134" i="1" s="1"/>
  <c r="B8357" i="1"/>
  <c r="B8064" i="1"/>
  <c r="B8215" i="1" s="1"/>
  <c r="B8367" i="1"/>
  <c r="B8284" i="1"/>
  <c r="B7993" i="1"/>
  <c r="B8146" i="1" s="1"/>
  <c r="B8268" i="1"/>
  <c r="B7959" i="1"/>
  <c r="B8112" i="1" s="1"/>
  <c r="B8392" i="1"/>
  <c r="B8028" i="1"/>
  <c r="B8179" i="1" s="1"/>
  <c r="B7982" i="1"/>
  <c r="B8135" i="1" s="1"/>
  <c r="B7970" i="1"/>
  <c r="B8123" i="1" s="1"/>
  <c r="B8051" i="1"/>
  <c r="B8202" i="1" s="1"/>
  <c r="B8390" i="1"/>
  <c r="B8374" i="1"/>
  <c r="B8354" i="1"/>
  <c r="B8287" i="1"/>
  <c r="B8272" i="1"/>
  <c r="B8091" i="1"/>
  <c r="B8242" i="1" s="1"/>
  <c r="B8056" i="1"/>
  <c r="B8207" i="1" s="1"/>
  <c r="B8020" i="1"/>
  <c r="B8171" i="1" s="1"/>
  <c r="B8380" i="1"/>
  <c r="B8368" i="1"/>
  <c r="B8276" i="1"/>
  <c r="B8257" i="1"/>
  <c r="B7653" i="1"/>
  <c r="B7640" i="1"/>
  <c r="B7699" i="1"/>
  <c r="B7651" i="1"/>
  <c r="B7639" i="1"/>
  <c r="B7638" i="1"/>
  <c r="B7672" i="1"/>
  <c r="B7671" i="1"/>
  <c r="B7622" i="1"/>
  <c r="B7693" i="1"/>
  <c r="B7633" i="1"/>
  <c r="B7632" i="1"/>
  <c r="B7643" i="1"/>
  <c r="B6870" i="1"/>
  <c r="B6940" i="1"/>
  <c r="B6795" i="1"/>
  <c r="B6782" i="1"/>
  <c r="B6842" i="1"/>
  <c r="B6837" i="1"/>
  <c r="B6747" i="1"/>
  <c r="B6737" i="1"/>
  <c r="B6727" i="1"/>
  <c r="B6974" i="1"/>
  <c r="B6724" i="1"/>
  <c r="B6973" i="1"/>
  <c r="B7040" i="1"/>
  <c r="B6941" i="1"/>
  <c r="B6796" i="1"/>
  <c r="B7122" i="1"/>
  <c r="B6939" i="1"/>
  <c r="B6841" i="1"/>
  <c r="B6785" i="1"/>
  <c r="B6728" i="1"/>
  <c r="B6918" i="1"/>
  <c r="B6838" i="1"/>
  <c r="B6971" i="1"/>
  <c r="B6917" i="1"/>
  <c r="B6726" i="1"/>
  <c r="B6964" i="1"/>
  <c r="B6916" i="1"/>
  <c r="B6834" i="1"/>
  <c r="B6776" i="1"/>
  <c r="B6725" i="1"/>
  <c r="B6963" i="1"/>
  <c r="B6915" i="1"/>
  <c r="B6775" i="1"/>
  <c r="B6962" i="1"/>
  <c r="B6914" i="1"/>
  <c r="B6811" i="1"/>
  <c r="B6773" i="1"/>
  <c r="B7072" i="1"/>
  <c r="B6961" i="1"/>
  <c r="B6810" i="1"/>
  <c r="B6772" i="1"/>
  <c r="B7056" i="1"/>
  <c r="B6948" i="1"/>
  <c r="B6879" i="1"/>
  <c r="B6809" i="1"/>
  <c r="B6761" i="1"/>
  <c r="B6878" i="1"/>
  <c r="B6808" i="1"/>
  <c r="B6760" i="1"/>
  <c r="B6945" i="1"/>
  <c r="B6798" i="1"/>
  <c r="B6759" i="1"/>
  <c r="B6758" i="1"/>
  <c r="B6751" i="1"/>
  <c r="B6906" i="1"/>
  <c r="B7107" i="1"/>
  <c r="B6748" i="1"/>
  <c r="B6928" i="1"/>
  <c r="B6882" i="1"/>
  <c r="B6821" i="1"/>
  <c r="B6794" i="1"/>
  <c r="B6764" i="1"/>
  <c r="B6712" i="1"/>
  <c r="B6972" i="1"/>
  <c r="B6800" i="1"/>
  <c r="B6752" i="1"/>
  <c r="B6869" i="1"/>
  <c r="B6799" i="1"/>
  <c r="B6774" i="1"/>
  <c r="B6868" i="1"/>
  <c r="B6722" i="1"/>
  <c r="B6938" i="1"/>
  <c r="B6749" i="1"/>
  <c r="B7106" i="1"/>
  <c r="B6960" i="1"/>
  <c r="B6904" i="1"/>
  <c r="B6865" i="1"/>
  <c r="B6713" i="1"/>
  <c r="B6976" i="1"/>
  <c r="B6953" i="1"/>
  <c r="B6925" i="1"/>
  <c r="B6881" i="1"/>
  <c r="B6846" i="1"/>
  <c r="B6817" i="1"/>
  <c r="B6788" i="1"/>
  <c r="B6763" i="1"/>
  <c r="B6746" i="1"/>
  <c r="B6711" i="1"/>
  <c r="B6951" i="1"/>
  <c r="B6844" i="1"/>
  <c r="B6877" i="1"/>
  <c r="B6840" i="1"/>
  <c r="B6750" i="1"/>
  <c r="B6905" i="1"/>
  <c r="B6867" i="1"/>
  <c r="B6822" i="1"/>
  <c r="B6716" i="1"/>
  <c r="B6771" i="1"/>
  <c r="B7073" i="1"/>
  <c r="B6975" i="1"/>
  <c r="B6952" i="1"/>
  <c r="B6924" i="1"/>
  <c r="B6880" i="1"/>
  <c r="B6845" i="1"/>
  <c r="B6815" i="1"/>
  <c r="B6787" i="1"/>
  <c r="B6762" i="1"/>
  <c r="B6740" i="1"/>
  <c r="B6710" i="1"/>
  <c r="B6894" i="1"/>
  <c r="B6858" i="1"/>
  <c r="B6929" i="1"/>
  <c r="B6738" i="1"/>
  <c r="B6950" i="1"/>
  <c r="B6949" i="1"/>
  <c r="B6926" i="1"/>
  <c r="B6902" i="1"/>
  <c r="B6890" i="1"/>
  <c r="B6866" i="1"/>
  <c r="B6854" i="1"/>
  <c r="B6830" i="1"/>
  <c r="B6819" i="1"/>
  <c r="B6807" i="1"/>
  <c r="B6959" i="1"/>
  <c r="B7290" i="1"/>
  <c r="B6970" i="1"/>
  <c r="B6936" i="1"/>
  <c r="B6900" i="1"/>
  <c r="B6888" i="1"/>
  <c r="B6876" i="1"/>
  <c r="B6852" i="1"/>
  <c r="B6828" i="1"/>
  <c r="B6805" i="1"/>
  <c r="B6770" i="1"/>
  <c r="B6981" i="1"/>
  <c r="B6969" i="1"/>
  <c r="B6958" i="1"/>
  <c r="B6946" i="1"/>
  <c r="B6935" i="1"/>
  <c r="B6923" i="1"/>
  <c r="B6911" i="1"/>
  <c r="B6887" i="1"/>
  <c r="B6875" i="1"/>
  <c r="B6851" i="1"/>
  <c r="B6839" i="1"/>
  <c r="B6827" i="1"/>
  <c r="B6816" i="1"/>
  <c r="B6804" i="1"/>
  <c r="B6793" i="1"/>
  <c r="B6781" i="1"/>
  <c r="B6769" i="1"/>
  <c r="B6757" i="1"/>
  <c r="B6745" i="1"/>
  <c r="B6733" i="1"/>
  <c r="B6721" i="1"/>
  <c r="B6709" i="1"/>
  <c r="B6930" i="1"/>
  <c r="B6856" i="1"/>
  <c r="B6786" i="1"/>
  <c r="B6735" i="1"/>
  <c r="B6980" i="1"/>
  <c r="B7267" i="1"/>
  <c r="B6968" i="1"/>
  <c r="B6957" i="1"/>
  <c r="B6934" i="1"/>
  <c r="B6922" i="1"/>
  <c r="B6910" i="1"/>
  <c r="B6886" i="1"/>
  <c r="B6862" i="1"/>
  <c r="B6850" i="1"/>
  <c r="B6826" i="1"/>
  <c r="B6803" i="1"/>
  <c r="B6792" i="1"/>
  <c r="B6780" i="1"/>
  <c r="B6768" i="1"/>
  <c r="B6756" i="1"/>
  <c r="B6744" i="1"/>
  <c r="B6732" i="1"/>
  <c r="B6720" i="1"/>
  <c r="B6708" i="1"/>
  <c r="B6833" i="1"/>
  <c r="B6715" i="1"/>
  <c r="B6892" i="1"/>
  <c r="B6714" i="1"/>
  <c r="B6723" i="1"/>
  <c r="B7199" i="1"/>
  <c r="B7231" i="1"/>
  <c r="B6967" i="1"/>
  <c r="B6956" i="1"/>
  <c r="B6944" i="1"/>
  <c r="B6933" i="1"/>
  <c r="B6909" i="1"/>
  <c r="B6897" i="1"/>
  <c r="B6885" i="1"/>
  <c r="B6873" i="1"/>
  <c r="B6861" i="1"/>
  <c r="B6825" i="1"/>
  <c r="B6814" i="1"/>
  <c r="B6802" i="1"/>
  <c r="B6791" i="1"/>
  <c r="B6779" i="1"/>
  <c r="B6767" i="1"/>
  <c r="B6755" i="1"/>
  <c r="B6743" i="1"/>
  <c r="B6731" i="1"/>
  <c r="B6719" i="1"/>
  <c r="B6707" i="1"/>
  <c r="B6893" i="1"/>
  <c r="B6927" i="1"/>
  <c r="B6903" i="1"/>
  <c r="B6891" i="1"/>
  <c r="B6855" i="1"/>
  <c r="B6843" i="1"/>
  <c r="B6831" i="1"/>
  <c r="B6820" i="1"/>
  <c r="B6797" i="1"/>
  <c r="B6736" i="1"/>
  <c r="B6937" i="1"/>
  <c r="B6913" i="1"/>
  <c r="B6901" i="1"/>
  <c r="B6889" i="1"/>
  <c r="B6853" i="1"/>
  <c r="B6829" i="1"/>
  <c r="B6818" i="1"/>
  <c r="B6806" i="1"/>
  <c r="B6734" i="1"/>
  <c r="B7075" i="1"/>
  <c r="B7198" i="1"/>
  <c r="B6966" i="1"/>
  <c r="B6955" i="1"/>
  <c r="B6943" i="1"/>
  <c r="B6932" i="1"/>
  <c r="B6908" i="1"/>
  <c r="B6896" i="1"/>
  <c r="B6884" i="1"/>
  <c r="B6872" i="1"/>
  <c r="B6860" i="1"/>
  <c r="B6836" i="1"/>
  <c r="B6813" i="1"/>
  <c r="B6801" i="1"/>
  <c r="B6790" i="1"/>
  <c r="B6778" i="1"/>
  <c r="B6766" i="1"/>
  <c r="B6754" i="1"/>
  <c r="B6742" i="1"/>
  <c r="B6730" i="1"/>
  <c r="B6718" i="1"/>
  <c r="B6706" i="1"/>
  <c r="B6857" i="1"/>
  <c r="B6739" i="1"/>
  <c r="B6832" i="1"/>
  <c r="B7074" i="1"/>
  <c r="B7159" i="1"/>
  <c r="B6977" i="1"/>
  <c r="B6965" i="1"/>
  <c r="B6954" i="1"/>
  <c r="B6942" i="1"/>
  <c r="B6931" i="1"/>
  <c r="B6907" i="1"/>
  <c r="B6895" i="1"/>
  <c r="B6871" i="1"/>
  <c r="B6859" i="1"/>
  <c r="B6847" i="1"/>
  <c r="B6835" i="1"/>
  <c r="B6812" i="1"/>
  <c r="B6789" i="1"/>
  <c r="B6765" i="1"/>
  <c r="B6753" i="1"/>
  <c r="B6729" i="1"/>
  <c r="B6717" i="1"/>
  <c r="B6705" i="1"/>
  <c r="B7041" i="1"/>
  <c r="B7185" i="1"/>
  <c r="B7054" i="1"/>
  <c r="B7016" i="1"/>
  <c r="B7184" i="1"/>
  <c r="B7156" i="1"/>
  <c r="B7053" i="1"/>
  <c r="B7015" i="1"/>
  <c r="B7183" i="1"/>
  <c r="B7154" i="1"/>
  <c r="B7230" i="1"/>
  <c r="B7052" i="1"/>
  <c r="B7005" i="1"/>
  <c r="B7171" i="1"/>
  <c r="B7141" i="1"/>
  <c r="B7278" i="1"/>
  <c r="B7229" i="1"/>
  <c r="B7255" i="1"/>
  <c r="B7079" i="1"/>
  <c r="B7051" i="1"/>
  <c r="B7003" i="1"/>
  <c r="B7170" i="1"/>
  <c r="B7135" i="1"/>
  <c r="B7277" i="1"/>
  <c r="B7227" i="1"/>
  <c r="B7265" i="1"/>
  <c r="B7254" i="1"/>
  <c r="B7289" i="1"/>
  <c r="B7078" i="1"/>
  <c r="B7050" i="1"/>
  <c r="B7002" i="1"/>
  <c r="B7162" i="1"/>
  <c r="B7134" i="1"/>
  <c r="B7276" i="1"/>
  <c r="B7226" i="1"/>
  <c r="B7077" i="1"/>
  <c r="B7001" i="1"/>
  <c r="B7161" i="1"/>
  <c r="B7225" i="1"/>
  <c r="B7076" i="1"/>
  <c r="B7000" i="1"/>
  <c r="B7160" i="1"/>
  <c r="B7108" i="1"/>
  <c r="B7219" i="1"/>
  <c r="B7055" i="1"/>
  <c r="B7197" i="1"/>
  <c r="B7039" i="1"/>
  <c r="B7158" i="1"/>
  <c r="B7147" i="1"/>
  <c r="B7130" i="1"/>
  <c r="B7096" i="1"/>
  <c r="B7302" i="1"/>
  <c r="B7243" i="1"/>
  <c r="B7242" i="1"/>
  <c r="B7067" i="1"/>
  <c r="B7036" i="1"/>
  <c r="B6992" i="1"/>
  <c r="B7174" i="1"/>
  <c r="B7144" i="1"/>
  <c r="B7111" i="1"/>
  <c r="B7295" i="1"/>
  <c r="B7241" i="1"/>
  <c r="B7206" i="1"/>
  <c r="B7308" i="1"/>
  <c r="B7097" i="1"/>
  <c r="B7305" i="1"/>
  <c r="B7038" i="1"/>
  <c r="B6999" i="1"/>
  <c r="B7157" i="1"/>
  <c r="B7146" i="1"/>
  <c r="B7129" i="1"/>
  <c r="B7095" i="1"/>
  <c r="B7301" i="1"/>
  <c r="B7270" i="1"/>
  <c r="B7214" i="1"/>
  <c r="B7068" i="1"/>
  <c r="B7037" i="1"/>
  <c r="B6996" i="1"/>
  <c r="B7180" i="1"/>
  <c r="B7145" i="1"/>
  <c r="B7094" i="1"/>
  <c r="B7207" i="1"/>
  <c r="B7066" i="1"/>
  <c r="B7035" i="1"/>
  <c r="B6991" i="1"/>
  <c r="B7173" i="1"/>
  <c r="B7143" i="1"/>
  <c r="B7110" i="1"/>
  <c r="B7292" i="1"/>
  <c r="B7240" i="1"/>
  <c r="B7205" i="1"/>
  <c r="B7133" i="1"/>
  <c r="B7099" i="1"/>
  <c r="B7307" i="1"/>
  <c r="B7132" i="1"/>
  <c r="B7098" i="1"/>
  <c r="B7306" i="1"/>
  <c r="B7131" i="1"/>
  <c r="B7271" i="1"/>
  <c r="B7065" i="1"/>
  <c r="B7017" i="1"/>
  <c r="B6990" i="1"/>
  <c r="B7172" i="1"/>
  <c r="B7142" i="1"/>
  <c r="B7109" i="1"/>
  <c r="B7291" i="1"/>
  <c r="B7239" i="1"/>
  <c r="B7204" i="1"/>
  <c r="B7268" i="1"/>
  <c r="B7155" i="1"/>
  <c r="B7044" i="1"/>
  <c r="B6994" i="1"/>
  <c r="B7105" i="1"/>
  <c r="B7252" i="1"/>
  <c r="B7139" i="1"/>
  <c r="B7217" i="1"/>
  <c r="B7104" i="1"/>
  <c r="B7028" i="1"/>
  <c r="B6993" i="1"/>
  <c r="B7124" i="1"/>
  <c r="B7237" i="1"/>
  <c r="B7013" i="1"/>
  <c r="B7296" i="1"/>
  <c r="B7181" i="1"/>
  <c r="B7070" i="1"/>
  <c r="B7253" i="1"/>
  <c r="B7140" i="1"/>
  <c r="B7228" i="1"/>
  <c r="B7115" i="1"/>
  <c r="B7058" i="1"/>
  <c r="B7169" i="1"/>
  <c r="B7297" i="1"/>
  <c r="B7182" i="1"/>
  <c r="B7071" i="1"/>
  <c r="B7042" i="1"/>
  <c r="B7266" i="1"/>
  <c r="B7153" i="1"/>
  <c r="B7081" i="1"/>
  <c r="B7194" i="1"/>
  <c r="B7029" i="1"/>
  <c r="B7218" i="1"/>
  <c r="B7090" i="1"/>
  <c r="B7203" i="1"/>
  <c r="B7201" i="1"/>
  <c r="B7316" i="1"/>
  <c r="B7088" i="1"/>
  <c r="B7012" i="1"/>
  <c r="B7236" i="1"/>
  <c r="B7232" i="1"/>
  <c r="B7119" i="1"/>
  <c r="B7008" i="1"/>
  <c r="B7057" i="1"/>
  <c r="B7168" i="1"/>
  <c r="B7281" i="1"/>
  <c r="B7004" i="1"/>
  <c r="B7024" i="1"/>
  <c r="B7118" i="1"/>
  <c r="B7262" i="1"/>
  <c r="B7062" i="1"/>
  <c r="B7023" i="1"/>
  <c r="B6987" i="1"/>
  <c r="B7193" i="1"/>
  <c r="B7117" i="1"/>
  <c r="B7093" i="1"/>
  <c r="B7315" i="1"/>
  <c r="B7288" i="1"/>
  <c r="B7261" i="1"/>
  <c r="B7084" i="1"/>
  <c r="B7061" i="1"/>
  <c r="B7049" i="1"/>
  <c r="B7034" i="1"/>
  <c r="B7022" i="1"/>
  <c r="B7010" i="1"/>
  <c r="B6998" i="1"/>
  <c r="B6986" i="1"/>
  <c r="B7167" i="1"/>
  <c r="B7314" i="1"/>
  <c r="B7287" i="1"/>
  <c r="B7212" i="1"/>
  <c r="B7216" i="1"/>
  <c r="B7250" i="1"/>
  <c r="B7083" i="1"/>
  <c r="B7060" i="1"/>
  <c r="B7048" i="1"/>
  <c r="B7045" i="1"/>
  <c r="B7033" i="1"/>
  <c r="B7021" i="1"/>
  <c r="B7009" i="1"/>
  <c r="B6997" i="1"/>
  <c r="B6985" i="1"/>
  <c r="B7166" i="1"/>
  <c r="B7151" i="1"/>
  <c r="B7313" i="1"/>
  <c r="B7235" i="1"/>
  <c r="B7251" i="1"/>
  <c r="B7238" i="1"/>
  <c r="B7249" i="1"/>
  <c r="B7082" i="1"/>
  <c r="B7059" i="1"/>
  <c r="B7032" i="1"/>
  <c r="B7020" i="1"/>
  <c r="B6984" i="1"/>
  <c r="B6979" i="1"/>
  <c r="B7150" i="1"/>
  <c r="B7138" i="1"/>
  <c r="B7102" i="1"/>
  <c r="B7234" i="1"/>
  <c r="B7026" i="1"/>
  <c r="B7014" i="1"/>
  <c r="B7196" i="1"/>
  <c r="B7120" i="1"/>
  <c r="B7087" i="1"/>
  <c r="B7064" i="1"/>
  <c r="B7025" i="1"/>
  <c r="B6989" i="1"/>
  <c r="B7195" i="1"/>
  <c r="B7089" i="1"/>
  <c r="B7213" i="1"/>
  <c r="Q588" i="1"/>
  <c r="M588" i="1"/>
  <c r="O588" i="1"/>
  <c r="K589" i="1"/>
  <c r="M589" i="1"/>
  <c r="O589" i="1"/>
  <c r="B6524" i="1"/>
  <c r="B6520" i="1"/>
  <c r="B6517" i="1"/>
  <c r="B6502" i="1"/>
  <c r="B6498" i="1"/>
  <c r="B6495" i="1"/>
  <c r="B6487" i="1"/>
  <c r="B6499" i="1"/>
  <c r="B6485" i="1"/>
  <c r="B6518" i="1"/>
  <c r="B6506" i="1"/>
  <c r="B6494" i="1"/>
  <c r="B6482" i="1"/>
  <c r="B6470" i="1"/>
  <c r="B6505" i="1"/>
  <c r="B6493" i="1"/>
  <c r="B6481" i="1"/>
  <c r="B6469" i="1"/>
  <c r="B6457" i="1"/>
  <c r="B6516" i="1"/>
  <c r="B6504" i="1"/>
  <c r="B6492" i="1"/>
  <c r="B6468" i="1"/>
  <c r="B6456" i="1"/>
  <c r="B6515" i="1"/>
  <c r="B6503" i="1"/>
  <c r="B6491" i="1"/>
  <c r="B6479" i="1"/>
  <c r="B6467" i="1"/>
  <c r="B6526" i="1"/>
  <c r="B6514" i="1"/>
  <c r="B6490" i="1"/>
  <c r="B6513" i="1"/>
  <c r="B6501" i="1"/>
  <c r="B6489" i="1"/>
  <c r="B6512" i="1"/>
  <c r="B6500" i="1"/>
  <c r="B6488" i="1"/>
  <c r="B6523" i="1"/>
  <c r="B6511" i="1"/>
  <c r="B4780" i="1"/>
  <c r="B4756" i="1"/>
  <c r="B4772" i="1"/>
  <c r="B4720" i="1"/>
  <c r="B4649" i="1"/>
  <c r="B4783" i="1"/>
  <c r="B4771" i="1"/>
  <c r="B4700" i="1"/>
  <c r="B4730" i="1"/>
  <c r="B4671" i="1"/>
  <c r="B4751" i="1"/>
  <c r="B4715" i="1"/>
  <c r="B4668" i="1"/>
  <c r="B4656" i="1"/>
  <c r="B4753" i="1"/>
  <c r="B4703" i="1"/>
  <c r="B4655" i="1"/>
  <c r="B4752" i="1"/>
  <c r="B4716" i="1"/>
  <c r="B4669" i="1"/>
  <c r="B4657" i="1"/>
  <c r="B4654" i="1"/>
  <c r="B2723" i="1"/>
  <c r="B977" i="1"/>
  <c r="B2752" i="1"/>
  <c r="B2724" i="1"/>
  <c r="B2741" i="1"/>
  <c r="B941" i="1"/>
  <c r="B2825" i="1"/>
  <c r="B1039" i="1"/>
  <c r="B2649" i="1"/>
  <c r="M836" i="1"/>
  <c r="K836" i="1"/>
  <c r="O836" i="1"/>
  <c r="K769" i="1"/>
  <c r="M769" i="1"/>
  <c r="O769" i="1"/>
  <c r="B6042" i="1"/>
  <c r="B5975" i="1"/>
  <c r="B5919" i="1"/>
  <c r="B5966" i="1"/>
  <c r="B5937" i="1"/>
  <c r="B5921" i="1"/>
  <c r="B5920" i="1"/>
  <c r="B5895" i="1"/>
  <c r="B5889" i="1"/>
  <c r="B6069" i="1"/>
  <c r="B6063" i="1"/>
  <c r="B6062" i="1"/>
  <c r="B5999" i="1"/>
  <c r="B5977" i="1"/>
  <c r="B6066" i="1"/>
  <c r="B6061" i="1"/>
  <c r="B6018" i="1"/>
  <c r="B6002" i="1"/>
  <c r="B5936" i="1"/>
  <c r="B5969" i="1"/>
  <c r="B5890" i="1"/>
  <c r="B6035" i="1"/>
  <c r="B5950" i="1"/>
  <c r="B5888" i="1"/>
  <c r="B6034" i="1"/>
  <c r="B5945" i="1"/>
  <c r="B5887" i="1"/>
  <c r="B6032" i="1"/>
  <c r="B5944" i="1"/>
  <c r="B5886" i="1"/>
  <c r="B6071" i="1"/>
  <c r="B6025" i="1"/>
  <c r="B5938" i="1"/>
  <c r="B6065" i="1"/>
  <c r="B6038" i="1"/>
  <c r="B6017" i="1"/>
  <c r="B5883" i="1"/>
  <c r="B6049" i="1"/>
  <c r="B6033" i="1"/>
  <c r="B6008" i="1"/>
  <c r="B5984" i="1"/>
  <c r="B5961" i="1"/>
  <c r="B5934" i="1"/>
  <c r="B5905" i="1"/>
  <c r="B5881" i="1"/>
  <c r="B5962" i="1"/>
  <c r="B6048" i="1"/>
  <c r="B6003" i="1"/>
  <c r="B5983" i="1"/>
  <c r="B5960" i="1"/>
  <c r="B5931" i="1"/>
  <c r="B5902" i="1"/>
  <c r="B5878" i="1"/>
  <c r="B5996" i="1"/>
  <c r="B5995" i="1"/>
  <c r="B5917" i="1"/>
  <c r="B5914" i="1"/>
  <c r="B6010" i="1"/>
  <c r="B5989" i="1"/>
  <c r="B6030" i="1"/>
  <c r="B5981" i="1"/>
  <c r="B5959" i="1"/>
  <c r="B5926" i="1"/>
  <c r="B5901" i="1"/>
  <c r="B5877" i="1"/>
  <c r="B6075" i="1"/>
  <c r="B6015" i="1"/>
  <c r="B5994" i="1"/>
  <c r="B6074" i="1"/>
  <c r="B6014" i="1"/>
  <c r="B5990" i="1"/>
  <c r="B5913" i="1"/>
  <c r="B6054" i="1"/>
  <c r="B5912" i="1"/>
  <c r="B6041" i="1"/>
  <c r="B6027" i="1"/>
  <c r="B6001" i="1"/>
  <c r="B5980" i="1"/>
  <c r="B5958" i="1"/>
  <c r="B5925" i="1"/>
  <c r="B5900" i="1"/>
  <c r="B5876" i="1"/>
  <c r="B6039" i="1"/>
  <c r="B6064" i="1"/>
  <c r="B5991" i="1"/>
  <c r="B6073" i="1"/>
  <c r="B6013" i="1"/>
  <c r="B5935" i="1"/>
  <c r="B6040" i="1"/>
  <c r="B6026" i="1"/>
  <c r="B6000" i="1"/>
  <c r="B5979" i="1"/>
  <c r="B5957" i="1"/>
  <c r="B5922" i="1"/>
  <c r="B5897" i="1"/>
  <c r="B5871" i="1"/>
  <c r="B6053" i="1"/>
  <c r="B5949" i="1"/>
  <c r="B6051" i="1"/>
  <c r="B5978" i="1"/>
  <c r="B5947" i="1"/>
  <c r="B5899" i="1"/>
  <c r="B6050" i="1"/>
  <c r="B5967" i="1"/>
  <c r="B5946" i="1"/>
  <c r="B5898" i="1"/>
  <c r="B6060" i="1"/>
  <c r="B6036" i="1"/>
  <c r="B6021" i="1"/>
  <c r="B6009" i="1"/>
  <c r="B5997" i="1"/>
  <c r="B5985" i="1"/>
  <c r="B5956" i="1"/>
  <c r="B5932" i="1"/>
  <c r="B5908" i="1"/>
  <c r="B5884" i="1"/>
  <c r="B6059" i="1"/>
  <c r="B6047" i="1"/>
  <c r="B6020" i="1"/>
  <c r="B5974" i="1"/>
  <c r="B5955" i="1"/>
  <c r="B5943" i="1"/>
  <c r="B5907" i="1"/>
  <c r="B6058" i="1"/>
  <c r="B6046" i="1"/>
  <c r="B6031" i="1"/>
  <c r="B6019" i="1"/>
  <c r="B6007" i="1"/>
  <c r="B5973" i="1"/>
  <c r="B5965" i="1"/>
  <c r="B5954" i="1"/>
  <c r="B5942" i="1"/>
  <c r="B5930" i="1"/>
  <c r="B5918" i="1"/>
  <c r="B5906" i="1"/>
  <c r="B5894" i="1"/>
  <c r="B5882" i="1"/>
  <c r="B5870" i="1"/>
  <c r="B6012" i="1"/>
  <c r="B5911" i="1"/>
  <c r="B5910" i="1"/>
  <c r="B6057" i="1"/>
  <c r="B6045" i="1"/>
  <c r="B6006" i="1"/>
  <c r="B5982" i="1"/>
  <c r="B5972" i="1"/>
  <c r="B5953" i="1"/>
  <c r="B5941" i="1"/>
  <c r="B5929" i="1"/>
  <c r="B5893" i="1"/>
  <c r="B5869" i="1"/>
  <c r="B6052" i="1"/>
  <c r="B5968" i="1"/>
  <c r="B5948" i="1"/>
  <c r="B5924" i="1"/>
  <c r="B5875" i="1"/>
  <c r="B6023" i="1"/>
  <c r="B5987" i="1"/>
  <c r="B5874" i="1"/>
  <c r="B5885" i="1"/>
  <c r="B5896" i="1"/>
  <c r="B6068" i="1"/>
  <c r="B6056" i="1"/>
  <c r="B6044" i="1"/>
  <c r="B6029" i="1"/>
  <c r="B6005" i="1"/>
  <c r="B5993" i="1"/>
  <c r="B5971" i="1"/>
  <c r="B5964" i="1"/>
  <c r="B5952" i="1"/>
  <c r="B5940" i="1"/>
  <c r="B5928" i="1"/>
  <c r="B5916" i="1"/>
  <c r="B5904" i="1"/>
  <c r="B5892" i="1"/>
  <c r="B5880" i="1"/>
  <c r="B6072" i="1"/>
  <c r="B6024" i="1"/>
  <c r="B5988" i="1"/>
  <c r="B5923" i="1"/>
  <c r="B6011" i="1"/>
  <c r="B6070" i="1"/>
  <c r="B6037" i="1"/>
  <c r="B6022" i="1"/>
  <c r="B5998" i="1"/>
  <c r="B5986" i="1"/>
  <c r="B5976" i="1"/>
  <c r="B5933" i="1"/>
  <c r="B5909" i="1"/>
  <c r="B5873" i="1"/>
  <c r="B5872" i="1"/>
  <c r="B6067" i="1"/>
  <c r="B6055" i="1"/>
  <c r="B6043" i="1"/>
  <c r="B6028" i="1"/>
  <c r="B6016" i="1"/>
  <c r="B6004" i="1"/>
  <c r="B5992" i="1"/>
  <c r="B5970" i="1"/>
  <c r="B5963" i="1"/>
  <c r="B5951" i="1"/>
  <c r="B5939" i="1"/>
  <c r="B5927" i="1"/>
  <c r="B5915" i="1"/>
  <c r="B5903" i="1"/>
  <c r="B5891" i="1"/>
  <c r="B5879" i="1"/>
  <c r="B6278" i="1"/>
  <c r="B6276" i="1"/>
  <c r="B6239" i="1"/>
  <c r="B6234" i="1"/>
  <c r="B6233" i="1"/>
  <c r="B6116" i="1"/>
  <c r="B6115" i="1"/>
  <c r="B6099" i="1"/>
  <c r="B6098" i="1"/>
  <c r="B6111" i="1"/>
  <c r="B6171" i="1"/>
  <c r="B6273" i="1"/>
  <c r="B6217" i="1"/>
  <c r="B6147" i="1"/>
  <c r="B6097" i="1"/>
  <c r="B6187" i="1"/>
  <c r="B6113" i="1"/>
  <c r="B6256" i="1"/>
  <c r="B6215" i="1"/>
  <c r="B6146" i="1"/>
  <c r="B6094" i="1"/>
  <c r="B6237" i="1"/>
  <c r="B6255" i="1"/>
  <c r="B6197" i="1"/>
  <c r="B6145" i="1"/>
  <c r="B6093" i="1"/>
  <c r="B6249" i="1"/>
  <c r="B6191" i="1"/>
  <c r="B6142" i="1"/>
  <c r="B6092" i="1"/>
  <c r="B6186" i="1"/>
  <c r="B6241" i="1"/>
  <c r="B6190" i="1"/>
  <c r="B6089" i="1"/>
  <c r="B6238" i="1"/>
  <c r="B6172" i="1"/>
  <c r="B6240" i="1"/>
  <c r="B6188" i="1"/>
  <c r="B6261" i="1"/>
  <c r="B6248" i="1"/>
  <c r="B6209" i="1"/>
  <c r="B6170" i="1"/>
  <c r="B6137" i="1"/>
  <c r="B6136" i="1"/>
  <c r="B6168" i="1"/>
  <c r="B6112" i="1"/>
  <c r="B6232" i="1"/>
  <c r="B6087" i="1"/>
  <c r="B6083" i="1"/>
  <c r="B6269" i="1"/>
  <c r="B6101" i="1"/>
  <c r="B6133" i="1"/>
  <c r="B6086" i="1"/>
  <c r="B6257" i="1"/>
  <c r="B6230" i="1"/>
  <c r="B6218" i="1"/>
  <c r="B6194" i="1"/>
  <c r="B6277" i="1"/>
  <c r="B6244" i="1"/>
  <c r="B6229" i="1"/>
  <c r="B6205" i="1"/>
  <c r="B6193" i="1"/>
  <c r="B6267" i="1"/>
  <c r="B6243" i="1"/>
  <c r="B6228" i="1"/>
  <c r="B6216" i="1"/>
  <c r="B6204" i="1"/>
  <c r="B6254" i="1"/>
  <c r="B6265" i="1"/>
  <c r="B6226" i="1"/>
  <c r="B6214" i="1"/>
  <c r="B6153" i="1"/>
  <c r="B6264" i="1"/>
  <c r="B6252" i="1"/>
  <c r="B6213" i="1"/>
  <c r="B6189" i="1"/>
  <c r="B6275" i="1"/>
  <c r="B6263" i="1"/>
  <c r="B6251" i="1"/>
  <c r="B6236" i="1"/>
  <c r="B6212" i="1"/>
  <c r="B6200" i="1"/>
  <c r="B6077" i="1"/>
  <c r="B6260" i="1"/>
  <c r="B6259" i="1"/>
  <c r="B6279" i="1"/>
  <c r="B6258" i="1"/>
  <c r="B6231" i="1"/>
  <c r="B6219" i="1"/>
  <c r="B6266" i="1"/>
  <c r="B6227" i="1"/>
  <c r="B6274" i="1"/>
  <c r="B6262" i="1"/>
  <c r="B6250" i="1"/>
  <c r="B6235" i="1"/>
  <c r="B6223" i="1"/>
  <c r="B6211" i="1"/>
  <c r="B6199" i="1"/>
  <c r="B6076" i="1"/>
  <c r="B9657" i="1"/>
  <c r="B9394" i="1"/>
  <c r="B9586" i="1"/>
  <c r="B9469" i="1"/>
  <c r="B9973" i="1"/>
  <c r="B10033" i="1"/>
  <c r="B8404" i="1"/>
  <c r="B8422" i="1"/>
  <c r="B8454" i="1"/>
  <c r="B8413" i="1"/>
  <c r="B8448" i="1"/>
  <c r="B8431" i="1"/>
  <c r="B4104" i="1"/>
  <c r="B4169" i="1" s="1"/>
  <c r="B4101" i="1"/>
  <c r="B4166" i="1" s="1"/>
  <c r="B4124" i="1"/>
  <c r="B4103" i="1"/>
  <c r="B4168" i="1" s="1"/>
  <c r="B4102" i="1"/>
  <c r="B4167" i="1" s="1"/>
  <c r="B4090" i="1"/>
  <c r="B4155" i="1" s="1"/>
  <c r="B4125" i="1"/>
  <c r="B4122" i="1"/>
  <c r="B4094" i="1"/>
  <c r="B4159" i="1" s="1"/>
  <c r="B4093" i="1"/>
  <c r="B4158" i="1" s="1"/>
  <c r="B4112" i="1"/>
  <c r="B4128" i="1"/>
  <c r="B4111" i="1"/>
  <c r="B4116" i="1"/>
  <c r="B4115" i="1"/>
  <c r="B4114" i="1"/>
  <c r="B4113" i="1"/>
  <c r="B4009" i="1"/>
  <c r="B4110" i="1"/>
  <c r="B4109" i="1"/>
  <c r="B4121" i="1"/>
  <c r="B3187" i="1"/>
  <c r="B3392" i="1" s="1"/>
  <c r="B4100" i="1"/>
  <c r="B4165" i="1" s="1"/>
  <c r="B4132" i="1"/>
  <c r="B4120" i="1"/>
  <c r="B4108" i="1"/>
  <c r="B4131" i="1"/>
  <c r="B4119" i="1"/>
  <c r="B4107" i="1"/>
  <c r="B4130" i="1"/>
  <c r="B4118" i="1"/>
  <c r="B4106" i="1"/>
  <c r="B4010" i="1"/>
  <c r="B4129" i="1"/>
  <c r="B4117" i="1"/>
  <c r="B4105" i="1"/>
  <c r="B3992" i="1"/>
  <c r="B3991" i="1"/>
  <c r="B3990" i="1"/>
  <c r="B3989" i="1"/>
  <c r="B3988" i="1"/>
  <c r="B3987" i="1"/>
  <c r="B3298" i="1"/>
  <c r="B3986" i="1"/>
  <c r="B4002" i="1"/>
  <c r="B3973" i="1"/>
  <c r="B4032" i="1" s="1"/>
  <c r="B4000" i="1"/>
  <c r="B3971" i="1"/>
  <c r="B4030" i="1" s="1"/>
  <c r="B3999" i="1"/>
  <c r="B3984" i="1"/>
  <c r="B3998" i="1"/>
  <c r="B3983" i="1"/>
  <c r="B3985" i="1"/>
  <c r="B3997" i="1"/>
  <c r="B4004" i="1"/>
  <c r="B3996" i="1"/>
  <c r="B3294" i="1"/>
  <c r="B3277" i="1"/>
  <c r="B4008" i="1"/>
  <c r="B4007" i="1"/>
  <c r="B3995" i="1"/>
  <c r="B4006" i="1"/>
  <c r="B3994" i="1"/>
  <c r="B3982" i="1"/>
  <c r="B4005" i="1"/>
  <c r="B3993" i="1"/>
  <c r="B3981" i="1"/>
  <c r="B3322" i="1"/>
  <c r="B3323" i="1"/>
  <c r="B3302" i="1"/>
  <c r="B3167" i="1"/>
  <c r="B3372" i="1" s="1"/>
  <c r="B3267" i="1"/>
  <c r="B3152" i="1"/>
  <c r="B3357" i="1" s="1"/>
  <c r="B3168" i="1"/>
  <c r="B3373" i="1" s="1"/>
  <c r="B3264" i="1"/>
  <c r="B3263" i="1"/>
  <c r="B3199" i="1"/>
  <c r="B3404" i="1" s="1"/>
  <c r="B3325" i="1"/>
  <c r="B3262" i="1"/>
  <c r="B3326" i="1"/>
  <c r="B3324" i="1"/>
  <c r="B3261" i="1"/>
  <c r="B3223" i="1"/>
  <c r="B3428" i="1" s="1"/>
  <c r="B3169" i="1"/>
  <c r="B3374" i="1" s="1"/>
  <c r="B3195" i="1"/>
  <c r="B3400" i="1" s="1"/>
  <c r="B3290" i="1"/>
  <c r="B3315" i="1"/>
  <c r="B3185" i="1"/>
  <c r="B3390" i="1" s="1"/>
  <c r="B3338" i="1"/>
  <c r="B3314" i="1"/>
  <c r="B3184" i="1"/>
  <c r="B3389" i="1" s="1"/>
  <c r="B3337" i="1"/>
  <c r="B3313" i="1"/>
  <c r="B3287" i="1"/>
  <c r="B3255" i="1"/>
  <c r="B3242" i="1"/>
  <c r="B3447" i="1" s="1"/>
  <c r="B3175" i="1"/>
  <c r="B3380" i="1" s="1"/>
  <c r="B3336" i="1"/>
  <c r="B3312" i="1"/>
  <c r="B3286" i="1"/>
  <c r="B3252" i="1"/>
  <c r="B3348" i="1"/>
  <c r="B3241" i="1"/>
  <c r="B3446" i="1" s="1"/>
  <c r="B3174" i="1"/>
  <c r="B3379" i="1" s="1"/>
  <c r="B3335" i="1"/>
  <c r="B3311" i="1"/>
  <c r="B3251" i="1"/>
  <c r="B3254" i="1"/>
  <c r="B3240" i="1"/>
  <c r="B3445" i="1" s="1"/>
  <c r="B3171" i="1"/>
  <c r="B3376" i="1" s="1"/>
  <c r="B3334" i="1"/>
  <c r="B3310" i="1"/>
  <c r="B3247" i="1"/>
  <c r="B3349" i="1"/>
  <c r="B3339" i="1"/>
  <c r="B3224" i="1"/>
  <c r="B3429" i="1" s="1"/>
  <c r="B3170" i="1"/>
  <c r="B3375" i="1" s="1"/>
  <c r="B3149" i="1"/>
  <c r="B3354" i="1" s="1"/>
  <c r="B3266" i="1"/>
  <c r="B3265" i="1"/>
  <c r="B3147" i="1"/>
  <c r="B3352" i="1" s="1"/>
  <c r="B3300" i="1"/>
  <c r="B3301" i="1"/>
  <c r="B3347" i="1"/>
  <c r="B3249" i="1"/>
  <c r="B3179" i="1"/>
  <c r="B3384" i="1" s="1"/>
  <c r="B3332" i="1"/>
  <c r="B3320" i="1"/>
  <c r="B3308" i="1"/>
  <c r="B3296" i="1"/>
  <c r="B3284" i="1"/>
  <c r="B3260" i="1"/>
  <c r="B3246" i="1"/>
  <c r="B3341" i="1"/>
  <c r="B3329" i="1"/>
  <c r="B3317" i="1"/>
  <c r="B3305" i="1"/>
  <c r="B3293" i="1"/>
  <c r="B3281" i="1"/>
  <c r="B3269" i="1"/>
  <c r="B3257" i="1"/>
  <c r="B3276" i="1"/>
  <c r="B3181" i="1"/>
  <c r="B3386" i="1" s="1"/>
  <c r="B3212" i="1"/>
  <c r="B3417" i="1" s="1"/>
  <c r="B3333" i="1"/>
  <c r="B3321" i="1"/>
  <c r="B3309" i="1"/>
  <c r="B3297" i="1"/>
  <c r="B3343" i="1"/>
  <c r="B3331" i="1"/>
  <c r="B3319" i="1"/>
  <c r="B3307" i="1"/>
  <c r="B3295" i="1"/>
  <c r="B3259" i="1"/>
  <c r="B3155" i="1"/>
  <c r="B3360" i="1" s="1"/>
  <c r="B3342" i="1"/>
  <c r="B3330" i="1"/>
  <c r="B3318" i="1"/>
  <c r="B3306" i="1"/>
  <c r="B3282" i="1"/>
  <c r="B3270" i="1"/>
  <c r="B3258" i="1"/>
  <c r="B3340" i="1"/>
  <c r="B3304" i="1"/>
  <c r="B3292" i="1"/>
  <c r="B3280" i="1"/>
  <c r="B3268" i="1"/>
  <c r="O1102" i="1"/>
  <c r="K1102" i="1"/>
  <c r="M1102" i="1"/>
  <c r="K1095" i="1"/>
  <c r="M1095" i="1"/>
  <c r="O1095" i="1"/>
  <c r="M1093" i="1"/>
  <c r="O1093" i="1"/>
  <c r="O1089" i="1"/>
  <c r="M1088" i="1"/>
  <c r="B4319" i="1"/>
  <c r="B10374" i="1" s="1"/>
  <c r="B4302" i="1"/>
  <c r="B10357" i="1" s="1"/>
  <c r="M1089" i="1"/>
  <c r="B4348" i="1"/>
  <c r="B10403" i="1" s="1"/>
  <c r="B4347" i="1"/>
  <c r="B10402" i="1" s="1"/>
  <c r="O1088" i="1"/>
  <c r="B4346" i="1"/>
  <c r="B10401" i="1" s="1"/>
  <c r="B4337" i="1"/>
  <c r="B10392" i="1" s="1"/>
  <c r="B4303" i="1"/>
  <c r="B10358" i="1" s="1"/>
  <c r="B4312" i="1"/>
  <c r="B10367" i="1" s="1"/>
  <c r="B4299" i="1"/>
  <c r="B10354" i="1" s="1"/>
  <c r="B4298" i="1"/>
  <c r="B10353" i="1" s="1"/>
  <c r="B4345" i="1"/>
  <c r="B10400" i="1" s="1"/>
  <c r="B4344" i="1"/>
  <c r="B10399" i="1" s="1"/>
  <c r="B10163" i="1"/>
  <c r="B10274" i="1" s="1"/>
  <c r="B4316" i="1"/>
  <c r="B10371" i="1" s="1"/>
  <c r="B10146" i="1"/>
  <c r="B10257" i="1" s="1"/>
  <c r="B4314" i="1"/>
  <c r="B10369" i="1" s="1"/>
  <c r="B9927" i="1"/>
  <c r="B9921" i="1"/>
  <c r="B9906" i="1"/>
  <c r="B9934" i="1"/>
  <c r="B9854" i="1"/>
  <c r="B9839" i="1"/>
  <c r="B9647" i="1"/>
  <c r="B5438" i="1"/>
  <c r="B5309" i="1"/>
  <c r="B5280" i="1"/>
  <c r="B5683" i="1"/>
  <c r="B5244" i="1"/>
  <c r="B5207" i="1"/>
  <c r="B5194" i="1"/>
  <c r="B5168" i="1"/>
  <c r="B5152" i="1"/>
  <c r="B5138" i="1"/>
  <c r="B5124" i="1"/>
  <c r="B9766" i="1"/>
  <c r="B5113" i="1"/>
  <c r="B10100" i="1"/>
  <c r="B4351" i="1"/>
  <c r="B10406" i="1" s="1"/>
  <c r="B10184" i="1"/>
  <c r="B10295" i="1" s="1"/>
  <c r="B10159" i="1"/>
  <c r="B10270" i="1" s="1"/>
  <c r="B4326" i="1"/>
  <c r="B10381" i="1" s="1"/>
  <c r="B5350" i="1"/>
  <c r="B9903" i="1"/>
  <c r="B9883" i="1"/>
  <c r="B9861" i="1"/>
  <c r="B9449" i="1"/>
  <c r="B9388" i="1"/>
  <c r="B9754" i="1"/>
  <c r="B5029" i="1"/>
  <c r="B5522" i="1"/>
  <c r="B5506" i="1"/>
  <c r="B5713" i="1"/>
  <c r="B5474" i="1"/>
  <c r="B5456" i="1"/>
  <c r="B5406" i="1"/>
  <c r="B8821" i="1"/>
  <c r="B5380" i="1"/>
  <c r="B5365" i="1"/>
  <c r="B10096" i="1"/>
  <c r="B10077" i="1"/>
  <c r="B10070" i="1"/>
  <c r="B9980" i="1"/>
  <c r="B10056" i="1"/>
  <c r="B4544" i="1"/>
  <c r="B4802" i="1" s="1"/>
  <c r="B9543" i="1"/>
  <c r="B9917" i="1"/>
  <c r="B9526" i="1"/>
  <c r="B9892" i="1"/>
  <c r="B9866" i="1"/>
  <c r="B9663" i="1"/>
  <c r="B9659" i="1"/>
  <c r="B9464" i="1"/>
  <c r="B9823" i="1"/>
  <c r="B9804" i="1"/>
  <c r="B9767" i="1"/>
  <c r="B9763" i="1"/>
  <c r="B9760" i="1"/>
  <c r="B9377" i="1"/>
  <c r="B9749" i="1"/>
  <c r="B5234" i="1"/>
  <c r="B5521" i="1"/>
  <c r="B5505" i="1"/>
  <c r="B5490" i="1"/>
  <c r="B5472" i="1"/>
  <c r="B5454" i="1"/>
  <c r="B5418" i="1"/>
  <c r="B8833" i="1"/>
  <c r="B5598" i="1"/>
  <c r="B5379" i="1"/>
  <c r="B5363" i="1"/>
  <c r="B5348" i="1"/>
  <c r="B5335" i="1"/>
  <c r="B5117" i="1"/>
  <c r="B10086" i="1"/>
  <c r="B10075" i="1"/>
  <c r="B10051" i="1"/>
  <c r="B10039" i="1"/>
  <c r="B10026" i="1"/>
  <c r="B10441" i="1"/>
  <c r="B10476" i="1" s="1"/>
  <c r="B4593" i="1"/>
  <c r="B4851" i="1" s="1"/>
  <c r="B4538" i="1"/>
  <c r="B4796" i="1" s="1"/>
  <c r="B4342" i="1"/>
  <c r="B10397" i="1" s="1"/>
  <c r="B10175" i="1"/>
  <c r="B10286" i="1" s="1"/>
  <c r="B4332" i="1"/>
  <c r="B10387" i="1" s="1"/>
  <c r="B10165" i="1"/>
  <c r="B10276" i="1" s="1"/>
  <c r="B5000" i="1"/>
  <c r="B5291" i="1"/>
  <c r="B5434" i="1"/>
  <c r="B4536" i="1"/>
  <c r="B4794" i="1" s="1"/>
  <c r="B4560" i="1"/>
  <c r="B4818" i="1" s="1"/>
  <c r="B4562" i="1"/>
  <c r="B4820" i="1" s="1"/>
  <c r="B4566" i="1"/>
  <c r="B4824" i="1" s="1"/>
  <c r="B4590" i="1"/>
  <c r="B4848" i="1" s="1"/>
  <c r="B4613" i="1"/>
  <c r="B4871" i="1" s="1"/>
  <c r="B10118" i="1"/>
  <c r="B10105" i="1"/>
  <c r="B10415" i="1"/>
  <c r="B10450" i="1" s="1"/>
  <c r="B10435" i="1"/>
  <c r="B10470" i="1" s="1"/>
  <c r="B4297" i="1"/>
  <c r="B10352" i="1" s="1"/>
  <c r="B10130" i="1"/>
  <c r="B10241" i="1" s="1"/>
  <c r="B4310" i="1"/>
  <c r="B10365" i="1" s="1"/>
  <c r="B10143" i="1"/>
  <c r="B10254" i="1" s="1"/>
  <c r="B10158" i="1"/>
  <c r="B10269" i="1" s="1"/>
  <c r="B4325" i="1"/>
  <c r="B10380" i="1" s="1"/>
  <c r="B9913" i="1"/>
  <c r="B9525" i="1"/>
  <c r="B9935" i="1"/>
  <c r="B9869" i="1"/>
  <c r="B9780" i="1"/>
  <c r="B9376" i="1"/>
  <c r="B9371" i="1"/>
  <c r="B5233" i="1"/>
  <c r="B5489" i="1"/>
  <c r="B5471" i="1"/>
  <c r="B5455" i="1"/>
  <c r="B5416" i="1"/>
  <c r="B8832" i="1"/>
  <c r="B5378" i="1"/>
  <c r="B5362" i="1"/>
  <c r="B5347" i="1"/>
  <c r="B5133" i="1"/>
  <c r="B5334" i="1"/>
  <c r="B10081" i="1"/>
  <c r="B10069" i="1"/>
  <c r="B10432" i="1"/>
  <c r="B10467" i="1" s="1"/>
  <c r="B4588" i="1"/>
  <c r="B4846" i="1" s="1"/>
  <c r="B4341" i="1"/>
  <c r="B10396" i="1" s="1"/>
  <c r="B10174" i="1"/>
  <c r="B10285" i="1" s="1"/>
  <c r="B4331" i="1"/>
  <c r="B10386" i="1" s="1"/>
  <c r="B10164" i="1"/>
  <c r="B10275" i="1" s="1"/>
  <c r="B5323" i="1"/>
  <c r="B4989" i="1"/>
  <c r="B5508" i="1"/>
  <c r="B5433" i="1"/>
  <c r="B9810" i="1"/>
  <c r="B9643" i="1"/>
  <c r="B9486" i="1"/>
  <c r="B9551" i="1"/>
  <c r="B4535" i="1"/>
  <c r="B4793" i="1" s="1"/>
  <c r="B4559" i="1"/>
  <c r="B4817" i="1" s="1"/>
  <c r="B4565" i="1"/>
  <c r="B4823" i="1" s="1"/>
  <c r="B4594" i="1"/>
  <c r="B4852" i="1" s="1"/>
  <c r="B4601" i="1"/>
  <c r="B4859" i="1" s="1"/>
  <c r="B4612" i="1"/>
  <c r="B4870" i="1" s="1"/>
  <c r="B10117" i="1"/>
  <c r="B10104" i="1"/>
  <c r="B10414" i="1"/>
  <c r="B10449" i="1" s="1"/>
  <c r="B10429" i="1"/>
  <c r="B10464" i="1" s="1"/>
  <c r="B4296" i="1"/>
  <c r="B10351" i="1" s="1"/>
  <c r="B10129" i="1"/>
  <c r="B10240" i="1" s="1"/>
  <c r="B4309" i="1"/>
  <c r="B10364" i="1" s="1"/>
  <c r="B10142" i="1"/>
  <c r="B10253" i="1" s="1"/>
  <c r="B4324" i="1"/>
  <c r="B10379" i="1" s="1"/>
  <c r="B10157" i="1"/>
  <c r="B10268" i="1" s="1"/>
  <c r="B10176" i="1"/>
  <c r="B10287" i="1" s="1"/>
  <c r="B5132" i="1"/>
  <c r="B9498" i="1"/>
  <c r="B9474" i="1"/>
  <c r="B9821" i="1"/>
  <c r="B9627" i="1"/>
  <c r="B9802" i="1"/>
  <c r="B9796" i="1"/>
  <c r="B9789" i="1"/>
  <c r="B9379" i="1"/>
  <c r="B5242" i="1"/>
  <c r="B5229" i="1"/>
  <c r="B5307" i="1"/>
  <c r="B5279" i="1"/>
  <c r="B5261" i="1"/>
  <c r="B5243" i="1"/>
  <c r="B5206" i="1"/>
  <c r="B5193" i="1"/>
  <c r="B5180" i="1"/>
  <c r="B4941" i="1"/>
  <c r="B5536" i="1"/>
  <c r="B10094" i="1"/>
  <c r="B4584" i="1"/>
  <c r="B4842" i="1" s="1"/>
  <c r="B9518" i="1"/>
  <c r="B9407" i="1"/>
  <c r="B5555" i="1"/>
  <c r="B4595" i="1"/>
  <c r="B4853" i="1" s="1"/>
  <c r="B4333" i="1"/>
  <c r="B10388" i="1" s="1"/>
  <c r="B10166" i="1"/>
  <c r="B10277" i="1" s="1"/>
  <c r="B9890" i="1"/>
  <c r="B9694" i="1"/>
  <c r="B9875" i="1"/>
  <c r="B9655" i="1"/>
  <c r="B9833" i="1"/>
  <c r="B9822" i="1"/>
  <c r="B9803" i="1"/>
  <c r="B9418" i="1"/>
  <c r="B9410" i="1"/>
  <c r="B9405" i="1"/>
  <c r="B5439" i="1"/>
  <c r="B5311" i="1"/>
  <c r="B5281" i="1"/>
  <c r="B5263" i="1"/>
  <c r="B5245" i="1"/>
  <c r="B5208" i="1"/>
  <c r="B5195" i="1"/>
  <c r="B5170" i="1"/>
  <c r="B5153" i="1"/>
  <c r="B5125" i="1"/>
  <c r="B10061" i="1"/>
  <c r="B10050" i="1"/>
  <c r="B10032" i="1"/>
  <c r="B10025" i="1"/>
  <c r="B10123" i="1"/>
  <c r="B4589" i="1"/>
  <c r="B4847" i="1" s="1"/>
  <c r="B4340" i="1"/>
  <c r="B10395" i="1" s="1"/>
  <c r="B10173" i="1"/>
  <c r="B10284" i="1" s="1"/>
  <c r="B4329" i="1"/>
  <c r="B10384" i="1" s="1"/>
  <c r="B10162" i="1"/>
  <c r="B10273" i="1" s="1"/>
  <c r="B5352" i="1"/>
  <c r="B5466" i="1"/>
  <c r="B5515" i="1"/>
  <c r="B5432" i="1"/>
  <c r="B4533" i="1"/>
  <c r="B4791" i="1" s="1"/>
  <c r="B4564" i="1"/>
  <c r="B4822" i="1" s="1"/>
  <c r="B4582" i="1"/>
  <c r="B4840" i="1" s="1"/>
  <c r="B4591" i="1"/>
  <c r="B4849" i="1" s="1"/>
  <c r="B4600" i="1"/>
  <c r="B4858" i="1" s="1"/>
  <c r="B4596" i="1"/>
  <c r="B4854" i="1" s="1"/>
  <c r="B10116" i="1"/>
  <c r="B10103" i="1"/>
  <c r="B10412" i="1"/>
  <c r="B10447" i="1" s="1"/>
  <c r="B10427" i="1"/>
  <c r="B10462" i="1" s="1"/>
  <c r="B10433" i="1"/>
  <c r="B10468" i="1" s="1"/>
  <c r="B10063" i="1"/>
  <c r="B10087" i="1"/>
  <c r="B4295" i="1"/>
  <c r="B10350" i="1" s="1"/>
  <c r="B10128" i="1"/>
  <c r="B10239" i="1" s="1"/>
  <c r="B4308" i="1"/>
  <c r="B10363" i="1" s="1"/>
  <c r="B10141" i="1"/>
  <c r="B10252" i="1" s="1"/>
  <c r="B10156" i="1"/>
  <c r="B10267" i="1" s="1"/>
  <c r="B4323" i="1"/>
  <c r="B10378" i="1" s="1"/>
  <c r="B10122" i="1"/>
  <c r="B4586" i="1"/>
  <c r="B4844" i="1" s="1"/>
  <c r="B4339" i="1"/>
  <c r="B10394" i="1" s="1"/>
  <c r="B10172" i="1"/>
  <c r="B10283" i="1" s="1"/>
  <c r="B4328" i="1"/>
  <c r="B10383" i="1" s="1"/>
  <c r="B10161" i="1"/>
  <c r="B10272" i="1" s="1"/>
  <c r="B5351" i="1"/>
  <c r="B5469" i="1"/>
  <c r="B5517" i="1"/>
  <c r="B5437" i="1"/>
  <c r="B9795" i="1"/>
  <c r="B9479" i="1"/>
  <c r="B9517" i="1"/>
  <c r="B4543" i="1"/>
  <c r="B4801" i="1" s="1"/>
  <c r="B4575" i="1"/>
  <c r="B4833" i="1" s="1"/>
  <c r="B4583" i="1"/>
  <c r="B4841" i="1" s="1"/>
  <c r="B4611" i="1"/>
  <c r="B4869" i="1" s="1"/>
  <c r="B4614" i="1"/>
  <c r="B4872" i="1" s="1"/>
  <c r="B10115" i="1"/>
  <c r="B10102" i="1"/>
  <c r="B10411" i="1"/>
  <c r="B10446" i="1" s="1"/>
  <c r="B10440" i="1"/>
  <c r="B10475" i="1" s="1"/>
  <c r="B4294" i="1"/>
  <c r="B10349" i="1" s="1"/>
  <c r="B10127" i="1"/>
  <c r="B10238" i="1" s="1"/>
  <c r="B4307" i="1"/>
  <c r="B10362" i="1" s="1"/>
  <c r="B10140" i="1"/>
  <c r="B10251" i="1" s="1"/>
  <c r="B4322" i="1"/>
  <c r="B10377" i="1" s="1"/>
  <c r="B10155" i="1"/>
  <c r="B10266" i="1" s="1"/>
  <c r="B4338" i="1"/>
  <c r="B10393" i="1" s="1"/>
  <c r="B5473" i="1"/>
  <c r="B4574" i="1"/>
  <c r="B4832" i="1" s="1"/>
  <c r="B4610" i="1"/>
  <c r="B4868" i="1" s="1"/>
  <c r="B4598" i="1"/>
  <c r="B4856" i="1" s="1"/>
  <c r="B4627" i="1"/>
  <c r="B4884" i="1" s="1"/>
  <c r="B10101" i="1"/>
  <c r="B10410" i="1"/>
  <c r="B10445" i="1" s="1"/>
  <c r="B10420" i="1"/>
  <c r="B10455" i="1" s="1"/>
  <c r="B10043" i="1"/>
  <c r="B4293" i="1"/>
  <c r="B10348" i="1" s="1"/>
  <c r="B10126" i="1"/>
  <c r="B10237" i="1" s="1"/>
  <c r="B4306" i="1"/>
  <c r="B10361" i="1" s="1"/>
  <c r="B10139" i="1"/>
  <c r="B10250" i="1" s="1"/>
  <c r="B9842" i="1"/>
  <c r="B5278" i="1"/>
  <c r="B5475" i="1"/>
  <c r="B8868" i="1"/>
  <c r="B9690" i="1"/>
  <c r="B4626" i="1"/>
  <c r="B4883" i="1" s="1"/>
  <c r="B10409" i="1"/>
  <c r="B10444" i="1" s="1"/>
  <c r="B10092" i="1"/>
  <c r="B4305" i="1"/>
  <c r="B10360" i="1" s="1"/>
  <c r="B10138" i="1"/>
  <c r="B10249" i="1" s="1"/>
  <c r="B9552" i="1"/>
  <c r="B9546" i="1"/>
  <c r="B9541" i="1"/>
  <c r="B9534" i="1"/>
  <c r="B9483" i="1"/>
  <c r="B9462" i="1"/>
  <c r="B9403" i="1"/>
  <c r="B9391" i="1"/>
  <c r="B9385" i="1"/>
  <c r="B5447" i="1"/>
  <c r="B5512" i="1"/>
  <c r="B5277" i="1"/>
  <c r="B5178" i="1"/>
  <c r="B5577" i="1"/>
  <c r="B4925" i="1"/>
  <c r="B5329" i="1"/>
  <c r="B5320" i="1"/>
  <c r="B10004" i="1"/>
  <c r="B10036" i="1"/>
  <c r="B10022" i="1"/>
  <c r="B10182" i="1"/>
  <c r="B10293" i="1" s="1"/>
  <c r="B4349" i="1"/>
  <c r="B10404" i="1" s="1"/>
  <c r="B5161" i="1"/>
  <c r="B5272" i="1"/>
  <c r="B5218" i="1"/>
  <c r="B9417" i="1"/>
  <c r="B9873" i="1"/>
  <c r="B4540" i="1"/>
  <c r="B4798" i="1" s="1"/>
  <c r="B4554" i="1"/>
  <c r="B4812" i="1" s="1"/>
  <c r="B4572" i="1"/>
  <c r="B4830" i="1" s="1"/>
  <c r="B4579" i="1"/>
  <c r="B4837" i="1" s="1"/>
  <c r="B4608" i="1"/>
  <c r="B4866" i="1" s="1"/>
  <c r="B4622" i="1"/>
  <c r="B4879" i="1" s="1"/>
  <c r="B4625" i="1"/>
  <c r="B4882" i="1" s="1"/>
  <c r="B10112" i="1"/>
  <c r="B10413" i="1"/>
  <c r="B10448" i="1" s="1"/>
  <c r="B10428" i="1"/>
  <c r="B10463" i="1" s="1"/>
  <c r="B4291" i="1"/>
  <c r="B10346" i="1" s="1"/>
  <c r="B10124" i="1"/>
  <c r="B10235" i="1" s="1"/>
  <c r="B4304" i="1"/>
  <c r="B10359" i="1" s="1"/>
  <c r="B10137" i="1"/>
  <c r="B10248" i="1" s="1"/>
  <c r="B4318" i="1"/>
  <c r="B10373" i="1" s="1"/>
  <c r="B10151" i="1"/>
  <c r="B10262" i="1" s="1"/>
  <c r="B4335" i="1"/>
  <c r="B10390" i="1" s="1"/>
  <c r="B9428" i="1"/>
  <c r="B5446" i="1"/>
  <c r="B5428" i="1"/>
  <c r="B5304" i="1"/>
  <c r="B5480" i="1"/>
  <c r="B5177" i="1"/>
  <c r="B5370" i="1"/>
  <c r="B5148" i="1"/>
  <c r="B5344" i="1"/>
  <c r="B5338" i="1"/>
  <c r="B5328" i="1"/>
  <c r="B10003" i="1"/>
  <c r="B10065" i="1"/>
  <c r="B9977" i="1"/>
  <c r="B10030" i="1"/>
  <c r="B4630" i="1"/>
  <c r="B4887" i="1" s="1"/>
  <c r="B4563" i="1"/>
  <c r="B4821" i="1" s="1"/>
  <c r="B10167" i="1"/>
  <c r="B10278" i="1" s="1"/>
  <c r="B4334" i="1"/>
  <c r="B10389" i="1" s="1"/>
  <c r="B5167" i="1"/>
  <c r="B5276" i="1"/>
  <c r="B9413" i="1"/>
  <c r="B9696" i="1"/>
  <c r="B4539" i="1"/>
  <c r="B4797" i="1" s="1"/>
  <c r="B4571" i="1"/>
  <c r="B4829" i="1" s="1"/>
  <c r="B4578" i="1"/>
  <c r="B4836" i="1" s="1"/>
  <c r="B4607" i="1"/>
  <c r="B4865" i="1" s="1"/>
  <c r="B4624" i="1"/>
  <c r="B4881" i="1" s="1"/>
  <c r="B10111" i="1"/>
  <c r="B10419" i="1"/>
  <c r="B10454" i="1" s="1"/>
  <c r="B10426" i="1"/>
  <c r="B10461" i="1" s="1"/>
  <c r="B10430" i="1"/>
  <c r="B10465" i="1" s="1"/>
  <c r="B4317" i="1"/>
  <c r="B10372" i="1" s="1"/>
  <c r="B10150" i="1"/>
  <c r="B10261" i="1" s="1"/>
  <c r="B10153" i="1"/>
  <c r="B10264" i="1" s="1"/>
  <c r="B4542" i="1"/>
  <c r="B4800" i="1" s="1"/>
  <c r="B4581" i="1"/>
  <c r="B4839" i="1" s="1"/>
  <c r="B10114" i="1"/>
  <c r="B10023" i="1"/>
  <c r="B10093" i="1"/>
  <c r="B9711" i="1"/>
  <c r="B9452" i="1"/>
  <c r="B9626" i="1"/>
  <c r="B9814" i="1" s="1"/>
  <c r="B9560" i="1"/>
  <c r="B5670" i="1"/>
  <c r="B5513" i="1"/>
  <c r="B5719" i="1"/>
  <c r="B5689" i="1"/>
  <c r="B5645" i="1"/>
  <c r="B5619" i="1"/>
  <c r="B5606" i="1"/>
  <c r="B5179" i="1"/>
  <c r="B5164" i="1"/>
  <c r="B5358" i="1"/>
  <c r="B5345" i="1"/>
  <c r="B5330" i="1"/>
  <c r="B10072" i="1"/>
  <c r="B10044" i="1"/>
  <c r="B10099" i="1"/>
  <c r="B4576" i="1"/>
  <c r="B4834" i="1" s="1"/>
  <c r="B10183" i="1"/>
  <c r="B10294" i="1" s="1"/>
  <c r="B4350" i="1"/>
  <c r="B10405" i="1" s="1"/>
  <c r="B4541" i="1"/>
  <c r="B4799" i="1" s="1"/>
  <c r="B4573" i="1"/>
  <c r="B4831" i="1" s="1"/>
  <c r="B4580" i="1"/>
  <c r="B4838" i="1" s="1"/>
  <c r="B4609" i="1"/>
  <c r="B4867" i="1" s="1"/>
  <c r="B4597" i="1"/>
  <c r="B4855" i="1" s="1"/>
  <c r="B10113" i="1"/>
  <c r="B10109" i="1"/>
  <c r="B10425" i="1"/>
  <c r="B10460" i="1" s="1"/>
  <c r="B10074" i="1"/>
  <c r="B4292" i="1"/>
  <c r="B10347" i="1" s="1"/>
  <c r="B10125" i="1"/>
  <c r="B10236" i="1" s="1"/>
  <c r="B4336" i="1"/>
  <c r="B10391" i="1" s="1"/>
  <c r="B9473" i="1"/>
  <c r="B9825" i="1"/>
  <c r="B9427" i="1"/>
  <c r="B9402" i="1"/>
  <c r="B5445" i="1"/>
  <c r="B5427" i="1"/>
  <c r="B5303" i="1"/>
  <c r="B5494" i="1"/>
  <c r="B5459" i="1"/>
  <c r="B5641" i="1"/>
  <c r="B8837" i="1"/>
  <c r="B5176" i="1"/>
  <c r="B5160" i="1"/>
  <c r="B4923" i="1"/>
  <c r="B5327" i="1"/>
  <c r="B10002" i="1"/>
  <c r="B9971" i="1"/>
  <c r="B10047" i="1"/>
  <c r="B10029" i="1"/>
  <c r="B4629" i="1"/>
  <c r="B4886" i="1" s="1"/>
  <c r="B4561" i="1"/>
  <c r="B4819" i="1" s="1"/>
  <c r="B10133" i="1"/>
  <c r="B10244" i="1" s="1"/>
  <c r="B4300" i="1"/>
  <c r="B10355" i="1" s="1"/>
  <c r="B4942" i="1"/>
  <c r="B5275" i="1"/>
  <c r="B9604" i="1"/>
  <c r="B9481" i="1"/>
  <c r="B4546" i="1"/>
  <c r="B4804" i="1" s="1"/>
  <c r="B4553" i="1"/>
  <c r="B4811" i="1" s="1"/>
  <c r="B4577" i="1"/>
  <c r="B4835" i="1" s="1"/>
  <c r="B4606" i="1"/>
  <c r="B4864" i="1" s="1"/>
  <c r="B4620" i="1"/>
  <c r="B4877" i="1" s="1"/>
  <c r="B4623" i="1"/>
  <c r="B4880" i="1" s="1"/>
  <c r="B10110" i="1"/>
  <c r="B10408" i="1"/>
  <c r="B10443" i="1" s="1"/>
  <c r="B10424" i="1"/>
  <c r="B10459" i="1" s="1"/>
  <c r="B10439" i="1"/>
  <c r="B10474" i="1" s="1"/>
  <c r="B10027" i="1"/>
  <c r="B4321" i="1"/>
  <c r="B10376" i="1" s="1"/>
  <c r="B9450" i="1"/>
  <c r="B8966" i="1"/>
  <c r="B5509" i="1"/>
  <c r="B5493" i="1"/>
  <c r="B5458" i="1"/>
  <c r="B5408" i="1"/>
  <c r="B8823" i="1"/>
  <c r="B5382" i="1"/>
  <c r="B5367" i="1"/>
  <c r="B5337" i="1"/>
  <c r="B5326" i="1"/>
  <c r="B9970" i="1"/>
  <c r="B4628" i="1"/>
  <c r="B4885" i="1" s="1"/>
  <c r="B5599" i="1"/>
  <c r="B5644" i="1"/>
  <c r="B4545" i="1"/>
  <c r="B4803" i="1" s="1"/>
  <c r="B4552" i="1"/>
  <c r="B4810" i="1" s="1"/>
  <c r="B4569" i="1"/>
  <c r="B4827" i="1" s="1"/>
  <c r="B4585" i="1"/>
  <c r="B4843" i="1" s="1"/>
  <c r="B4605" i="1"/>
  <c r="B4863" i="1" s="1"/>
  <c r="B4618" i="1"/>
  <c r="B4875" i="1" s="1"/>
  <c r="B4534" i="1"/>
  <c r="B4792" i="1" s="1"/>
  <c r="B10108" i="1"/>
  <c r="B10418" i="1"/>
  <c r="B10453" i="1" s="1"/>
  <c r="B10438" i="1"/>
  <c r="B10473" i="1" s="1"/>
  <c r="B4301" i="1"/>
  <c r="B10356" i="1" s="1"/>
  <c r="B9456" i="1"/>
  <c r="B9432" i="1"/>
  <c r="B5523" i="1"/>
  <c r="B5507" i="1"/>
  <c r="B5492" i="1"/>
  <c r="B5457" i="1"/>
  <c r="B5634" i="1"/>
  <c r="B5394" i="1"/>
  <c r="B4934" i="1"/>
  <c r="B9960" i="1"/>
  <c r="B4619" i="1"/>
  <c r="B4876" i="1" s="1"/>
  <c r="B4547" i="1"/>
  <c r="B4805" i="1" s="1"/>
  <c r="B5196" i="1"/>
  <c r="B5246" i="1"/>
  <c r="B5293" i="1"/>
  <c r="B5222" i="1"/>
  <c r="B9880" i="1"/>
  <c r="B4549" i="1"/>
  <c r="B4807" i="1" s="1"/>
  <c r="B4587" i="1"/>
  <c r="B4845" i="1" s="1"/>
  <c r="B4604" i="1"/>
  <c r="B4862" i="1" s="1"/>
  <c r="B10107" i="1"/>
  <c r="B10417" i="1"/>
  <c r="B10452" i="1" s="1"/>
  <c r="B10437" i="1"/>
  <c r="B10472" i="1" s="1"/>
  <c r="B4327" i="1"/>
  <c r="B10382" i="1" s="1"/>
  <c r="B10160" i="1"/>
  <c r="B10271" i="1" s="1"/>
  <c r="B10144" i="1"/>
  <c r="B10255" i="1" s="1"/>
  <c r="B5210" i="1"/>
  <c r="B5292" i="1"/>
  <c r="B9773" i="1"/>
  <c r="B9421" i="1"/>
  <c r="B4537" i="1"/>
  <c r="B4795" i="1" s="1"/>
  <c r="B4548" i="1"/>
  <c r="B4806" i="1" s="1"/>
  <c r="B4550" i="1"/>
  <c r="B4808" i="1" s="1"/>
  <c r="B4592" i="1"/>
  <c r="B4850" i="1" s="1"/>
  <c r="B4603" i="1"/>
  <c r="B4861" i="1" s="1"/>
  <c r="B10106" i="1"/>
  <c r="B10416" i="1"/>
  <c r="B10451" i="1" s="1"/>
  <c r="B10421" i="1"/>
  <c r="B10456" i="1" s="1"/>
  <c r="B10436" i="1"/>
  <c r="B10471" i="1" s="1"/>
  <c r="B10084" i="1"/>
  <c r="B4315" i="1"/>
  <c r="B10370" i="1" s="1"/>
  <c r="B10148" i="1"/>
  <c r="B10259" i="1" s="1"/>
  <c r="B9024" i="1"/>
  <c r="B10018" i="1"/>
  <c r="B10007" i="1"/>
  <c r="B8804" i="1"/>
  <c r="B9986" i="1"/>
  <c r="B9995" i="1"/>
  <c r="B5583" i="1"/>
  <c r="B9974" i="1"/>
  <c r="B10068" i="1"/>
  <c r="B10062" i="1"/>
  <c r="B9959" i="1"/>
  <c r="B10059" i="1"/>
  <c r="B10006" i="1"/>
  <c r="B9999" i="1"/>
  <c r="B9958" i="1"/>
  <c r="B9954" i="1"/>
  <c r="B9985" i="1"/>
  <c r="B9963" i="1"/>
  <c r="B10008" i="1"/>
  <c r="B9956" i="1"/>
  <c r="B10017" i="1"/>
  <c r="B10015" i="1"/>
  <c r="B9991" i="1"/>
  <c r="B10013" i="1"/>
  <c r="B9990" i="1"/>
  <c r="B10012" i="1"/>
  <c r="B9969" i="1"/>
  <c r="B9962" i="1"/>
  <c r="B9983" i="1"/>
  <c r="B10085" i="1"/>
  <c r="B10001" i="1"/>
  <c r="B9987" i="1"/>
  <c r="B9961" i="1"/>
  <c r="B9957" i="1"/>
  <c r="B9981" i="1"/>
  <c r="B9950" i="1"/>
  <c r="B10009" i="1"/>
  <c r="B10000" i="1"/>
  <c r="B9968" i="1"/>
  <c r="B9941" i="1"/>
  <c r="B9946" i="1"/>
  <c r="B9952" i="1"/>
  <c r="B9965" i="1"/>
  <c r="B10028" i="1"/>
  <c r="B10083" i="1"/>
  <c r="B10005" i="1"/>
  <c r="B10080" i="1"/>
  <c r="B9998" i="1"/>
  <c r="B9964" i="1"/>
  <c r="B10049" i="1"/>
  <c r="B9967" i="1"/>
  <c r="B10031" i="1"/>
  <c r="B9949" i="1"/>
  <c r="B10046" i="1"/>
  <c r="B10079" i="1"/>
  <c r="B9997" i="1"/>
  <c r="B10066" i="1"/>
  <c r="B9984" i="1"/>
  <c r="B10054" i="1"/>
  <c r="B9972" i="1"/>
  <c r="B10037" i="1"/>
  <c r="B9955" i="1"/>
  <c r="B10024" i="1"/>
  <c r="B10078" i="1"/>
  <c r="B10016" i="1"/>
  <c r="B9982" i="1"/>
  <c r="B9978" i="1"/>
  <c r="B10011" i="1"/>
  <c r="B10071" i="1"/>
  <c r="B9989" i="1"/>
  <c r="B9994" i="1"/>
  <c r="B9947" i="1"/>
  <c r="B10097" i="1"/>
  <c r="B10088" i="1"/>
  <c r="B10010" i="1"/>
  <c r="B10020" i="1"/>
  <c r="B9938" i="1"/>
  <c r="B10034" i="1"/>
  <c r="B9945" i="1"/>
  <c r="B10082" i="1"/>
  <c r="B9976" i="1"/>
  <c r="B10058" i="1" s="1"/>
  <c r="B10057" i="1"/>
  <c r="B9975" i="1"/>
  <c r="B10052" i="1"/>
  <c r="B10064" i="1"/>
  <c r="B9953" i="1"/>
  <c r="B10021" i="1"/>
  <c r="B9939" i="1"/>
  <c r="B10076" i="1"/>
  <c r="B10014" i="1"/>
  <c r="B9996" i="1"/>
  <c r="B9948" i="1"/>
  <c r="B9940" i="1"/>
  <c r="B10048" i="1"/>
  <c r="B9979" i="1"/>
  <c r="B9966" i="1"/>
  <c r="B9993" i="1"/>
  <c r="B9944" i="1"/>
  <c r="B9988" i="1"/>
  <c r="B9943" i="1"/>
  <c r="B9937" i="1"/>
  <c r="B10095" i="1"/>
  <c r="B10060" i="1"/>
  <c r="B10067" i="1"/>
  <c r="B10089" i="1"/>
  <c r="B10038" i="1"/>
  <c r="B1061" i="1"/>
  <c r="B2745" i="1"/>
  <c r="B924" i="1"/>
  <c r="B1080" i="1"/>
  <c r="B1060" i="1"/>
  <c r="B2788" i="1"/>
  <c r="B2837" i="1"/>
  <c r="B2709" i="1"/>
  <c r="B2763" i="1"/>
  <c r="B2802" i="1"/>
  <c r="B2760" i="1"/>
  <c r="B928" i="1"/>
  <c r="B2796" i="1"/>
  <c r="B937" i="1"/>
  <c r="B2648" i="1"/>
  <c r="B2710" i="1"/>
  <c r="B2749" i="1"/>
  <c r="B1003" i="1"/>
  <c r="B1066" i="1"/>
  <c r="B2784" i="1"/>
  <c r="B987" i="1"/>
  <c r="B2655" i="1"/>
  <c r="B2714" i="1"/>
  <c r="B2743" i="1"/>
  <c r="B1093" i="1"/>
  <c r="B939" i="1"/>
  <c r="B951" i="1"/>
  <c r="B979" i="1"/>
  <c r="B2673" i="1"/>
  <c r="B988" i="1"/>
  <c r="B9597" i="1"/>
  <c r="B9547" i="1"/>
  <c r="B9504" i="1"/>
  <c r="B9884" i="1"/>
  <c r="B9698" i="1"/>
  <c r="B9881" i="1"/>
  <c r="B9556" i="1"/>
  <c r="B9484" i="1"/>
  <c r="B9430" i="1"/>
  <c r="B9857" i="1"/>
  <c r="B9832" i="1"/>
  <c r="B9686" i="1"/>
  <c r="B9555" i="1"/>
  <c r="B9651" i="1"/>
  <c r="B9759" i="1"/>
  <c r="B9644" i="1"/>
  <c r="B9508" i="1"/>
  <c r="B9505" i="1"/>
  <c r="B9579" i="1"/>
  <c r="B9578" i="1"/>
  <c r="B9815" i="1"/>
  <c r="B9614" i="1"/>
  <c r="B9662" i="1"/>
  <c r="B9900" i="1"/>
  <c r="B9524" i="1"/>
  <c r="B9463" i="1"/>
  <c r="B9439" i="1"/>
  <c r="B9415" i="1"/>
  <c r="B9669" i="1"/>
  <c r="B9743" i="1"/>
  <c r="B9375" i="1"/>
  <c r="B9905" i="1"/>
  <c r="B9899" i="1"/>
  <c r="B9699" i="1"/>
  <c r="B9523" i="1"/>
  <c r="B9369" i="1"/>
  <c r="B9539" i="1"/>
  <c r="B9907" i="1"/>
  <c r="B9531" i="1"/>
  <c r="B9896" i="1"/>
  <c r="B9520" i="1"/>
  <c r="B9708" i="1"/>
  <c r="B9824" i="1"/>
  <c r="B9444" i="1"/>
  <c r="B9818" i="1"/>
  <c r="B9438" i="1"/>
  <c r="B9799" i="1"/>
  <c r="B9611" i="1"/>
  <c r="B9419" i="1"/>
  <c r="B9794" i="1"/>
  <c r="B9414" i="1"/>
  <c r="B9781" i="1"/>
  <c r="B9401" i="1"/>
  <c r="B9775" i="1"/>
  <c r="B9395" i="1"/>
  <c r="B9587" i="1"/>
  <c r="B9772" i="1"/>
  <c r="B9584" i="1"/>
  <c r="B9392" i="1"/>
  <c r="B9811" i="1"/>
  <c r="B9431" i="1"/>
  <c r="B9678" i="1"/>
  <c r="B9634" i="1"/>
  <c r="B9386" i="1"/>
  <c r="B9878" i="1"/>
  <c r="B9843" i="1"/>
  <c r="B9732" i="1"/>
  <c r="B9608" i="1"/>
  <c r="B9572" i="1"/>
  <c r="B9495" i="1"/>
  <c r="B9488" i="1"/>
  <c r="B9412" i="1"/>
  <c r="B9380" i="1"/>
  <c r="B9374" i="1"/>
  <c r="B9368" i="1"/>
  <c r="B9793" i="1"/>
  <c r="B9688" i="1"/>
  <c r="B9571" i="1"/>
  <c r="B9467" i="1"/>
  <c r="B9416" i="1"/>
  <c r="B9641" i="1"/>
  <c r="B9874" i="1"/>
  <c r="B9792" i="1"/>
  <c r="B9645" i="1"/>
  <c r="B9399" i="1"/>
  <c r="B9829" i="1"/>
  <c r="B9485" i="1"/>
  <c r="B9544" i="1"/>
  <c r="B9737" i="1"/>
  <c r="B9928" i="1" s="1"/>
  <c r="B9635" i="1"/>
  <c r="B9506" i="1"/>
  <c r="B9497" i="1"/>
  <c r="B9882" i="1"/>
  <c r="B9835" i="1"/>
  <c r="B9748" i="1"/>
  <c r="B9717" i="1"/>
  <c r="B9622" i="1"/>
  <c r="B9605" i="1"/>
  <c r="B9493" i="1"/>
  <c r="B9451" i="1"/>
  <c r="B9507" i="1"/>
  <c r="B9736" i="1"/>
  <c r="B9591" i="1"/>
  <c r="B9687" i="1"/>
  <c r="B9672" i="1"/>
  <c r="B9654" i="1"/>
  <c r="B9527" i="1"/>
  <c r="B9500" i="1"/>
  <c r="B9466" i="1"/>
  <c r="B9459" i="1"/>
  <c r="B9422" i="1"/>
  <c r="B9408" i="1"/>
  <c r="B9383" i="1"/>
  <c r="B9689" i="1"/>
  <c r="B9501" i="1"/>
  <c r="B9697" i="1"/>
  <c r="B9885" i="1"/>
  <c r="B9509" i="1"/>
  <c r="B9870" i="1"/>
  <c r="B9494" i="1"/>
  <c r="B9813" i="1"/>
  <c r="B9433" i="1"/>
  <c r="B9770" i="1"/>
  <c r="B9390" i="1"/>
  <c r="B9758" i="1"/>
  <c r="B9378" i="1"/>
  <c r="B9617" i="1"/>
  <c r="B9425" i="1"/>
  <c r="B9888" i="1"/>
  <c r="B9700" i="1"/>
  <c r="B9532" i="1"/>
  <c r="B9858" i="1"/>
  <c r="B9831" i="1"/>
  <c r="B9445" i="1"/>
  <c r="B9728" i="1"/>
  <c r="B9919" i="1"/>
  <c r="B9909" i="1"/>
  <c r="B9533" i="1"/>
  <c r="B9898" i="1"/>
  <c r="B9522" i="1"/>
  <c r="B9710" i="1"/>
  <c r="B9853" i="1"/>
  <c r="B9477" i="1"/>
  <c r="B9745" i="1"/>
  <c r="B9936" i="1"/>
  <c r="B9557" i="1"/>
  <c r="B9576" i="1"/>
  <c r="B9384" i="1"/>
  <c r="B9752" i="1"/>
  <c r="B9564" i="1"/>
  <c r="B9747" i="1"/>
  <c r="B9367" i="1"/>
  <c r="B9764" i="1"/>
  <c r="B9598" i="1"/>
  <c r="B9406" i="1"/>
  <c r="B9891" i="1"/>
  <c r="B9545" i="1"/>
  <c r="B9372" i="1"/>
  <c r="B9540" i="1"/>
  <c r="B9528" i="1"/>
  <c r="B9897" i="1"/>
  <c r="B9521" i="1"/>
  <c r="B9709" i="1"/>
  <c r="B9932" i="1"/>
  <c r="B9741" i="1"/>
  <c r="B9553" i="1"/>
  <c r="B9761" i="1"/>
  <c r="B9381" i="1"/>
  <c r="B9828" i="1"/>
  <c r="B9448" i="1"/>
  <c r="B9863" i="1"/>
  <c r="B9487" i="1"/>
  <c r="B9482" i="1"/>
  <c r="B9867" i="1"/>
  <c r="B9491" i="1"/>
  <c r="B9679" i="1"/>
  <c r="B9549" i="1"/>
  <c r="B9538" i="1"/>
  <c r="B9443" i="1"/>
  <c r="B9846" i="1"/>
  <c r="B9658" i="1"/>
  <c r="B9827" i="1"/>
  <c r="B9639" i="1"/>
  <c r="B9676" i="1"/>
  <c r="B9850" i="1"/>
  <c r="B9725" i="1"/>
  <c r="B9666" i="1"/>
  <c r="B9603" i="1"/>
  <c r="B9530" i="1"/>
  <c r="B9718" i="1" s="1"/>
  <c r="B9470" i="1"/>
  <c r="B9453" i="1"/>
  <c r="B9424" i="1"/>
  <c r="B9922" i="1"/>
  <c r="B9731" i="1"/>
  <c r="B9840" i="1"/>
  <c r="B9652" i="1"/>
  <c r="B9471" i="1"/>
  <c r="B9677" i="1"/>
  <c r="B9865" i="1"/>
  <c r="B9851" i="1"/>
  <c r="B9411" i="1"/>
  <c r="B9911" i="1"/>
  <c r="B9535" i="1"/>
  <c r="B9933" i="1"/>
  <c r="B9554" i="1"/>
  <c r="B9868" i="1"/>
  <c r="B9492" i="1"/>
  <c r="B9847" i="1"/>
  <c r="B9536" i="1"/>
  <c r="B9490" i="1"/>
  <c r="B9458" i="1"/>
  <c r="B9442" i="1"/>
  <c r="B9400" i="1"/>
  <c r="B9373" i="1"/>
  <c r="B9836" i="1"/>
  <c r="B9785" i="1"/>
  <c r="B9762" i="1"/>
  <c r="B9382" i="1"/>
  <c r="B9561" i="1"/>
  <c r="B9537" i="1"/>
  <c r="B9437" i="1"/>
  <c r="B9879" i="1"/>
  <c r="B9784" i="1"/>
  <c r="B9596" i="1"/>
  <c r="B9753" i="1"/>
  <c r="B9601" i="1"/>
  <c r="B9457" i="1"/>
  <c r="B9447" i="1"/>
  <c r="B9423" i="1"/>
  <c r="B9612" i="1"/>
  <c r="B9420" i="1"/>
  <c r="B9889" i="1"/>
  <c r="B9701" i="1"/>
  <c r="B9704" i="1"/>
  <c r="B9638" i="1"/>
  <c r="B9548" i="1"/>
  <c r="B9542" i="1"/>
  <c r="B9478" i="1"/>
  <c r="B9460" i="1"/>
  <c r="B9446" i="1"/>
  <c r="B9441" i="1"/>
  <c r="B9435" i="1"/>
  <c r="B9409" i="1"/>
  <c r="B9393" i="1"/>
  <c r="B9387" i="1"/>
  <c r="B9607" i="1"/>
  <c r="B9838" i="1"/>
  <c r="B9650" i="1"/>
  <c r="B9755" i="1"/>
  <c r="B9931" i="1"/>
  <c r="B9740" i="1"/>
  <c r="B9925" i="1"/>
  <c r="B9734" i="1"/>
  <c r="B9920" i="1"/>
  <c r="B9729" i="1"/>
  <c r="B9872" i="1"/>
  <c r="B9684" i="1"/>
  <c r="B9859" i="1"/>
  <c r="B9671" i="1"/>
  <c r="B9820" i="1"/>
  <c r="B9632" i="1"/>
  <c r="B9809" i="1"/>
  <c r="B9621" i="1"/>
  <c r="B9783" i="1"/>
  <c r="B9595" i="1"/>
  <c r="B9771" i="1"/>
  <c r="B9583" i="1"/>
  <c r="B9765" i="1"/>
  <c r="B9577" i="1"/>
  <c r="B9750" i="1"/>
  <c r="B9562" i="1"/>
  <c r="B9722" i="1"/>
  <c r="B9910" i="1"/>
  <c r="B9778" i="1"/>
  <c r="B9590" i="1"/>
  <c r="B9721" i="1"/>
  <c r="B9683" i="1"/>
  <c r="B9849" i="1"/>
  <c r="B9661" i="1"/>
  <c r="B9841" i="1"/>
  <c r="B9653" i="1"/>
  <c r="B9782" i="1"/>
  <c r="B9594" i="1"/>
  <c r="B9640" i="1"/>
  <c r="B9720" i="1"/>
  <c r="B9856" i="1"/>
  <c r="B9668" i="1"/>
  <c r="B9844" i="1"/>
  <c r="B9656" i="1"/>
  <c r="B9877" i="1"/>
  <c r="B9719" i="1"/>
  <c r="B9582" i="1"/>
  <c r="B9715" i="1"/>
  <c r="B9631" i="1"/>
  <c r="B9600" i="1"/>
  <c r="B9902" i="1"/>
  <c r="B9714" i="1"/>
  <c r="B9834" i="1"/>
  <c r="B9646" i="1"/>
  <c r="B9757" i="1"/>
  <c r="B9569" i="1"/>
  <c r="B9895" i="1"/>
  <c r="B9707" i="1"/>
  <c r="B9703" i="1"/>
  <c r="B9673" i="1"/>
  <c r="B9665" i="1"/>
  <c r="B9625" i="1"/>
  <c r="B9616" i="1"/>
  <c r="B9575" i="1"/>
  <c r="B9808" i="1"/>
  <c r="B9620" i="1"/>
  <c r="B9777" i="1"/>
  <c r="B9589" i="1"/>
  <c r="B9801" i="1"/>
  <c r="B9613" i="1"/>
  <c r="B9692" i="1"/>
  <c r="B9807" i="1"/>
  <c r="B9619" i="1"/>
  <c r="B9682" i="1"/>
  <c r="B9805" i="1"/>
  <c r="B9855" i="1"/>
  <c r="B9667" i="1"/>
  <c r="B9893" i="1"/>
  <c r="B9705" i="1"/>
  <c r="B9735" i="1"/>
  <c r="B9901" i="1"/>
  <c r="B9713" i="1"/>
  <c r="B9756" i="1"/>
  <c r="B9568" i="1"/>
  <c r="B9751" i="1"/>
  <c r="B9563" i="1"/>
  <c r="B9816" i="1"/>
  <c r="B9628" i="1"/>
  <c r="B9733" i="1"/>
  <c r="B9727" i="1"/>
  <c r="B9918" i="1" s="1"/>
  <c r="B9695" i="1"/>
  <c r="B9681" i="1"/>
  <c r="B9637" i="1"/>
  <c r="B9630" i="1"/>
  <c r="B9559" i="1"/>
  <c r="B9738" i="1"/>
  <c r="B9929" i="1" s="1"/>
  <c r="B9848" i="1"/>
  <c r="B9660" i="1"/>
  <c r="B9837" i="1"/>
  <c r="B9649" i="1"/>
  <c r="B9830" i="1"/>
  <c r="B9642" i="1"/>
  <c r="B9806" i="1"/>
  <c r="B9618" i="1"/>
  <c r="B9776" i="1"/>
  <c r="B9588" i="1"/>
  <c r="B9769" i="1"/>
  <c r="B9581" i="1"/>
  <c r="B9862" i="1"/>
  <c r="B9674" i="1"/>
  <c r="B9930" i="1"/>
  <c r="B9739" i="1"/>
  <c r="B9716" i="1"/>
  <c r="B9675" i="1"/>
  <c r="B9852" i="1"/>
  <c r="B9664" i="1"/>
  <c r="B9812" i="1"/>
  <c r="B9624" i="1"/>
  <c r="B9894" i="1"/>
  <c r="B9706" i="1"/>
  <c r="B9787" i="1"/>
  <c r="B9599" i="1"/>
  <c r="B9768" i="1"/>
  <c r="B9580" i="1"/>
  <c r="B9800" i="1"/>
  <c r="B9593" i="1"/>
  <c r="B9798" i="1"/>
  <c r="B9610" i="1"/>
  <c r="B9790" i="1"/>
  <c r="B9602" i="1"/>
  <c r="B9746" i="1"/>
  <c r="B9558" i="1"/>
  <c r="B9797" i="1"/>
  <c r="B9609" i="1"/>
  <c r="B9786" i="1"/>
  <c r="B9685" i="1"/>
  <c r="B9623" i="1"/>
  <c r="B9615" i="1"/>
  <c r="B9606" i="1"/>
  <c r="B9592" i="1"/>
  <c r="B9585" i="1"/>
  <c r="B9566" i="1"/>
  <c r="B9744" i="1"/>
  <c r="B9726" i="1"/>
  <c r="B9702" i="1"/>
  <c r="B9636" i="1"/>
  <c r="B9570" i="1"/>
  <c r="B9730" i="1"/>
  <c r="B9724" i="1"/>
  <c r="B9633" i="1"/>
  <c r="B9574" i="1"/>
  <c r="B9742" i="1"/>
  <c r="B9680" i="1"/>
  <c r="B9723" i="1"/>
  <c r="B9691" i="1"/>
  <c r="B5054" i="1"/>
  <c r="B5023" i="1"/>
  <c r="B4977" i="1"/>
  <c r="B963" i="1"/>
  <c r="B4940" i="1"/>
  <c r="B4954" i="1"/>
  <c r="B5049" i="1"/>
  <c r="B4976" i="1"/>
  <c r="B5150" i="1"/>
  <c r="B4917" i="1"/>
  <c r="B5089" i="1"/>
  <c r="B5166" i="1"/>
  <c r="B4935" i="1"/>
  <c r="B5090" i="1"/>
  <c r="B5088" i="1"/>
  <c r="B5256" i="1"/>
  <c r="B5223" i="1"/>
  <c r="B5147" i="1"/>
  <c r="B5020" i="1"/>
  <c r="B4953" i="1"/>
  <c r="B5146" i="1"/>
  <c r="B5019" i="1"/>
  <c r="B4952" i="1"/>
  <c r="B5018" i="1"/>
  <c r="B4951" i="1"/>
  <c r="B5212" i="1"/>
  <c r="B5061" i="1"/>
  <c r="B5317" i="1"/>
  <c r="B5270" i="1"/>
  <c r="B5190" i="1"/>
  <c r="B5101" i="1"/>
  <c r="B5052" i="1"/>
  <c r="B4939" i="1"/>
  <c r="B5257" i="1"/>
  <c r="B5098" i="1"/>
  <c r="B4924" i="1"/>
  <c r="B5255" i="1"/>
  <c r="B5149" i="1"/>
  <c r="B4963" i="1"/>
  <c r="B4922" i="1"/>
  <c r="B5021" i="1"/>
  <c r="B5087" i="1"/>
  <c r="B5086" i="1"/>
  <c r="B5221" i="1"/>
  <c r="B5085" i="1"/>
  <c r="B5115" i="1"/>
  <c r="B5011" i="1"/>
  <c r="B4950" i="1"/>
  <c r="B5111" i="1"/>
  <c r="B5260" i="1"/>
  <c r="B5189" i="1"/>
  <c r="B5100" i="1"/>
  <c r="B4985" i="1"/>
  <c r="B4938" i="1"/>
  <c r="B5188" i="1"/>
  <c r="B5099" i="1"/>
  <c r="B4978" i="1"/>
  <c r="B4936" i="1"/>
  <c r="B4904" i="1"/>
  <c r="B5158" i="1"/>
  <c r="B5094" i="1"/>
  <c r="B4988" i="1"/>
  <c r="B5187" i="1"/>
  <c r="B5109" i="1"/>
  <c r="B5315" i="1"/>
  <c r="B5078" i="1"/>
  <c r="B4975" i="1"/>
  <c r="B5163" i="1"/>
  <c r="B5040" i="1"/>
  <c r="B4974" i="1"/>
  <c r="B4949" i="1"/>
  <c r="B5302" i="1"/>
  <c r="B5235" i="1"/>
  <c r="B5162" i="1"/>
  <c r="B5128" i="1"/>
  <c r="B5097" i="1"/>
  <c r="B5065" i="1"/>
  <c r="B5030" i="1"/>
  <c r="B5008" i="1"/>
  <c r="B4966" i="1"/>
  <c r="B4948" i="1"/>
  <c r="B4927" i="1"/>
  <c r="B4892" i="1"/>
  <c r="B5269" i="1"/>
  <c r="B4987" i="1"/>
  <c r="B5316" i="1"/>
  <c r="B5165" i="1"/>
  <c r="B5141" i="1"/>
  <c r="B4930" i="1"/>
  <c r="B5042" i="1"/>
  <c r="B5010" i="1"/>
  <c r="B4929" i="1"/>
  <c r="B5308" i="1"/>
  <c r="B5066" i="1"/>
  <c r="B5009" i="1"/>
  <c r="B4928" i="1"/>
  <c r="B5301" i="1"/>
  <c r="B5230" i="1"/>
  <c r="B5096" i="1"/>
  <c r="B5064" i="1"/>
  <c r="B5004" i="1"/>
  <c r="B4926" i="1"/>
  <c r="B4962" i="1"/>
  <c r="B5267" i="1"/>
  <c r="B5110" i="1"/>
  <c r="B5053" i="1"/>
  <c r="B4961" i="1"/>
  <c r="B5259" i="1"/>
  <c r="B5186" i="1"/>
  <c r="B5102" i="1"/>
  <c r="B5300" i="1"/>
  <c r="B5201" i="1"/>
  <c r="B5159" i="1"/>
  <c r="B5095" i="1"/>
  <c r="B4990" i="1"/>
  <c r="B4891" i="1"/>
  <c r="B5041" i="1"/>
  <c r="B5076" i="1"/>
  <c r="B4903" i="1"/>
  <c r="B5075" i="1"/>
  <c r="B5039" i="1"/>
  <c r="B4902" i="1"/>
  <c r="B5062" i="1"/>
  <c r="B4993" i="1"/>
  <c r="B4986" i="1"/>
  <c r="B4908" i="1"/>
  <c r="B5108" i="1"/>
  <c r="B5084" i="1"/>
  <c r="B5060" i="1"/>
  <c r="B5005" i="1"/>
  <c r="B4972" i="1"/>
  <c r="B5220" i="1"/>
  <c r="B5202" i="1"/>
  <c r="B5107" i="1"/>
  <c r="B5083" i="1"/>
  <c r="B5071" i="1"/>
  <c r="B5059" i="1"/>
  <c r="B5047" i="1"/>
  <c r="B5035" i="1"/>
  <c r="B5028" i="1"/>
  <c r="B5016" i="1"/>
  <c r="B4983" i="1"/>
  <c r="B4971" i="1"/>
  <c r="B4959" i="1"/>
  <c r="B4947" i="1"/>
  <c r="B4913" i="1"/>
  <c r="B4907" i="1"/>
  <c r="B4898" i="1"/>
  <c r="B4890" i="1"/>
  <c r="B4915" i="1"/>
  <c r="B5006" i="1"/>
  <c r="B4973" i="1"/>
  <c r="B4937" i="1"/>
  <c r="B5306" i="1"/>
  <c r="B5217" i="1"/>
  <c r="B5154" i="1"/>
  <c r="B5106" i="1"/>
  <c r="B5082" i="1"/>
  <c r="B5070" i="1"/>
  <c r="B5058" i="1"/>
  <c r="B5046" i="1"/>
  <c r="B5034" i="1"/>
  <c r="B5027" i="1"/>
  <c r="B5015" i="1"/>
  <c r="B5003" i="1"/>
  <c r="B4982" i="1"/>
  <c r="B4970" i="1"/>
  <c r="B4958" i="1"/>
  <c r="B4946" i="1"/>
  <c r="B4897" i="1"/>
  <c r="B5077" i="1"/>
  <c r="B5074" i="1"/>
  <c r="B5037" i="1"/>
  <c r="B4900" i="1"/>
  <c r="B5305" i="1"/>
  <c r="B5284" i="1"/>
  <c r="B5248" i="1"/>
  <c r="B5200" i="1"/>
  <c r="B5175" i="1"/>
  <c r="B5105" i="1"/>
  <c r="B5093" i="1"/>
  <c r="B5081" i="1"/>
  <c r="B5069" i="1"/>
  <c r="B5057" i="1"/>
  <c r="B5045" i="1"/>
  <c r="B5033" i="1"/>
  <c r="B5026" i="1"/>
  <c r="B5014" i="1"/>
  <c r="B5002" i="1"/>
  <c r="B4981" i="1"/>
  <c r="B4969" i="1"/>
  <c r="B4957" i="1"/>
  <c r="B4945" i="1"/>
  <c r="B4933" i="1"/>
  <c r="B4921" i="1"/>
  <c r="B4912" i="1"/>
  <c r="B4906" i="1"/>
  <c r="B4896" i="1"/>
  <c r="B4889" i="1"/>
  <c r="B4909" i="1"/>
  <c r="B5038" i="1"/>
  <c r="B4901" i="1"/>
  <c r="B4914" i="1"/>
  <c r="B4899" i="1"/>
  <c r="B5199" i="1"/>
  <c r="B5174" i="1"/>
  <c r="B5104" i="1"/>
  <c r="B5092" i="1"/>
  <c r="B5080" i="1"/>
  <c r="B5068" i="1"/>
  <c r="B5056" i="1"/>
  <c r="B5044" i="1"/>
  <c r="B5032" i="1"/>
  <c r="B5025" i="1"/>
  <c r="B5013" i="1"/>
  <c r="B5001" i="1"/>
  <c r="B4980" i="1"/>
  <c r="B4968" i="1"/>
  <c r="B4956" i="1"/>
  <c r="B4944" i="1"/>
  <c r="B4932" i="1"/>
  <c r="B4920" i="1"/>
  <c r="B4895" i="1"/>
  <c r="B4918" i="1"/>
  <c r="B4893" i="1"/>
  <c r="B4916" i="1"/>
  <c r="B4994" i="1"/>
  <c r="B5007" i="1"/>
  <c r="B5073" i="1"/>
  <c r="B4991" i="1"/>
  <c r="B5072" i="1"/>
  <c r="B5048" i="1"/>
  <c r="B5036" i="1"/>
  <c r="B5017" i="1"/>
  <c r="B4984" i="1"/>
  <c r="B4960" i="1"/>
  <c r="B5271" i="1"/>
  <c r="B5236" i="1"/>
  <c r="B5216" i="1"/>
  <c r="B5173" i="1"/>
  <c r="B5103" i="1"/>
  <c r="B5091" i="1"/>
  <c r="B5079" i="1"/>
  <c r="B5067" i="1"/>
  <c r="B5055" i="1"/>
  <c r="B5043" i="1"/>
  <c r="B5031" i="1"/>
  <c r="B5024" i="1"/>
  <c r="B5012" i="1"/>
  <c r="B4992" i="1"/>
  <c r="B4979" i="1"/>
  <c r="B4967" i="1"/>
  <c r="B4955" i="1"/>
  <c r="B4943" i="1"/>
  <c r="B4931" i="1"/>
  <c r="B4919" i="1"/>
  <c r="B4911" i="1"/>
  <c r="B4905" i="1"/>
  <c r="B4894" i="1"/>
  <c r="B4888" i="1"/>
  <c r="B5299" i="1"/>
  <c r="B5287" i="1"/>
  <c r="B5251" i="1"/>
  <c r="B5239" i="1"/>
  <c r="B5227" i="1"/>
  <c r="B5214" i="1"/>
  <c r="B5157" i="1"/>
  <c r="B5136" i="1"/>
  <c r="B5130" i="1"/>
  <c r="B5120" i="1"/>
  <c r="B5247" i="1"/>
  <c r="B5282" i="1"/>
  <c r="B5140" i="1"/>
  <c r="B5127" i="1"/>
  <c r="B5139" i="1"/>
  <c r="B5126" i="1"/>
  <c r="B5314" i="1"/>
  <c r="B5290" i="1"/>
  <c r="B5266" i="1"/>
  <c r="B5254" i="1"/>
  <c r="B5219" i="1"/>
  <c r="B5209" i="1"/>
  <c r="B5197" i="1"/>
  <c r="B5185" i="1"/>
  <c r="B5123" i="1"/>
  <c r="B5313" i="1"/>
  <c r="B5265" i="1"/>
  <c r="B5253" i="1"/>
  <c r="B5241" i="1"/>
  <c r="B5184" i="1"/>
  <c r="B5172" i="1"/>
  <c r="B5137" i="1"/>
  <c r="B5131" i="1"/>
  <c r="B5122" i="1"/>
  <c r="B5252" i="1"/>
  <c r="B5228" i="1"/>
  <c r="B5171" i="1"/>
  <c r="B5121" i="1"/>
  <c r="B5310" i="1"/>
  <c r="B5298" i="1"/>
  <c r="B5286" i="1"/>
  <c r="B5274" i="1"/>
  <c r="B5262" i="1"/>
  <c r="B5250" i="1"/>
  <c r="B5238" i="1"/>
  <c r="B5226" i="1"/>
  <c r="B5205" i="1"/>
  <c r="B5156" i="1"/>
  <c r="B5144" i="1"/>
  <c r="B5119" i="1"/>
  <c r="B5142" i="1"/>
  <c r="B5283" i="1"/>
  <c r="B5268" i="1"/>
  <c r="B5232" i="1"/>
  <c r="B5211" i="1"/>
  <c r="B5231" i="1"/>
  <c r="B5198" i="1"/>
  <c r="B5114" i="1"/>
  <c r="B5312" i="1"/>
  <c r="B5288" i="1"/>
  <c r="B5264" i="1"/>
  <c r="B5240" i="1"/>
  <c r="B5183" i="1"/>
  <c r="B5297" i="1"/>
  <c r="B5285" i="1"/>
  <c r="B5273" i="1"/>
  <c r="B5249" i="1"/>
  <c r="B5237" i="1"/>
  <c r="B5225" i="1"/>
  <c r="B5204" i="1"/>
  <c r="B5192" i="1"/>
  <c r="B5155" i="1"/>
  <c r="B5143" i="1"/>
  <c r="B5135" i="1"/>
  <c r="B5129" i="1"/>
  <c r="B5118" i="1"/>
  <c r="B5112" i="1"/>
  <c r="B5721" i="1"/>
  <c r="B9030" i="1"/>
  <c r="B5720" i="1"/>
  <c r="B5652" i="1"/>
  <c r="B5650" i="1"/>
  <c r="B5396" i="1"/>
  <c r="B5395" i="1"/>
  <c r="B5467" i="1"/>
  <c r="B5649" i="1"/>
  <c r="B9149" i="1"/>
  <c r="B5393" i="1"/>
  <c r="B5648" i="1"/>
  <c r="B9031" i="1"/>
  <c r="B5524" i="1"/>
  <c r="B5368" i="1"/>
  <c r="B5417" i="1"/>
  <c r="B5497" i="1"/>
  <c r="B5440" i="1"/>
  <c r="B5535" i="1"/>
  <c r="B5496" i="1"/>
  <c r="B5410" i="1"/>
  <c r="B5342" i="1"/>
  <c r="B8838" i="1"/>
  <c r="B5529" i="1"/>
  <c r="B5409" i="1"/>
  <c r="B8982" i="1"/>
  <c r="B8824" i="1"/>
  <c r="B5491" i="1"/>
  <c r="B5341" i="1"/>
  <c r="B8782" i="1"/>
  <c r="B8907" i="1"/>
  <c r="B5737" i="1"/>
  <c r="B5685" i="1"/>
  <c r="B5627" i="1"/>
  <c r="B5564" i="1"/>
  <c r="B5510" i="1"/>
  <c r="B5484" i="1"/>
  <c r="B5405" i="1"/>
  <c r="B5384" i="1"/>
  <c r="B5349" i="1"/>
  <c r="B5465" i="1"/>
  <c r="B8784" i="1"/>
  <c r="B5357" i="1"/>
  <c r="B8952" i="1"/>
  <c r="B5707" i="1"/>
  <c r="B5590" i="1"/>
  <c r="B5430" i="1"/>
  <c r="B5392" i="1"/>
  <c r="B8941" i="1"/>
  <c r="B5460" i="1"/>
  <c r="B5429" i="1"/>
  <c r="B5386" i="1"/>
  <c r="B8940" i="1"/>
  <c r="B5385" i="1"/>
  <c r="B8873" i="1"/>
  <c r="B5735" i="1"/>
  <c r="B5684" i="1"/>
  <c r="B5626" i="1"/>
  <c r="B5563" i="1"/>
  <c r="B5478" i="1"/>
  <c r="B5424" i="1"/>
  <c r="B5404" i="1"/>
  <c r="B5383" i="1"/>
  <c r="B5325" i="1"/>
  <c r="B5592" i="1"/>
  <c r="B5686" i="1"/>
  <c r="B5574" i="1"/>
  <c r="B5511" i="1"/>
  <c r="B5485" i="1"/>
  <c r="B8872" i="1"/>
  <c r="B5734" i="1"/>
  <c r="B5624" i="1"/>
  <c r="B5562" i="1"/>
  <c r="B5500" i="1"/>
  <c r="B5453" i="1"/>
  <c r="B5403" i="1"/>
  <c r="B5372" i="1"/>
  <c r="B8953" i="1"/>
  <c r="B5718" i="1"/>
  <c r="B5591" i="1"/>
  <c r="B5464" i="1"/>
  <c r="B9002" i="1"/>
  <c r="B8783" i="1"/>
  <c r="B5463" i="1"/>
  <c r="B5356" i="1"/>
  <c r="B5629" i="1"/>
  <c r="B5576" i="1"/>
  <c r="B5355" i="1"/>
  <c r="B5628" i="1"/>
  <c r="B5733" i="1"/>
  <c r="B5675" i="1"/>
  <c r="B5605" i="1"/>
  <c r="B5550" i="1"/>
  <c r="B5499" i="1"/>
  <c r="B5448" i="1"/>
  <c r="B5398" i="1"/>
  <c r="B5371" i="1"/>
  <c r="B5324" i="1"/>
  <c r="B5593" i="1"/>
  <c r="B8813" i="1"/>
  <c r="B5431" i="1"/>
  <c r="B5339" i="1"/>
  <c r="B8870" i="1"/>
  <c r="B5732" i="1"/>
  <c r="B5665" i="1"/>
  <c r="B5547" i="1"/>
  <c r="B5498" i="1"/>
  <c r="B5419" i="1"/>
  <c r="B5397" i="1"/>
  <c r="B5608" i="1"/>
  <c r="B5401" i="1"/>
  <c r="B8912" i="1"/>
  <c r="B5470" i="1"/>
  <c r="B8805" i="1"/>
  <c r="B5377" i="1"/>
  <c r="B8856" i="1"/>
  <c r="B8867" i="1"/>
  <c r="B5425" i="1"/>
  <c r="B5646" i="1"/>
  <c r="B5724" i="1"/>
  <c r="B5502" i="1"/>
  <c r="B5621" i="1"/>
  <c r="B5414" i="1"/>
  <c r="B5566" i="1"/>
  <c r="B5360" i="1"/>
  <c r="B5551" i="1"/>
  <c r="B5346" i="1"/>
  <c r="B5640" i="1"/>
  <c r="B8858" i="1"/>
  <c r="B5422" i="1"/>
  <c r="B5690" i="1"/>
  <c r="B5468" i="1"/>
  <c r="B5565" i="1"/>
  <c r="B5359" i="1"/>
  <c r="B5526" i="1"/>
  <c r="B5321" i="1"/>
  <c r="B5710" i="1"/>
  <c r="B5488" i="1"/>
  <c r="B8843" i="1"/>
  <c r="B5622" i="1"/>
  <c r="B5415" i="1"/>
  <c r="B5361" i="1"/>
  <c r="B5567" i="1"/>
  <c r="B5538" i="1"/>
  <c r="B8796" i="1"/>
  <c r="B5575" i="1"/>
  <c r="B5369" i="1"/>
  <c r="B8880" i="1"/>
  <c r="B5660" i="1"/>
  <c r="B5487" i="1"/>
  <c r="B5709" i="1"/>
  <c r="B8893" i="1"/>
  <c r="B5673" i="1"/>
  <c r="B5451" i="1"/>
  <c r="B5595" i="1"/>
  <c r="B5388" i="1"/>
  <c r="B5537" i="1"/>
  <c r="B5671" i="1"/>
  <c r="B5449" i="1"/>
  <c r="B5723" i="1"/>
  <c r="B5501" i="1"/>
  <c r="B5607" i="1"/>
  <c r="B5400" i="1"/>
  <c r="B5631" i="1"/>
  <c r="B5420" i="1"/>
  <c r="B5332" i="1"/>
  <c r="B5340" i="1"/>
  <c r="B5545" i="1"/>
  <c r="B5436" i="1"/>
  <c r="B5658" i="1"/>
  <c r="B5708" i="1"/>
  <c r="B5486" i="1"/>
  <c r="B5620" i="1"/>
  <c r="B5413" i="1"/>
  <c r="B5579" i="1"/>
  <c r="B5639" i="1"/>
  <c r="B5704" i="1"/>
  <c r="B5482" i="1"/>
  <c r="B5331" i="1"/>
  <c r="B5373" i="1"/>
  <c r="B8881" i="1"/>
  <c r="B5661" i="1"/>
  <c r="B8960" i="1"/>
  <c r="B5518" i="1"/>
  <c r="B5725" i="1"/>
  <c r="B5503" i="1"/>
  <c r="B5452" i="1"/>
  <c r="B5674" i="1"/>
  <c r="B8830" i="1"/>
  <c r="B5609" i="1"/>
  <c r="B5402" i="1"/>
  <c r="B8817" i="1"/>
  <c r="B5389" i="1"/>
  <c r="B8749" i="1"/>
  <c r="B5322" i="1"/>
  <c r="B5701" i="1"/>
  <c r="B5479" i="1"/>
  <c r="B5635" i="1"/>
  <c r="B5738" i="1"/>
  <c r="B5516" i="1"/>
  <c r="B5461" i="1"/>
  <c r="B5582" i="1"/>
  <c r="B5376" i="1"/>
  <c r="B5581" i="1"/>
  <c r="B5375" i="1"/>
  <c r="B5483" i="1"/>
  <c r="B5705" i="1"/>
  <c r="B5736" i="1"/>
  <c r="B5514" i="1"/>
  <c r="B5672" i="1"/>
  <c r="B5450" i="1"/>
  <c r="B5594" i="1"/>
  <c r="B5387" i="1"/>
  <c r="B5580" i="1"/>
  <c r="B5374" i="1"/>
  <c r="B5333" i="1"/>
  <c r="B5637" i="1"/>
  <c r="B5698" i="1"/>
  <c r="B8918" i="1"/>
  <c r="B8855" i="1"/>
  <c r="B5572" i="1"/>
  <c r="B5366" i="1"/>
  <c r="B5559" i="1"/>
  <c r="B5353" i="1"/>
  <c r="B5462" i="1"/>
  <c r="B5696" i="1"/>
  <c r="B8916" i="1"/>
  <c r="B8793" i="1"/>
  <c r="B5560" i="1"/>
  <c r="B5354" i="1"/>
  <c r="B8819" i="1"/>
  <c r="B5391" i="1"/>
  <c r="B5556" i="1"/>
  <c r="B5695" i="1"/>
  <c r="B8915" i="1"/>
  <c r="B5600" i="1"/>
  <c r="B5442" i="1"/>
  <c r="B5426" i="1"/>
  <c r="B5699" i="1"/>
  <c r="B8919" i="1"/>
  <c r="B5476" i="1"/>
  <c r="B5441" i="1"/>
  <c r="B9148" i="1"/>
  <c r="B5700" i="1"/>
  <c r="B5561" i="1"/>
  <c r="B5435" i="1"/>
  <c r="B9147" i="1"/>
  <c r="B8826" i="1"/>
  <c r="B5610" i="1"/>
  <c r="B5578" i="1"/>
  <c r="B5481" i="1"/>
  <c r="B5412" i="1"/>
  <c r="B8825" i="1"/>
  <c r="B5399" i="1"/>
  <c r="B8962" i="1"/>
  <c r="B5742" i="1"/>
  <c r="B8946" i="1"/>
  <c r="B5726" i="1"/>
  <c r="B5711" i="1"/>
  <c r="B8913" i="1"/>
  <c r="B5693" i="1"/>
  <c r="B5677" i="1"/>
  <c r="B8844" i="1"/>
  <c r="B5623" i="1"/>
  <c r="B8818" i="1"/>
  <c r="B5597" i="1"/>
  <c r="B8806" i="1"/>
  <c r="B5585" i="1"/>
  <c r="B5568" i="1"/>
  <c r="B8791" i="1"/>
  <c r="B5570" i="1"/>
  <c r="B8857" i="1"/>
  <c r="B5636" i="1"/>
  <c r="B5697" i="1"/>
  <c r="B5611" i="1"/>
  <c r="B5647" i="1"/>
  <c r="B5664" i="1"/>
  <c r="B5530" i="1"/>
  <c r="B8853" i="1"/>
  <c r="B5632" i="1"/>
  <c r="B5746" i="1"/>
  <c r="B8951" i="1"/>
  <c r="B5731" i="1"/>
  <c r="B8935" i="1"/>
  <c r="B5715" i="1"/>
  <c r="B8900" i="1"/>
  <c r="B5680" i="1"/>
  <c r="B8859" i="1"/>
  <c r="B5638" i="1"/>
  <c r="B9056" i="1"/>
  <c r="B8836" i="1"/>
  <c r="B5602" i="1"/>
  <c r="B8810" i="1"/>
  <c r="B5589" i="1"/>
  <c r="B8794" i="1"/>
  <c r="B5573" i="1"/>
  <c r="B8770" i="1"/>
  <c r="B5548" i="1"/>
  <c r="B8764" i="1"/>
  <c r="B5542" i="1"/>
  <c r="B8753" i="1"/>
  <c r="B5531" i="1"/>
  <c r="B8750" i="1"/>
  <c r="B5528" i="1"/>
  <c r="B8849" i="1"/>
  <c r="B8950" i="1"/>
  <c r="B5730" i="1"/>
  <c r="B8875" i="1"/>
  <c r="B5655" i="1"/>
  <c r="B5663" i="1"/>
  <c r="B5615" i="1"/>
  <c r="B5539" i="1"/>
  <c r="B8885" i="1"/>
  <c r="B9092" i="1"/>
  <c r="B8965" i="1"/>
  <c r="B5745" i="1"/>
  <c r="B5729" i="1"/>
  <c r="B8949" i="1"/>
  <c r="B8934" i="1"/>
  <c r="B5714" i="1"/>
  <c r="B8899" i="1"/>
  <c r="B5679" i="1"/>
  <c r="B9055" i="1"/>
  <c r="B8835" i="1"/>
  <c r="B5601" i="1"/>
  <c r="B8822" i="1"/>
  <c r="B8809" i="1"/>
  <c r="B5588" i="1"/>
  <c r="B8763" i="1"/>
  <c r="B5541" i="1"/>
  <c r="B8779" i="1"/>
  <c r="B5558" i="1"/>
  <c r="B8848" i="1"/>
  <c r="B5688" i="1"/>
  <c r="B9115" i="1"/>
  <c r="B8908" i="1"/>
  <c r="B8957" i="1"/>
  <c r="B8874" i="1"/>
  <c r="B5654" i="1"/>
  <c r="B5662" i="1"/>
  <c r="B5614" i="1"/>
  <c r="B5546" i="1"/>
  <c r="B5553" i="1"/>
  <c r="B8964" i="1"/>
  <c r="B5744" i="1"/>
  <c r="B8948" i="1"/>
  <c r="B5728" i="1"/>
  <c r="B8933" i="1"/>
  <c r="B8898" i="1"/>
  <c r="B5678" i="1"/>
  <c r="B8851" i="1"/>
  <c r="B5630" i="1"/>
  <c r="B8834" i="1"/>
  <c r="B9054" i="1"/>
  <c r="B8808" i="1"/>
  <c r="B5587" i="1"/>
  <c r="B8792" i="1"/>
  <c r="B5571" i="1"/>
  <c r="B8776" i="1"/>
  <c r="B8778" i="1"/>
  <c r="B5557" i="1"/>
  <c r="B8911" i="1"/>
  <c r="B5691" i="1"/>
  <c r="B8959" i="1"/>
  <c r="B5739" i="1"/>
  <c r="B8879" i="1"/>
  <c r="B5659" i="1"/>
  <c r="B5613" i="1"/>
  <c r="B8963" i="1"/>
  <c r="B5743" i="1"/>
  <c r="B8947" i="1"/>
  <c r="B5727" i="1"/>
  <c r="B8932" i="1"/>
  <c r="B9139" i="1"/>
  <c r="B5712" i="1"/>
  <c r="B8914" i="1"/>
  <c r="B5694" i="1"/>
  <c r="B8896" i="1"/>
  <c r="B5676" i="1"/>
  <c r="B5625" i="1"/>
  <c r="B8807" i="1"/>
  <c r="B5586" i="1"/>
  <c r="B8790" i="1"/>
  <c r="B5569" i="1"/>
  <c r="B8775" i="1"/>
  <c r="B5554" i="1"/>
  <c r="B5540" i="1"/>
  <c r="B8762" i="1"/>
  <c r="B8854" i="1"/>
  <c r="B5633" i="1"/>
  <c r="B8961" i="1"/>
  <c r="B5741" i="1"/>
  <c r="B8886" i="1"/>
  <c r="B5666" i="1"/>
  <c r="B8780" i="1"/>
  <c r="B5612" i="1"/>
  <c r="B8955" i="1"/>
  <c r="B8939" i="1"/>
  <c r="B8906" i="1"/>
  <c r="B8850" i="1"/>
  <c r="B8812" i="1"/>
  <c r="B5604" i="1"/>
  <c r="B5669" i="1"/>
  <c r="B8954" i="1"/>
  <c r="B5643" i="1"/>
  <c r="B5618" i="1"/>
  <c r="B8798" i="1"/>
  <c r="B5534" i="1"/>
  <c r="B5525" i="1"/>
  <c r="B8905" i="1"/>
  <c r="B8811" i="1"/>
  <c r="B8751" i="1"/>
  <c r="B5653" i="1"/>
  <c r="B5603" i="1"/>
  <c r="B5668" i="1"/>
  <c r="B5717" i="1"/>
  <c r="B5702" i="1"/>
  <c r="B8902" i="1"/>
  <c r="B5642" i="1"/>
  <c r="B8797" i="1"/>
  <c r="B5549" i="1"/>
  <c r="B5543" i="1"/>
  <c r="B5533" i="1"/>
  <c r="B9078" i="1"/>
  <c r="B8895" i="1"/>
  <c r="B8795" i="1"/>
  <c r="B5617" i="1"/>
  <c r="B5667" i="1"/>
  <c r="B8869" i="1"/>
  <c r="B5716" i="1"/>
  <c r="B8920" i="1"/>
  <c r="B8901" i="1"/>
  <c r="B5681" i="1"/>
  <c r="B8862" i="1"/>
  <c r="B9057" i="1"/>
  <c r="B5532" i="1"/>
  <c r="B5656" i="1"/>
  <c r="B9051" i="1"/>
  <c r="B8942" i="1"/>
  <c r="B8845" i="1"/>
  <c r="B5722" i="1"/>
  <c r="B5706" i="1"/>
  <c r="B5687" i="1"/>
  <c r="B5651" i="1"/>
  <c r="B5616" i="1"/>
  <c r="B5740" i="1"/>
  <c r="B5692" i="1"/>
  <c r="B5596" i="1"/>
  <c r="B5584" i="1"/>
  <c r="B8917" i="1"/>
  <c r="B8829" i="1"/>
  <c r="B8910" i="1"/>
  <c r="B8841" i="1"/>
  <c r="B8815" i="1"/>
  <c r="B8748" i="1"/>
  <c r="B9021" i="1"/>
  <c r="B8924" i="1"/>
  <c r="B8761" i="1"/>
  <c r="B8890" i="1"/>
  <c r="B8877" i="1"/>
  <c r="B9116" i="1"/>
  <c r="B8840" i="1"/>
  <c r="B9005" i="1"/>
  <c r="B8766" i="1"/>
  <c r="B8820" i="1"/>
  <c r="B8865" i="1"/>
  <c r="B8923" i="1"/>
  <c r="B8931" i="1"/>
  <c r="B8894" i="1"/>
  <c r="B8801" i="1"/>
  <c r="B8760" i="1"/>
  <c r="B9099" i="1"/>
  <c r="B8930" i="1"/>
  <c r="B8800" i="1"/>
  <c r="B8929" i="1"/>
  <c r="B8892" i="1"/>
  <c r="B8799" i="1"/>
  <c r="B9097" i="1"/>
  <c r="B8945" i="1"/>
  <c r="B8928" i="1"/>
  <c r="B8891" i="1"/>
  <c r="B8847" i="1"/>
  <c r="B8752" i="1"/>
  <c r="B8897" i="1"/>
  <c r="B8958" i="1"/>
  <c r="B9100" i="1"/>
  <c r="B8842" i="1"/>
  <c r="B8816" i="1"/>
  <c r="B8803" i="1"/>
  <c r="B8802" i="1"/>
  <c r="B8925" i="1"/>
  <c r="B8788" i="1"/>
  <c r="B8774" i="1"/>
  <c r="B8878" i="1"/>
  <c r="B8828" i="1"/>
  <c r="B8758" i="1"/>
  <c r="B8852" i="1"/>
  <c r="B8866" i="1"/>
  <c r="B8827" i="1"/>
  <c r="B8772" i="1"/>
  <c r="B8757" i="1"/>
  <c r="B8909" i="1"/>
  <c r="B8786" i="1"/>
  <c r="B8773" i="1"/>
  <c r="B8759" i="1"/>
  <c r="B9098" i="1"/>
  <c r="B8769" i="1"/>
  <c r="B8987" i="1"/>
  <c r="B8944" i="1"/>
  <c r="B8927" i="1"/>
  <c r="B8846" i="1"/>
  <c r="B8768" i="1"/>
  <c r="B8785" i="1"/>
  <c r="B9091" i="1"/>
  <c r="B8943" i="1"/>
  <c r="B8921" i="1"/>
  <c r="B8884" i="1"/>
  <c r="B9150" i="1"/>
  <c r="B9090" i="1"/>
  <c r="B8986" i="1"/>
  <c r="B8903" i="1"/>
  <c r="B8883" i="1"/>
  <c r="B8861" i="1"/>
  <c r="B8814" i="1"/>
  <c r="B8767" i="1"/>
  <c r="B8789" i="1"/>
  <c r="B8787" i="1"/>
  <c r="B8956" i="1"/>
  <c r="B8882" i="1"/>
  <c r="B8860" i="1"/>
  <c r="B8777" i="1"/>
  <c r="B9077" i="1"/>
  <c r="B8938" i="1"/>
  <c r="B9017" i="1"/>
  <c r="B8889" i="1"/>
  <c r="B9075" i="1"/>
  <c r="B8936" i="1"/>
  <c r="B8888" i="1"/>
  <c r="B8876" i="1"/>
  <c r="B8771" i="1"/>
  <c r="B8765" i="1"/>
  <c r="B8755" i="1"/>
  <c r="B9133" i="1"/>
  <c r="B8926" i="1"/>
  <c r="B8831" i="1"/>
  <c r="B9076" i="1"/>
  <c r="B8937" i="1"/>
  <c r="B9072" i="1"/>
  <c r="B9004" i="1"/>
  <c r="B8887" i="1"/>
  <c r="B8864" i="1"/>
  <c r="B8754" i="1"/>
  <c r="B8756" i="1"/>
  <c r="B9071" i="1"/>
  <c r="B9003" i="1"/>
  <c r="B8922" i="1"/>
  <c r="B8863" i="1"/>
  <c r="B8839" i="1"/>
  <c r="B8747" i="1"/>
  <c r="B9128" i="1"/>
  <c r="B9019" i="1"/>
  <c r="B9018" i="1"/>
  <c r="B9160" i="1"/>
  <c r="B9137" i="1"/>
  <c r="B9109" i="1"/>
  <c r="B9088" i="1"/>
  <c r="B9070" i="1"/>
  <c r="B9040" i="1"/>
  <c r="B9009" i="1"/>
  <c r="B8978" i="1"/>
  <c r="B9163" i="1"/>
  <c r="B9145" i="1"/>
  <c r="B9114" i="1"/>
  <c r="B8981" i="1"/>
  <c r="B9162" i="1"/>
  <c r="B9113" i="1"/>
  <c r="B9045" i="1"/>
  <c r="B8980" i="1"/>
  <c r="B9161" i="1"/>
  <c r="B8992" i="1"/>
  <c r="B9159" i="1"/>
  <c r="B9136" i="1"/>
  <c r="B9104" i="1"/>
  <c r="B9087" i="1"/>
  <c r="B9067" i="1"/>
  <c r="B9034" i="1"/>
  <c r="B9008" i="1"/>
  <c r="B8989" i="1"/>
  <c r="B8977" i="1"/>
  <c r="B9046" i="1"/>
  <c r="B9138" i="1"/>
  <c r="B9089" i="1"/>
  <c r="B9044" i="1"/>
  <c r="B9015" i="1"/>
  <c r="B9152" i="1"/>
  <c r="B9135" i="1"/>
  <c r="B9103" i="1"/>
  <c r="B9080" i="1"/>
  <c r="B9065" i="1"/>
  <c r="B9033" i="1"/>
  <c r="B9007" i="1"/>
  <c r="B8971" i="1"/>
  <c r="B9020" i="1"/>
  <c r="B9146" i="1"/>
  <c r="B8993" i="1"/>
  <c r="B9112" i="1"/>
  <c r="B8979" i="1"/>
  <c r="B9151" i="1"/>
  <c r="B9134" i="1"/>
  <c r="B9102" i="1"/>
  <c r="B9079" i="1"/>
  <c r="B9058" i="1"/>
  <c r="B9032" i="1"/>
  <c r="B9006" i="1"/>
  <c r="B8988" i="1"/>
  <c r="B8999" i="1"/>
  <c r="B9171" i="1"/>
  <c r="B9155" i="1"/>
  <c r="B9123" i="1"/>
  <c r="B9105" i="1"/>
  <c r="B9041" i="1"/>
  <c r="B9028" i="1"/>
  <c r="B9012" i="1"/>
  <c r="B8998" i="1"/>
  <c r="B9118" i="1"/>
  <c r="B9166" i="1"/>
  <c r="B9086" i="1"/>
  <c r="B9172" i="1"/>
  <c r="B8997" i="1"/>
  <c r="B9107" i="1"/>
  <c r="B8990" i="1"/>
  <c r="B9157" i="1"/>
  <c r="B9141" i="1"/>
  <c r="B9106" i="1"/>
  <c r="B9013" i="1"/>
  <c r="B9170" i="1"/>
  <c r="B9154" i="1"/>
  <c r="B9121" i="1"/>
  <c r="B9053" i="1"/>
  <c r="B9039" i="1"/>
  <c r="B9027" i="1"/>
  <c r="B9010" i="1"/>
  <c r="B9122" i="1"/>
  <c r="B9168" i="1"/>
  <c r="B9093" i="1"/>
  <c r="B9164" i="1"/>
  <c r="B9126" i="1"/>
  <c r="B9101" i="1"/>
  <c r="B8996" i="1"/>
  <c r="B8972" i="1"/>
  <c r="B9158" i="1"/>
  <c r="B9001" i="1"/>
  <c r="B8973" i="1"/>
  <c r="B8970" i="1"/>
  <c r="B9111" i="1"/>
  <c r="B9082" i="1"/>
  <c r="B9156" i="1"/>
  <c r="B9029" i="1"/>
  <c r="B9169" i="1"/>
  <c r="B9153" i="1"/>
  <c r="B9120" i="1"/>
  <c r="B9064" i="1"/>
  <c r="B9052" i="1"/>
  <c r="B9038" i="1"/>
  <c r="B9026" i="1"/>
  <c r="B9011" i="1"/>
  <c r="B9074" i="1"/>
  <c r="B9125" i="1"/>
  <c r="B9043" i="1"/>
  <c r="B8995" i="1"/>
  <c r="B9069" i="1"/>
  <c r="B9014" i="1"/>
  <c r="B8984" i="1"/>
  <c r="B9000" i="1"/>
  <c r="B9173" i="1"/>
  <c r="B9167" i="1"/>
  <c r="B9119" i="1"/>
  <c r="B9063" i="1"/>
  <c r="B9050" i="1"/>
  <c r="B9037" i="1"/>
  <c r="B9025" i="1"/>
  <c r="B8969" i="1"/>
  <c r="B9016" i="1"/>
  <c r="B9073" i="1"/>
  <c r="B9140" i="1"/>
  <c r="B9124" i="1"/>
  <c r="B9066" i="1"/>
  <c r="B9042" i="1"/>
  <c r="B8994" i="1"/>
  <c r="B9142" i="1"/>
  <c r="B9081" i="1"/>
  <c r="B8983" i="1"/>
  <c r="B9144" i="1"/>
  <c r="B9132" i="1"/>
  <c r="B9108" i="1"/>
  <c r="B9096" i="1"/>
  <c r="B9084" i="1"/>
  <c r="B9062" i="1"/>
  <c r="B8976" i="1"/>
  <c r="B9110" i="1"/>
  <c r="B9085" i="1"/>
  <c r="B9143" i="1"/>
  <c r="B9131" i="1"/>
  <c r="B9095" i="1"/>
  <c r="B9083" i="1"/>
  <c r="B9061" i="1"/>
  <c r="B9049" i="1"/>
  <c r="B8991" i="1"/>
  <c r="B8985" i="1"/>
  <c r="B8975" i="1"/>
  <c r="B8968" i="1"/>
  <c r="B9130" i="1"/>
  <c r="B9094" i="1"/>
  <c r="B9068" i="1"/>
  <c r="B9060" i="1"/>
  <c r="B9048" i="1"/>
  <c r="B9036" i="1"/>
  <c r="B9023" i="1"/>
  <c r="B8974" i="1"/>
  <c r="B9165" i="1"/>
  <c r="B9129" i="1"/>
  <c r="B9117" i="1"/>
  <c r="B9059" i="1"/>
  <c r="B9047" i="1"/>
  <c r="B9035" i="1"/>
  <c r="B9022" i="1"/>
  <c r="B8967" i="1"/>
  <c r="K837" i="1"/>
  <c r="M837" i="1"/>
  <c r="O837" i="1"/>
  <c r="B2961" i="1"/>
  <c r="B3013" i="1"/>
  <c r="K6" i="1"/>
  <c r="Q646" i="1"/>
  <c r="Q644" i="1"/>
  <c r="K299" i="1"/>
  <c r="M299" i="1"/>
  <c r="O299" i="1"/>
  <c r="K646" i="1"/>
  <c r="M646" i="1"/>
  <c r="O646" i="1"/>
  <c r="K644" i="1"/>
  <c r="M644" i="1"/>
  <c r="O644" i="1"/>
  <c r="O37" i="1"/>
  <c r="O129" i="1"/>
  <c r="Q175" i="1"/>
  <c r="Q232" i="1"/>
  <c r="K270" i="1"/>
  <c r="K310" i="1"/>
  <c r="Q323" i="1"/>
  <c r="M357" i="1"/>
  <c r="K541" i="1"/>
  <c r="O17" i="1"/>
  <c r="Q258" i="1"/>
  <c r="Q424" i="1"/>
  <c r="O4" i="1"/>
  <c r="O15" i="1"/>
  <c r="M26" i="1"/>
  <c r="M50" i="1"/>
  <c r="O69" i="1"/>
  <c r="M110" i="1"/>
  <c r="M135" i="1"/>
  <c r="O161" i="1"/>
  <c r="Q227" i="1"/>
  <c r="M237" i="1"/>
  <c r="Q282" i="1"/>
  <c r="K327" i="1"/>
  <c r="O408" i="1"/>
  <c r="K415" i="1"/>
  <c r="Q375" i="1"/>
  <c r="K294" i="1"/>
  <c r="O38" i="1"/>
  <c r="M81" i="1"/>
  <c r="M93" i="1"/>
  <c r="Q121" i="1"/>
  <c r="O131" i="1"/>
  <c r="K159" i="1"/>
  <c r="M204" i="1"/>
  <c r="K219" i="1"/>
  <c r="Q242" i="1"/>
  <c r="M249" i="1"/>
  <c r="K288" i="1"/>
  <c r="M283" i="1"/>
  <c r="M7" i="1"/>
  <c r="O29" i="1"/>
  <c r="O61" i="1"/>
  <c r="O128" i="1"/>
  <c r="Q178" i="1"/>
  <c r="Q216" i="1"/>
  <c r="Q230" i="1"/>
  <c r="K235" i="1"/>
  <c r="Q239" i="1"/>
  <c r="O243" i="1"/>
  <c r="Q247" i="1"/>
  <c r="M252" i="1"/>
  <c r="Q280" i="1"/>
  <c r="O284" i="1"/>
  <c r="Q290" i="1"/>
  <c r="K297" i="1"/>
  <c r="Q303" i="1"/>
  <c r="Q307" i="1"/>
  <c r="K319" i="1"/>
  <c r="Q325" i="1"/>
  <c r="O329" i="1"/>
  <c r="M338" i="1"/>
  <c r="M347" i="1"/>
  <c r="M352" i="1"/>
  <c r="M366" i="1"/>
  <c r="O378" i="1"/>
  <c r="K419" i="1"/>
  <c r="O373" i="1"/>
  <c r="M473" i="1"/>
  <c r="M550" i="1"/>
  <c r="M42" i="1"/>
  <c r="M116" i="1"/>
  <c r="Q199" i="1"/>
  <c r="Q203" i="1"/>
  <c r="Q245" i="1"/>
  <c r="O286" i="1"/>
  <c r="Q331" i="1"/>
  <c r="M383" i="1"/>
  <c r="O553" i="1"/>
  <c r="K676" i="1"/>
  <c r="O6" i="1"/>
  <c r="K11" i="1"/>
  <c r="O22" i="1"/>
  <c r="O45" i="1"/>
  <c r="O60" i="1"/>
  <c r="M76" i="1"/>
  <c r="M88" i="1"/>
  <c r="Q124" i="1"/>
  <c r="O136" i="1"/>
  <c r="O143" i="1"/>
  <c r="Q171" i="1"/>
  <c r="M176" i="1"/>
  <c r="Q223" i="1"/>
  <c r="K246" i="1"/>
  <c r="M287" i="1"/>
  <c r="Q318" i="1"/>
  <c r="Q369" i="1"/>
  <c r="O3" i="1"/>
  <c r="O14" i="1"/>
  <c r="O25" i="1"/>
  <c r="O30" i="1"/>
  <c r="O36" i="1"/>
  <c r="O49" i="1"/>
  <c r="O63" i="1"/>
  <c r="O68" i="1"/>
  <c r="M79" i="1"/>
  <c r="M84" i="1"/>
  <c r="M91" i="1"/>
  <c r="K96" i="1"/>
  <c r="M109" i="1"/>
  <c r="Q115" i="1"/>
  <c r="M120" i="1"/>
  <c r="K133" i="1"/>
  <c r="O139" i="1"/>
  <c r="O155" i="1"/>
  <c r="M158" i="1"/>
  <c r="O160" i="1"/>
  <c r="Q206" i="1"/>
  <c r="Q220" i="1"/>
  <c r="Q226" i="1"/>
  <c r="Q240" i="1"/>
  <c r="Q244" i="1"/>
  <c r="M250" i="1"/>
  <c r="Q266" i="1"/>
  <c r="O274" i="1"/>
  <c r="Q291" i="1"/>
  <c r="Q300" i="1"/>
  <c r="M322" i="1"/>
  <c r="M330" i="1"/>
  <c r="K339" i="1"/>
  <c r="O371" i="1"/>
  <c r="O400" i="1"/>
  <c r="Q475" i="1"/>
  <c r="O986" i="1"/>
  <c r="O978" i="1"/>
  <c r="O1058" i="1"/>
  <c r="M1058" i="1"/>
  <c r="Q904" i="1"/>
  <c r="O904" i="1"/>
  <c r="K904" i="1"/>
  <c r="O985" i="1"/>
  <c r="K959" i="1"/>
  <c r="M959" i="1"/>
  <c r="M475" i="1"/>
  <c r="O475" i="1"/>
  <c r="K475" i="1"/>
  <c r="M583" i="1"/>
  <c r="K583" i="1"/>
  <c r="O583" i="1"/>
  <c r="Q569" i="1"/>
  <c r="O569" i="1"/>
  <c r="K569" i="1"/>
  <c r="M1067" i="1"/>
  <c r="M424" i="1"/>
  <c r="O424" i="1"/>
  <c r="K424" i="1"/>
  <c r="Q294" i="1"/>
  <c r="M294" i="1"/>
  <c r="O294" i="1"/>
  <c r="Q431" i="1"/>
  <c r="Q429" i="1"/>
  <c r="Q427" i="1"/>
  <c r="O1010" i="1"/>
  <c r="Q969" i="1"/>
  <c r="M649" i="1"/>
  <c r="Q1119" i="1"/>
  <c r="O649" i="1"/>
  <c r="Q651" i="1"/>
  <c r="O1119" i="1"/>
  <c r="Q847" i="1"/>
  <c r="K1119" i="1"/>
  <c r="Q939" i="1"/>
  <c r="O807" i="1"/>
  <c r="O283" i="1"/>
  <c r="Q965" i="1"/>
  <c r="K220" i="1"/>
  <c r="K287" i="1"/>
  <c r="K316" i="1"/>
  <c r="M316" i="1"/>
  <c r="Q961" i="1"/>
  <c r="K318" i="1"/>
  <c r="O923" i="1"/>
  <c r="M969" i="1"/>
  <c r="Q281" i="1"/>
  <c r="K806" i="1"/>
  <c r="Q852" i="1"/>
  <c r="O852" i="1"/>
  <c r="O921" i="1"/>
  <c r="Q286" i="1"/>
  <c r="O372" i="1"/>
  <c r="M494" i="1"/>
  <c r="M713" i="1"/>
  <c r="Q910" i="1"/>
  <c r="Q921" i="1"/>
  <c r="M286" i="1"/>
  <c r="Q907" i="1"/>
  <c r="K3" i="1"/>
  <c r="O7" i="1"/>
  <c r="Q109" i="1"/>
  <c r="Q285" i="1"/>
  <c r="Q609" i="1"/>
  <c r="Q802" i="1"/>
  <c r="M802" i="1"/>
  <c r="Q853" i="1"/>
  <c r="Q857" i="1"/>
  <c r="O902" i="1"/>
  <c r="K961" i="1"/>
  <c r="K969" i="1"/>
  <c r="Q379" i="1"/>
  <c r="Q692" i="1"/>
  <c r="O853" i="1"/>
  <c r="Q858" i="1"/>
  <c r="Q889" i="1"/>
  <c r="O889" i="1"/>
  <c r="Q950" i="1"/>
  <c r="O950" i="1"/>
  <c r="M8" i="1"/>
  <c r="K283" i="1"/>
  <c r="O287" i="1"/>
  <c r="Q494" i="1"/>
  <c r="O713" i="1"/>
  <c r="Q803" i="1"/>
  <c r="O802" i="1"/>
  <c r="Q806" i="1"/>
  <c r="M806" i="1"/>
  <c r="O910" i="1"/>
  <c r="M921" i="1"/>
  <c r="M1119" i="1"/>
  <c r="K176" i="1"/>
  <c r="K222" i="1"/>
  <c r="O265" i="1"/>
  <c r="K290" i="1"/>
  <c r="O379" i="1"/>
  <c r="O661" i="1"/>
  <c r="K695" i="1"/>
  <c r="K696" i="1"/>
  <c r="K699" i="1"/>
  <c r="M853" i="1"/>
  <c r="Q908" i="1"/>
  <c r="O908" i="1"/>
  <c r="Q911" i="1"/>
  <c r="M950" i="1"/>
  <c r="O10" i="1"/>
  <c r="M222" i="1"/>
  <c r="Q108" i="1"/>
  <c r="O262" i="1"/>
  <c r="Q273" i="1"/>
  <c r="K331" i="1"/>
  <c r="Q341" i="1"/>
  <c r="M374" i="1"/>
  <c r="M401" i="1"/>
  <c r="M847" i="1"/>
  <c r="K849" i="1"/>
  <c r="K49" i="1"/>
  <c r="M61" i="1"/>
  <c r="K63" i="1"/>
  <c r="M64" i="1"/>
  <c r="Q120" i="1"/>
  <c r="O121" i="1"/>
  <c r="O216" i="1"/>
  <c r="O222" i="1"/>
  <c r="K226" i="1"/>
  <c r="M243" i="1"/>
  <c r="O245" i="1"/>
  <c r="K247" i="1"/>
  <c r="O280" i="1"/>
  <c r="K303" i="1"/>
  <c r="M309" i="1"/>
  <c r="M329" i="1"/>
  <c r="Q333" i="1"/>
  <c r="O336" i="1"/>
  <c r="Q339" i="1"/>
  <c r="K371" i="1"/>
  <c r="O374" i="1"/>
  <c r="M410" i="1"/>
  <c r="O473" i="1"/>
  <c r="O707" i="1"/>
  <c r="M753" i="1"/>
  <c r="M828" i="1"/>
  <c r="K844" i="1"/>
  <c r="O845" i="1"/>
  <c r="Q849" i="1"/>
  <c r="M849" i="1"/>
  <c r="M857" i="1"/>
  <c r="K864" i="1"/>
  <c r="M883" i="1"/>
  <c r="K907" i="1"/>
  <c r="K908" i="1"/>
  <c r="K910" i="1"/>
  <c r="Q945" i="1"/>
  <c r="O945" i="1"/>
  <c r="M1087" i="1"/>
  <c r="M1142" i="1"/>
  <c r="M121" i="1"/>
  <c r="K175" i="1"/>
  <c r="K309" i="1"/>
  <c r="K410" i="1"/>
  <c r="O487" i="1"/>
  <c r="O858" i="1"/>
  <c r="M945" i="1"/>
  <c r="K8" i="1"/>
  <c r="M10" i="1"/>
  <c r="M63" i="1"/>
  <c r="O64" i="1"/>
  <c r="M247" i="1"/>
  <c r="Q249" i="1"/>
  <c r="M372" i="1"/>
  <c r="M371" i="1"/>
  <c r="O410" i="1"/>
  <c r="Q707" i="1"/>
  <c r="Q753" i="1"/>
  <c r="Q828" i="1"/>
  <c r="Q844" i="1"/>
  <c r="M844" i="1"/>
  <c r="O857" i="1"/>
  <c r="O864" i="1"/>
  <c r="Q883" i="1"/>
  <c r="O907" i="1"/>
  <c r="M908" i="1"/>
  <c r="M910" i="1"/>
  <c r="Q918" i="1"/>
  <c r="Q1087" i="1"/>
  <c r="O1087" i="1"/>
  <c r="Q1125" i="1"/>
  <c r="Q1142" i="1"/>
  <c r="O1053" i="1"/>
  <c r="O994" i="1"/>
  <c r="M45" i="1"/>
  <c r="K84" i="1"/>
  <c r="K25" i="1"/>
  <c r="M29" i="1"/>
  <c r="K30" i="1"/>
  <c r="M32" i="1"/>
  <c r="M75" i="1"/>
  <c r="M83" i="1"/>
  <c r="O84" i="1"/>
  <c r="M292" i="1"/>
  <c r="O292" i="1"/>
  <c r="K292" i="1"/>
  <c r="O304" i="1"/>
  <c r="M304" i="1"/>
  <c r="O531" i="1"/>
  <c r="Q531" i="1"/>
  <c r="O634" i="1"/>
  <c r="O1003" i="1"/>
  <c r="O1063" i="1"/>
  <c r="Q1122" i="1"/>
  <c r="O1122" i="1"/>
  <c r="O157" i="1"/>
  <c r="M22" i="1"/>
  <c r="M30" i="1"/>
  <c r="O32" i="1"/>
  <c r="O75" i="1"/>
  <c r="O83" i="1"/>
  <c r="M115" i="1"/>
  <c r="K136" i="1"/>
  <c r="K155" i="1"/>
  <c r="M157" i="1"/>
  <c r="K248" i="1"/>
  <c r="M261" i="1"/>
  <c r="O358" i="1"/>
  <c r="M358" i="1"/>
  <c r="M394" i="1"/>
  <c r="K394" i="1"/>
  <c r="M485" i="1"/>
  <c r="Q485" i="1"/>
  <c r="K485" i="1"/>
  <c r="M515" i="1"/>
  <c r="Q515" i="1"/>
  <c r="K515" i="1"/>
  <c r="O567" i="1"/>
  <c r="Q567" i="1"/>
  <c r="O606" i="1"/>
  <c r="M700" i="1"/>
  <c r="Q700" i="1"/>
  <c r="M740" i="1"/>
  <c r="M794" i="1"/>
  <c r="K794" i="1"/>
  <c r="M919" i="1"/>
  <c r="K919" i="1"/>
  <c r="O1001" i="1"/>
  <c r="M1063" i="1"/>
  <c r="K109" i="1"/>
  <c r="O115" i="1"/>
  <c r="M136" i="1"/>
  <c r="O152" i="1"/>
  <c r="M152" i="1"/>
  <c r="O176" i="1"/>
  <c r="K225" i="1"/>
  <c r="Q231" i="1"/>
  <c r="K243" i="1"/>
  <c r="Q248" i="1"/>
  <c r="K261" i="1"/>
  <c r="M295" i="1"/>
  <c r="K295" i="1"/>
  <c r="K358" i="1"/>
  <c r="O390" i="1"/>
  <c r="M390" i="1"/>
  <c r="O485" i="1"/>
  <c r="M567" i="1"/>
  <c r="Q634" i="1"/>
  <c r="K693" i="1"/>
  <c r="Q693" i="1"/>
  <c r="O700" i="1"/>
  <c r="Q794" i="1"/>
  <c r="M862" i="1"/>
  <c r="Q862" i="1"/>
  <c r="M876" i="1"/>
  <c r="Q876" i="1"/>
  <c r="K877" i="1"/>
  <c r="M915" i="1"/>
  <c r="Q915" i="1"/>
  <c r="O974" i="1"/>
  <c r="O1078" i="1"/>
  <c r="M1078" i="1"/>
  <c r="O1124" i="1"/>
  <c r="Q1124" i="1"/>
  <c r="K1124" i="1"/>
  <c r="O165" i="1"/>
  <c r="Q165" i="1"/>
  <c r="M225" i="1"/>
  <c r="K250" i="1"/>
  <c r="O295" i="1"/>
  <c r="K390" i="1"/>
  <c r="M400" i="1"/>
  <c r="K400" i="1"/>
  <c r="M415" i="1"/>
  <c r="M429" i="1"/>
  <c r="K429" i="1"/>
  <c r="M633" i="1"/>
  <c r="O633" i="1"/>
  <c r="O692" i="1"/>
  <c r="M692" i="1"/>
  <c r="O695" i="1"/>
  <c r="M695" i="1"/>
  <c r="O696" i="1"/>
  <c r="M696" i="1"/>
  <c r="O699" i="1"/>
  <c r="M699" i="1"/>
  <c r="O712" i="1"/>
  <c r="Q712" i="1"/>
  <c r="O720" i="1"/>
  <c r="O742" i="1"/>
  <c r="O765" i="1"/>
  <c r="Q823" i="1"/>
  <c r="M823" i="1"/>
  <c r="O824" i="1"/>
  <c r="K862" i="1"/>
  <c r="K876" i="1"/>
  <c r="K915" i="1"/>
  <c r="M941" i="1"/>
  <c r="Q941" i="1"/>
  <c r="K941" i="1"/>
  <c r="O1002" i="1"/>
  <c r="O309" i="1"/>
  <c r="O316" i="1"/>
  <c r="K401" i="1"/>
  <c r="M379" i="1"/>
  <c r="K494" i="1"/>
  <c r="M661" i="1"/>
  <c r="K753" i="1"/>
  <c r="K802" i="1"/>
  <c r="K828" i="1"/>
  <c r="K847" i="1"/>
  <c r="K852" i="1"/>
  <c r="K853" i="1"/>
  <c r="K857" i="1"/>
  <c r="K858" i="1"/>
  <c r="K921" i="1"/>
  <c r="K945" i="1"/>
  <c r="O11" i="1"/>
  <c r="M11" i="1"/>
  <c r="O19" i="1"/>
  <c r="M19" i="1"/>
  <c r="O40" i="1"/>
  <c r="O65" i="1"/>
  <c r="M65" i="1"/>
  <c r="M73" i="1"/>
  <c r="O73" i="1"/>
  <c r="O85" i="1"/>
  <c r="M85" i="1"/>
  <c r="Q196" i="1"/>
  <c r="M196" i="1"/>
  <c r="M305" i="1"/>
  <c r="O305" i="1"/>
  <c r="K305" i="1"/>
  <c r="O321" i="1"/>
  <c r="M321" i="1"/>
  <c r="K321" i="1"/>
  <c r="M398" i="1"/>
  <c r="K398" i="1"/>
  <c r="O403" i="1"/>
  <c r="M403" i="1"/>
  <c r="M501" i="1"/>
  <c r="Q501" i="1"/>
  <c r="K501" i="1"/>
  <c r="O575" i="1"/>
  <c r="M575" i="1"/>
  <c r="Q575" i="1"/>
  <c r="K575" i="1"/>
  <c r="O600" i="1"/>
  <c r="M600" i="1"/>
  <c r="K600" i="1"/>
  <c r="M762" i="1"/>
  <c r="Q762" i="1"/>
  <c r="M796" i="1"/>
  <c r="K796" i="1"/>
  <c r="Q796" i="1"/>
  <c r="O843" i="1"/>
  <c r="O971" i="1"/>
  <c r="K19" i="1"/>
  <c r="K36" i="1"/>
  <c r="K73" i="1"/>
  <c r="Q122" i="1"/>
  <c r="O122" i="1"/>
  <c r="O186" i="1"/>
  <c r="M186" i="1"/>
  <c r="Q193" i="1"/>
  <c r="O193" i="1"/>
  <c r="O202" i="1"/>
  <c r="M202" i="1"/>
  <c r="M241" i="1"/>
  <c r="K241" i="1"/>
  <c r="Q277" i="1"/>
  <c r="O326" i="1"/>
  <c r="O328" i="1"/>
  <c r="M334" i="1"/>
  <c r="O334" i="1"/>
  <c r="M616" i="1"/>
  <c r="M826" i="1"/>
  <c r="K826" i="1"/>
  <c r="O948" i="1"/>
  <c r="M948" i="1"/>
  <c r="K193" i="1"/>
  <c r="O241" i="1"/>
  <c r="Q278" i="1"/>
  <c r="O278" i="1"/>
  <c r="M306" i="1"/>
  <c r="K306" i="1"/>
  <c r="M326" i="1"/>
  <c r="O335" i="1"/>
  <c r="K468" i="1"/>
  <c r="O468" i="1"/>
  <c r="M471" i="1"/>
  <c r="Q471" i="1"/>
  <c r="K471" i="1"/>
  <c r="K499" i="1"/>
  <c r="O549" i="1"/>
  <c r="M549" i="1"/>
  <c r="Q549" i="1"/>
  <c r="O559" i="1"/>
  <c r="M559" i="1"/>
  <c r="Q559" i="1"/>
  <c r="Q600" i="1"/>
  <c r="O752" i="1"/>
  <c r="M804" i="1"/>
  <c r="K804" i="1"/>
  <c r="Q804" i="1"/>
  <c r="M819" i="1"/>
  <c r="Q819" i="1"/>
  <c r="K819" i="1"/>
  <c r="O42" i="1"/>
  <c r="K199" i="1"/>
  <c r="Q235" i="1"/>
  <c r="O235" i="1"/>
  <c r="O257" i="1"/>
  <c r="M279" i="1"/>
  <c r="O279" i="1"/>
  <c r="O302" i="1"/>
  <c r="O376" i="1"/>
  <c r="M376" i="1"/>
  <c r="O727" i="1"/>
  <c r="M727" i="1"/>
  <c r="K727" i="1"/>
  <c r="M40" i="1"/>
  <c r="K279" i="1"/>
  <c r="M302" i="1"/>
  <c r="M384" i="1"/>
  <c r="K384" i="1"/>
  <c r="O398" i="1"/>
  <c r="K403" i="1"/>
  <c r="O501" i="1"/>
  <c r="M510" i="1"/>
  <c r="Q510" i="1"/>
  <c r="K510" i="1"/>
  <c r="O533" i="1"/>
  <c r="M533" i="1"/>
  <c r="Q533" i="1"/>
  <c r="O541" i="1"/>
  <c r="M541" i="1"/>
  <c r="Q541" i="1"/>
  <c r="O598" i="1"/>
  <c r="Q598" i="1"/>
  <c r="M598" i="1"/>
  <c r="Q616" i="1"/>
  <c r="K762" i="1"/>
  <c r="O818" i="1"/>
  <c r="Q870" i="1"/>
  <c r="K870" i="1"/>
  <c r="M895" i="1"/>
  <c r="K895" i="1"/>
  <c r="Q895" i="1"/>
  <c r="O895" i="1"/>
  <c r="O18" i="1"/>
  <c r="O21" i="1"/>
  <c r="O33" i="1"/>
  <c r="M33" i="1"/>
  <c r="O41" i="1"/>
  <c r="M41" i="1"/>
  <c r="M71" i="1"/>
  <c r="O71" i="1"/>
  <c r="O94" i="1"/>
  <c r="M94" i="1"/>
  <c r="M113" i="1"/>
  <c r="O113" i="1"/>
  <c r="K186" i="1"/>
  <c r="O198" i="1"/>
  <c r="M198" i="1"/>
  <c r="K202" i="1"/>
  <c r="Q218" i="1"/>
  <c r="M218" i="1"/>
  <c r="M328" i="1"/>
  <c r="O380" i="1"/>
  <c r="M380" i="1"/>
  <c r="O384" i="1"/>
  <c r="M422" i="1"/>
  <c r="K422" i="1"/>
  <c r="O510" i="1"/>
  <c r="O517" i="1"/>
  <c r="M517" i="1"/>
  <c r="K533" i="1"/>
  <c r="O631" i="1"/>
  <c r="Q631" i="1"/>
  <c r="K14" i="1"/>
  <c r="M18" i="1"/>
  <c r="M21" i="1"/>
  <c r="K41" i="1"/>
  <c r="K68" i="1"/>
  <c r="K71" i="1"/>
  <c r="M96" i="1"/>
  <c r="O96" i="1"/>
  <c r="K113" i="1"/>
  <c r="M124" i="1"/>
  <c r="K124" i="1"/>
  <c r="O135" i="1"/>
  <c r="O159" i="1"/>
  <c r="M159" i="1"/>
  <c r="Q198" i="1"/>
  <c r="K218" i="1"/>
  <c r="M230" i="1"/>
  <c r="K240" i="1"/>
  <c r="M278" i="1"/>
  <c r="M301" i="1"/>
  <c r="O301" i="1"/>
  <c r="O306" i="1"/>
  <c r="O327" i="1"/>
  <c r="M327" i="1"/>
  <c r="M335" i="1"/>
  <c r="K380" i="1"/>
  <c r="M408" i="1"/>
  <c r="K408" i="1"/>
  <c r="O419" i="1"/>
  <c r="M419" i="1"/>
  <c r="O422" i="1"/>
  <c r="M468" i="1"/>
  <c r="O471" i="1"/>
  <c r="Q517" i="1"/>
  <c r="K517" i="1"/>
  <c r="M525" i="1"/>
  <c r="Q525" i="1"/>
  <c r="K525" i="1"/>
  <c r="M539" i="1"/>
  <c r="K549" i="1"/>
  <c r="K559" i="1"/>
  <c r="O619" i="1"/>
  <c r="Q619" i="1"/>
  <c r="M619" i="1"/>
  <c r="M703" i="1"/>
  <c r="K703" i="1"/>
  <c r="M751" i="1"/>
  <c r="Q751" i="1"/>
  <c r="K751" i="1"/>
  <c r="O893" i="1"/>
  <c r="M893" i="1"/>
  <c r="K920" i="1"/>
  <c r="Q920" i="1"/>
  <c r="O878" i="1"/>
  <c r="K878" i="1"/>
  <c r="M899" i="1"/>
  <c r="O899" i="1"/>
  <c r="K899" i="1"/>
  <c r="Q899" i="1"/>
  <c r="O938" i="1"/>
  <c r="M938" i="1"/>
  <c r="O1019" i="1"/>
  <c r="O225" i="1"/>
  <c r="O250" i="1"/>
  <c r="Q261" i="1"/>
  <c r="O394" i="1"/>
  <c r="O401" i="1"/>
  <c r="O415" i="1"/>
  <c r="O494" i="1"/>
  <c r="O599" i="1"/>
  <c r="M599" i="1"/>
  <c r="O618" i="1"/>
  <c r="Q689" i="1"/>
  <c r="O704" i="1"/>
  <c r="M704" i="1"/>
  <c r="O732" i="1"/>
  <c r="Q732" i="1"/>
  <c r="M757" i="1"/>
  <c r="Q757" i="1"/>
  <c r="M808" i="1"/>
  <c r="K808" i="1"/>
  <c r="M816" i="1"/>
  <c r="Q816" i="1"/>
  <c r="K816" i="1"/>
  <c r="M840" i="1"/>
  <c r="Q840" i="1"/>
  <c r="K840" i="1"/>
  <c r="M866" i="1"/>
  <c r="M894" i="1"/>
  <c r="O894" i="1"/>
  <c r="K894" i="1"/>
  <c r="O1009" i="1"/>
  <c r="O1020" i="1"/>
  <c r="O1080" i="1"/>
  <c r="O1008" i="1"/>
  <c r="O1121" i="1"/>
  <c r="O150" i="1"/>
  <c r="K152" i="1"/>
  <c r="K567" i="1"/>
  <c r="M618" i="1"/>
  <c r="O630" i="1"/>
  <c r="K704" i="1"/>
  <c r="O714" i="1"/>
  <c r="M714" i="1"/>
  <c r="K714" i="1"/>
  <c r="M746" i="1"/>
  <c r="Q746" i="1"/>
  <c r="K757" i="1"/>
  <c r="M860" i="1"/>
  <c r="K860" i="1"/>
  <c r="Q866" i="1"/>
  <c r="K866" i="1"/>
  <c r="O885" i="1"/>
  <c r="K885" i="1"/>
  <c r="Q894" i="1"/>
  <c r="M902" i="1"/>
  <c r="K902" i="1"/>
  <c r="M949" i="1"/>
  <c r="Q949" i="1"/>
  <c r="O949" i="1"/>
  <c r="M1080" i="1"/>
  <c r="Q864" i="1"/>
  <c r="O862" i="1"/>
  <c r="O915" i="1"/>
  <c r="Q919" i="1"/>
  <c r="O919" i="1"/>
  <c r="O941" i="1"/>
  <c r="O969" i="1"/>
  <c r="Q77" i="1"/>
  <c r="Q92" i="1"/>
  <c r="O117" i="1"/>
  <c r="M118" i="1"/>
  <c r="O118" i="1"/>
  <c r="Q208" i="1"/>
  <c r="K208" i="1"/>
  <c r="O275" i="1"/>
  <c r="M275" i="1"/>
  <c r="K276" i="1"/>
  <c r="Q313" i="1"/>
  <c r="K313" i="1"/>
  <c r="O345" i="1"/>
  <c r="M345" i="1"/>
  <c r="Q348" i="1"/>
  <c r="K348" i="1"/>
  <c r="O587" i="1"/>
  <c r="M587" i="1"/>
  <c r="O650" i="1"/>
  <c r="M650" i="1"/>
  <c r="K650" i="1"/>
  <c r="Q649" i="1"/>
  <c r="O663" i="1"/>
  <c r="M663" i="1"/>
  <c r="Q663" i="1"/>
  <c r="O789" i="1"/>
  <c r="K80" i="1"/>
  <c r="K89" i="1"/>
  <c r="K117" i="1"/>
  <c r="K118" i="1"/>
  <c r="M137" i="1"/>
  <c r="O151" i="1"/>
  <c r="K191" i="1"/>
  <c r="O206" i="1"/>
  <c r="K223" i="1"/>
  <c r="M232" i="1"/>
  <c r="Q234" i="1"/>
  <c r="K234" i="1"/>
  <c r="K244" i="1"/>
  <c r="O251" i="1"/>
  <c r="K275" i="1"/>
  <c r="K291" i="1"/>
  <c r="O311" i="1"/>
  <c r="M311" i="1"/>
  <c r="M317" i="1"/>
  <c r="O317" i="1"/>
  <c r="O354" i="1"/>
  <c r="M354" i="1"/>
  <c r="O382" i="1"/>
  <c r="O397" i="1"/>
  <c r="O406" i="1"/>
  <c r="O412" i="1"/>
  <c r="K375" i="1"/>
  <c r="M536" i="1"/>
  <c r="Q536" i="1"/>
  <c r="O536" i="1"/>
  <c r="K536" i="1"/>
  <c r="M546" i="1"/>
  <c r="Q546" i="1"/>
  <c r="O546" i="1"/>
  <c r="K546" i="1"/>
  <c r="O565" i="1"/>
  <c r="M565" i="1"/>
  <c r="Q565" i="1"/>
  <c r="K565" i="1"/>
  <c r="O645" i="1"/>
  <c r="M645" i="1"/>
  <c r="Q645" i="1"/>
  <c r="Q680" i="1"/>
  <c r="M34" i="1"/>
  <c r="M67" i="1"/>
  <c r="Q83" i="1"/>
  <c r="Q85" i="1"/>
  <c r="M92" i="1"/>
  <c r="M108" i="1"/>
  <c r="M117" i="1"/>
  <c r="O120" i="1"/>
  <c r="K151" i="1"/>
  <c r="M153" i="1"/>
  <c r="O158" i="1"/>
  <c r="Q167" i="1"/>
  <c r="K167" i="1"/>
  <c r="O196" i="1"/>
  <c r="K206" i="1"/>
  <c r="K207" i="1"/>
  <c r="M216" i="1"/>
  <c r="Q217" i="1"/>
  <c r="K217" i="1"/>
  <c r="K232" i="1"/>
  <c r="K242" i="1"/>
  <c r="Q252" i="1"/>
  <c r="K258" i="1"/>
  <c r="M291" i="1"/>
  <c r="M300" i="1"/>
  <c r="K300" i="1"/>
  <c r="K307" i="1"/>
  <c r="K311" i="1"/>
  <c r="K317" i="1"/>
  <c r="K323" i="1"/>
  <c r="Q351" i="1"/>
  <c r="K354" i="1"/>
  <c r="O431" i="1"/>
  <c r="Q506" i="1"/>
  <c r="M562" i="1"/>
  <c r="Q562" i="1"/>
  <c r="O562" i="1"/>
  <c r="Q587" i="1"/>
  <c r="M874" i="1"/>
  <c r="K874" i="1"/>
  <c r="Q874" i="1"/>
  <c r="Q80" i="1"/>
  <c r="Q89" i="1"/>
  <c r="K112" i="1"/>
  <c r="M125" i="1"/>
  <c r="O133" i="1"/>
  <c r="M168" i="1"/>
  <c r="Q169" i="1"/>
  <c r="K169" i="1"/>
  <c r="K204" i="1"/>
  <c r="O237" i="1"/>
  <c r="M264" i="1"/>
  <c r="K284" i="1"/>
  <c r="M373" i="1"/>
  <c r="K373" i="1"/>
  <c r="Q373" i="1"/>
  <c r="O375" i="1"/>
  <c r="M375" i="1"/>
  <c r="K383" i="1"/>
  <c r="Q383" i="1"/>
  <c r="O383" i="1"/>
  <c r="O607" i="1"/>
  <c r="M607" i="1"/>
  <c r="O723" i="1"/>
  <c r="M723" i="1"/>
  <c r="M743" i="1"/>
  <c r="K743" i="1"/>
  <c r="M759" i="1"/>
  <c r="K759" i="1"/>
  <c r="Q759" i="1"/>
  <c r="O1082" i="1"/>
  <c r="M1082" i="1"/>
  <c r="O1133" i="1"/>
  <c r="K77" i="1"/>
  <c r="K92" i="1"/>
  <c r="K108" i="1"/>
  <c r="M112" i="1"/>
  <c r="K160" i="1"/>
  <c r="M162" i="1"/>
  <c r="K162" i="1"/>
  <c r="K168" i="1"/>
  <c r="O171" i="1"/>
  <c r="Q195" i="1"/>
  <c r="K195" i="1"/>
  <c r="K227" i="1"/>
  <c r="K237" i="1"/>
  <c r="K239" i="1"/>
  <c r="K264" i="1"/>
  <c r="M276" i="1"/>
  <c r="K282" i="1"/>
  <c r="M284" i="1"/>
  <c r="O343" i="1"/>
  <c r="M343" i="1"/>
  <c r="K343" i="1"/>
  <c r="K345" i="1"/>
  <c r="O392" i="1"/>
  <c r="O421" i="1"/>
  <c r="M506" i="1"/>
  <c r="O506" i="1"/>
  <c r="K550" i="1"/>
  <c r="Q550" i="1"/>
  <c r="O550" i="1"/>
  <c r="M571" i="1"/>
  <c r="Q571" i="1"/>
  <c r="O571" i="1"/>
  <c r="K587" i="1"/>
  <c r="Q607" i="1"/>
  <c r="K663" i="1"/>
  <c r="K1133" i="1"/>
  <c r="M12" i="1"/>
  <c r="M24" i="1"/>
  <c r="M46" i="1"/>
  <c r="Q75" i="1"/>
  <c r="M77" i="1"/>
  <c r="K79" i="1"/>
  <c r="M80" i="1"/>
  <c r="M89" i="1"/>
  <c r="K91" i="1"/>
  <c r="Q94" i="1"/>
  <c r="O112" i="1"/>
  <c r="K122" i="1"/>
  <c r="K128" i="1"/>
  <c r="M132" i="1"/>
  <c r="M133" i="1"/>
  <c r="M165" i="1"/>
  <c r="O168" i="1"/>
  <c r="K171" i="1"/>
  <c r="Q191" i="1"/>
  <c r="O204" i="1"/>
  <c r="M227" i="1"/>
  <c r="O230" i="1"/>
  <c r="M239" i="1"/>
  <c r="K245" i="1"/>
  <c r="O255" i="1"/>
  <c r="Q264" i="1"/>
  <c r="K266" i="1"/>
  <c r="M274" i="1"/>
  <c r="O276" i="1"/>
  <c r="K280" i="1"/>
  <c r="M282" i="1"/>
  <c r="K22" i="1"/>
  <c r="K33" i="1"/>
  <c r="K45" i="1"/>
  <c r="K65" i="1"/>
  <c r="K75" i="1"/>
  <c r="O77" i="1"/>
  <c r="O79" i="1"/>
  <c r="O80" i="1"/>
  <c r="K83" i="1"/>
  <c r="K85" i="1"/>
  <c r="O89" i="1"/>
  <c r="O91" i="1"/>
  <c r="O92" i="1"/>
  <c r="K94" i="1"/>
  <c r="O108" i="1"/>
  <c r="O109" i="1"/>
  <c r="Q112" i="1"/>
  <c r="K115" i="1"/>
  <c r="Q117" i="1"/>
  <c r="K120" i="1"/>
  <c r="K121" i="1"/>
  <c r="M122" i="1"/>
  <c r="O124" i="1"/>
  <c r="O132" i="1"/>
  <c r="K139" i="1"/>
  <c r="M150" i="1"/>
  <c r="M151" i="1"/>
  <c r="K158" i="1"/>
  <c r="K165" i="1"/>
  <c r="Q168" i="1"/>
  <c r="M171" i="1"/>
  <c r="K178" i="1"/>
  <c r="M193" i="1"/>
  <c r="K196" i="1"/>
  <c r="K198" i="1"/>
  <c r="K203" i="1"/>
  <c r="Q204" i="1"/>
  <c r="M206" i="1"/>
  <c r="Q207" i="1"/>
  <c r="K216" i="1"/>
  <c r="O218" i="1"/>
  <c r="O227" i="1"/>
  <c r="K230" i="1"/>
  <c r="K231" i="1"/>
  <c r="O232" i="1"/>
  <c r="M235" i="1"/>
  <c r="Q236" i="1"/>
  <c r="K236" i="1"/>
  <c r="Q237" i="1"/>
  <c r="O239" i="1"/>
  <c r="M245" i="1"/>
  <c r="O247" i="1"/>
  <c r="K249" i="1"/>
  <c r="K252" i="1"/>
  <c r="M258" i="1"/>
  <c r="M266" i="1"/>
  <c r="M288" i="1"/>
  <c r="Q276" i="1"/>
  <c r="K278" i="1"/>
  <c r="M280" i="1"/>
  <c r="O282" i="1"/>
  <c r="Q284" i="1"/>
  <c r="K286" i="1"/>
  <c r="O291" i="1"/>
  <c r="O300" i="1"/>
  <c r="M310" i="1"/>
  <c r="O310" i="1"/>
  <c r="Q311" i="1"/>
  <c r="O318" i="1"/>
  <c r="M318" i="1"/>
  <c r="O337" i="1"/>
  <c r="M337" i="1"/>
  <c r="K337" i="1"/>
  <c r="O342" i="1"/>
  <c r="M342" i="1"/>
  <c r="O344" i="1"/>
  <c r="M344" i="1"/>
  <c r="O352" i="1"/>
  <c r="O357" i="1"/>
  <c r="O387" i="1"/>
  <c r="O395" i="1"/>
  <c r="O417" i="1"/>
  <c r="O427" i="1"/>
  <c r="M477" i="1"/>
  <c r="O477" i="1"/>
  <c r="K477" i="1"/>
  <c r="Q477" i="1"/>
  <c r="O489" i="1"/>
  <c r="M489" i="1"/>
  <c r="Q489" i="1"/>
  <c r="K528" i="1"/>
  <c r="Q528" i="1"/>
  <c r="O528" i="1"/>
  <c r="M528" i="1"/>
  <c r="K562" i="1"/>
  <c r="O585" i="1"/>
  <c r="M585" i="1"/>
  <c r="O597" i="1"/>
  <c r="O609" i="1"/>
  <c r="M609" i="1"/>
  <c r="K609" i="1"/>
  <c r="Q628" i="1"/>
  <c r="O658" i="1"/>
  <c r="O838" i="1"/>
  <c r="O874" i="1"/>
  <c r="Q302" i="1"/>
  <c r="Q304" i="1"/>
  <c r="K503" i="1"/>
  <c r="Q503" i="1"/>
  <c r="M512" i="1"/>
  <c r="Q512" i="1"/>
  <c r="M521" i="1"/>
  <c r="Q521" i="1"/>
  <c r="O539" i="1"/>
  <c r="M553" i="1"/>
  <c r="O584" i="1"/>
  <c r="O608" i="1"/>
  <c r="M608" i="1"/>
  <c r="O659" i="1"/>
  <c r="Q659" i="1"/>
  <c r="M659" i="1"/>
  <c r="K662" i="1"/>
  <c r="O662" i="1"/>
  <c r="O686" i="1"/>
  <c r="M686" i="1"/>
  <c r="O734" i="1"/>
  <c r="M734" i="1"/>
  <c r="M798" i="1"/>
  <c r="O912" i="1"/>
  <c r="Q912" i="1"/>
  <c r="M912" i="1"/>
  <c r="K912" i="1"/>
  <c r="M925" i="1"/>
  <c r="O925" i="1"/>
  <c r="K925" i="1"/>
  <c r="Q925" i="1"/>
  <c r="M970" i="1"/>
  <c r="O970" i="1"/>
  <c r="Q970" i="1"/>
  <c r="O993" i="1"/>
  <c r="O1004" i="1"/>
  <c r="Q176" i="1"/>
  <c r="Q186" i="1"/>
  <c r="Q202" i="1"/>
  <c r="Q222" i="1"/>
  <c r="Q225" i="1"/>
  <c r="Q241" i="1"/>
  <c r="Q243" i="1"/>
  <c r="Q250" i="1"/>
  <c r="Q295" i="1"/>
  <c r="K301" i="1"/>
  <c r="K302" i="1"/>
  <c r="K304" i="1"/>
  <c r="Q306" i="1"/>
  <c r="Q309" i="1"/>
  <c r="Q316" i="1"/>
  <c r="K329" i="1"/>
  <c r="K335" i="1"/>
  <c r="M336" i="1"/>
  <c r="K376" i="1"/>
  <c r="Q380" i="1"/>
  <c r="Q384" i="1"/>
  <c r="Q390" i="1"/>
  <c r="Q394" i="1"/>
  <c r="Q398" i="1"/>
  <c r="Q400" i="1"/>
  <c r="Q401" i="1"/>
  <c r="Q403" i="1"/>
  <c r="Q408" i="1"/>
  <c r="Q410" i="1"/>
  <c r="Q415" i="1"/>
  <c r="Q419" i="1"/>
  <c r="Q422" i="1"/>
  <c r="K379" i="1"/>
  <c r="K473" i="1"/>
  <c r="Q473" i="1"/>
  <c r="M487" i="1"/>
  <c r="Q487" i="1"/>
  <c r="M499" i="1"/>
  <c r="Q499" i="1"/>
  <c r="M503" i="1"/>
  <c r="K512" i="1"/>
  <c r="O515" i="1"/>
  <c r="K521" i="1"/>
  <c r="M531" i="1"/>
  <c r="K539" i="1"/>
  <c r="Q553" i="1"/>
  <c r="K553" i="1"/>
  <c r="Q584" i="1"/>
  <c r="M584" i="1"/>
  <c r="K615" i="1"/>
  <c r="Q614" i="1"/>
  <c r="O647" i="1"/>
  <c r="M647" i="1"/>
  <c r="K659" i="1"/>
  <c r="M662" i="1"/>
  <c r="Q798" i="1"/>
  <c r="K798" i="1"/>
  <c r="O801" i="1"/>
  <c r="M867" i="1"/>
  <c r="O867" i="1"/>
  <c r="Q867" i="1"/>
  <c r="K867" i="1"/>
  <c r="M887" i="1"/>
  <c r="O887" i="1"/>
  <c r="Q887" i="1"/>
  <c r="K917" i="1"/>
  <c r="Q917" i="1"/>
  <c r="O917" i="1"/>
  <c r="M917" i="1"/>
  <c r="M956" i="1"/>
  <c r="O956" i="1"/>
  <c r="K956" i="1"/>
  <c r="Q956" i="1"/>
  <c r="K970" i="1"/>
  <c r="O982" i="1"/>
  <c r="M706" i="1"/>
  <c r="Q706" i="1"/>
  <c r="K706" i="1"/>
  <c r="M709" i="1"/>
  <c r="O709" i="1"/>
  <c r="K709" i="1"/>
  <c r="K711" i="1"/>
  <c r="Q711" i="1"/>
  <c r="O721" i="1"/>
  <c r="M721" i="1"/>
  <c r="O724" i="1"/>
  <c r="M724" i="1"/>
  <c r="K724" i="1"/>
  <c r="O739" i="1"/>
  <c r="M739" i="1"/>
  <c r="K739" i="1"/>
  <c r="M790" i="1"/>
  <c r="M834" i="1"/>
  <c r="Q834" i="1"/>
  <c r="M871" i="1"/>
  <c r="O871" i="1"/>
  <c r="Q871" i="1"/>
  <c r="K871" i="1"/>
  <c r="K898" i="1"/>
  <c r="Q898" i="1"/>
  <c r="O898" i="1"/>
  <c r="K922" i="1"/>
  <c r="O1022" i="1"/>
  <c r="M631" i="1"/>
  <c r="K634" i="1"/>
  <c r="Q661" i="1"/>
  <c r="K661" i="1"/>
  <c r="O685" i="1"/>
  <c r="M685" i="1"/>
  <c r="O689" i="1"/>
  <c r="M689" i="1"/>
  <c r="K689" i="1"/>
  <c r="O708" i="1"/>
  <c r="M708" i="1"/>
  <c r="O706" i="1"/>
  <c r="O711" i="1"/>
  <c r="Q724" i="1"/>
  <c r="Q739" i="1"/>
  <c r="M748" i="1"/>
  <c r="Q748" i="1"/>
  <c r="O750" i="1"/>
  <c r="M766" i="1"/>
  <c r="K766" i="1"/>
  <c r="M787" i="1"/>
  <c r="K787" i="1"/>
  <c r="K790" i="1"/>
  <c r="M800" i="1"/>
  <c r="Q800" i="1"/>
  <c r="K800" i="1"/>
  <c r="M814" i="1"/>
  <c r="Q814" i="1"/>
  <c r="O815" i="1"/>
  <c r="K834" i="1"/>
  <c r="O868" i="1"/>
  <c r="Q868" i="1"/>
  <c r="M868" i="1"/>
  <c r="O870" i="1"/>
  <c r="M870" i="1"/>
  <c r="M888" i="1"/>
  <c r="K888" i="1"/>
  <c r="Q888" i="1"/>
  <c r="M898" i="1"/>
  <c r="O991" i="1"/>
  <c r="O999" i="1"/>
  <c r="O1007" i="1"/>
  <c r="O1012" i="1"/>
  <c r="Q703" i="1"/>
  <c r="Q704" i="1"/>
  <c r="O703" i="1"/>
  <c r="Q714" i="1"/>
  <c r="O794" i="1"/>
  <c r="O840" i="1"/>
  <c r="Q860" i="1"/>
  <c r="O860" i="1"/>
  <c r="O866" i="1"/>
  <c r="M878" i="1"/>
  <c r="M885" i="1"/>
  <c r="K893" i="1"/>
  <c r="K905" i="1"/>
  <c r="Q905" i="1"/>
  <c r="M911" i="1"/>
  <c r="M964" i="1"/>
  <c r="O964" i="1"/>
  <c r="Q964" i="1"/>
  <c r="K964" i="1"/>
  <c r="O1006" i="1"/>
  <c r="O1015" i="1"/>
  <c r="O1027" i="1"/>
  <c r="M1057" i="1"/>
  <c r="M1094" i="1"/>
  <c r="K1094" i="1"/>
  <c r="Q1094" i="1"/>
  <c r="O876" i="1"/>
  <c r="M877" i="1"/>
  <c r="O877" i="1"/>
  <c r="Q877" i="1"/>
  <c r="O883" i="1"/>
  <c r="M884" i="1"/>
  <c r="O884" i="1"/>
  <c r="Q884" i="1"/>
  <c r="K889" i="1"/>
  <c r="M905" i="1"/>
  <c r="K911" i="1"/>
  <c r="K923" i="1"/>
  <c r="Q923" i="1"/>
  <c r="M942" i="1"/>
  <c r="O942" i="1"/>
  <c r="Q942" i="1"/>
  <c r="M954" i="1"/>
  <c r="K954" i="1"/>
  <c r="Q954" i="1"/>
  <c r="M958" i="1"/>
  <c r="K958" i="1"/>
  <c r="O961" i="1"/>
  <c r="M961" i="1"/>
  <c r="O965" i="1"/>
  <c r="M965" i="1"/>
  <c r="O981" i="1"/>
  <c r="O998" i="1"/>
  <c r="O1005" i="1"/>
  <c r="O1014" i="1"/>
  <c r="O1021" i="1"/>
  <c r="O1024" i="1"/>
  <c r="O1057" i="1"/>
  <c r="O1066" i="1"/>
  <c r="M1066" i="1"/>
  <c r="O1094" i="1"/>
  <c r="M1134" i="1"/>
  <c r="Q1134" i="1"/>
  <c r="O1134" i="1"/>
  <c r="K938" i="1"/>
  <c r="Q948" i="1"/>
  <c r="K948" i="1"/>
  <c r="K950" i="1"/>
  <c r="Q1121" i="1"/>
  <c r="K1121" i="1"/>
  <c r="K1122" i="1"/>
  <c r="O164" i="1"/>
  <c r="M164" i="1"/>
  <c r="K164" i="1"/>
  <c r="Q164" i="1"/>
  <c r="Q142" i="1"/>
  <c r="K142" i="1"/>
  <c r="Q156" i="1"/>
  <c r="K156" i="1"/>
  <c r="O228" i="1"/>
  <c r="M228" i="1"/>
  <c r="O238" i="1"/>
  <c r="M238" i="1"/>
  <c r="O730" i="1"/>
  <c r="Q730" i="1"/>
  <c r="M730" i="1"/>
  <c r="K730" i="1"/>
  <c r="M755" i="1"/>
  <c r="K755" i="1"/>
  <c r="Q755" i="1"/>
  <c r="O755" i="1"/>
  <c r="M805" i="1"/>
  <c r="K805" i="1"/>
  <c r="Q805" i="1"/>
  <c r="O805" i="1"/>
  <c r="M827" i="1"/>
  <c r="K827" i="1"/>
  <c r="Q827" i="1"/>
  <c r="O827" i="1"/>
  <c r="M3" i="1"/>
  <c r="M4" i="1"/>
  <c r="Q7" i="1"/>
  <c r="K7" i="1"/>
  <c r="Q8" i="1"/>
  <c r="O12" i="1"/>
  <c r="M14" i="1"/>
  <c r="M15" i="1"/>
  <c r="K17" i="1"/>
  <c r="Q18" i="1"/>
  <c r="K18" i="1"/>
  <c r="Q19" i="1"/>
  <c r="O24" i="1"/>
  <c r="M25" i="1"/>
  <c r="K28" i="1"/>
  <c r="Q29" i="1"/>
  <c r="K29" i="1"/>
  <c r="Q30" i="1"/>
  <c r="O34" i="1"/>
  <c r="M36" i="1"/>
  <c r="M37" i="1"/>
  <c r="K38" i="1"/>
  <c r="Q40" i="1"/>
  <c r="K40" i="1"/>
  <c r="Q41" i="1"/>
  <c r="O46" i="1"/>
  <c r="M49" i="1"/>
  <c r="K60" i="1"/>
  <c r="Q61" i="1"/>
  <c r="K61" i="1"/>
  <c r="Q63" i="1"/>
  <c r="O67" i="1"/>
  <c r="M68" i="1"/>
  <c r="M69" i="1"/>
  <c r="Q71" i="1"/>
  <c r="Q72" i="1"/>
  <c r="K76" i="1"/>
  <c r="K81" i="1"/>
  <c r="K88" i="1"/>
  <c r="K93" i="1"/>
  <c r="K110" i="1"/>
  <c r="K116" i="1"/>
  <c r="O125" i="1"/>
  <c r="M128" i="1"/>
  <c r="M129" i="1"/>
  <c r="K131" i="1"/>
  <c r="Q132" i="1"/>
  <c r="K132" i="1"/>
  <c r="Q133" i="1"/>
  <c r="O137" i="1"/>
  <c r="M139" i="1"/>
  <c r="M142" i="1"/>
  <c r="K143" i="1"/>
  <c r="Q150" i="1"/>
  <c r="K150" i="1"/>
  <c r="Q151" i="1"/>
  <c r="O153" i="1"/>
  <c r="M155" i="1"/>
  <c r="M156" i="1"/>
  <c r="Q157" i="1"/>
  <c r="K157" i="1"/>
  <c r="Q158" i="1"/>
  <c r="M160" i="1"/>
  <c r="K161" i="1"/>
  <c r="O162" i="1"/>
  <c r="K173" i="1"/>
  <c r="O175" i="1"/>
  <c r="M175" i="1"/>
  <c r="O191" i="1"/>
  <c r="M191" i="1"/>
  <c r="O199" i="1"/>
  <c r="M199" i="1"/>
  <c r="K205" i="1"/>
  <c r="O207" i="1"/>
  <c r="M207" i="1"/>
  <c r="O220" i="1"/>
  <c r="M220" i="1"/>
  <c r="K228" i="1"/>
  <c r="O231" i="1"/>
  <c r="M231" i="1"/>
  <c r="K238" i="1"/>
  <c r="O240" i="1"/>
  <c r="M240" i="1"/>
  <c r="O248" i="1"/>
  <c r="M248" i="1"/>
  <c r="M251" i="1"/>
  <c r="Q251" i="1"/>
  <c r="K251" i="1"/>
  <c r="O253" i="1"/>
  <c r="M257" i="1"/>
  <c r="Q257" i="1"/>
  <c r="K257" i="1"/>
  <c r="O260" i="1"/>
  <c r="O273" i="1"/>
  <c r="M273" i="1"/>
  <c r="K273" i="1"/>
  <c r="M303" i="1"/>
  <c r="O303" i="1"/>
  <c r="O323" i="1"/>
  <c r="M323" i="1"/>
  <c r="O331" i="1"/>
  <c r="M331" i="1"/>
  <c r="O339" i="1"/>
  <c r="M339" i="1"/>
  <c r="O348" i="1"/>
  <c r="M348" i="1"/>
  <c r="M381" i="1"/>
  <c r="K381" i="1"/>
  <c r="Q381" i="1"/>
  <c r="O381" i="1"/>
  <c r="M486" i="1"/>
  <c r="K486" i="1"/>
  <c r="Q486" i="1"/>
  <c r="O486" i="1"/>
  <c r="M511" i="1"/>
  <c r="K511" i="1"/>
  <c r="Q511" i="1"/>
  <c r="O511" i="1"/>
  <c r="M535" i="1"/>
  <c r="K535" i="1"/>
  <c r="Q535" i="1"/>
  <c r="O535" i="1"/>
  <c r="M561" i="1"/>
  <c r="K561" i="1"/>
  <c r="Q561" i="1"/>
  <c r="O561" i="1"/>
  <c r="O580" i="1"/>
  <c r="M580" i="1"/>
  <c r="K580" i="1"/>
  <c r="Q580" i="1"/>
  <c r="O605" i="1"/>
  <c r="M605" i="1"/>
  <c r="K605" i="1"/>
  <c r="Q605" i="1"/>
  <c r="K717" i="1"/>
  <c r="Q717" i="1"/>
  <c r="O717" i="1"/>
  <c r="M717" i="1"/>
  <c r="Q6" i="1"/>
  <c r="Q17" i="1"/>
  <c r="Q26" i="1"/>
  <c r="K26" i="1"/>
  <c r="Q38" i="1"/>
  <c r="Q50" i="1"/>
  <c r="K50" i="1"/>
  <c r="Q116" i="1"/>
  <c r="Q131" i="1"/>
  <c r="O219" i="1"/>
  <c r="M219" i="1"/>
  <c r="O246" i="1"/>
  <c r="M246" i="1"/>
  <c r="O256" i="1"/>
  <c r="Q256" i="1"/>
  <c r="O270" i="1"/>
  <c r="M270" i="1"/>
  <c r="M297" i="1"/>
  <c r="O297" i="1"/>
  <c r="M319" i="1"/>
  <c r="O319" i="1"/>
  <c r="Q340" i="1"/>
  <c r="K340" i="1"/>
  <c r="O340" i="1"/>
  <c r="M340" i="1"/>
  <c r="Q349" i="1"/>
  <c r="K349" i="1"/>
  <c r="O349" i="1"/>
  <c r="M349" i="1"/>
  <c r="M6" i="1"/>
  <c r="Q10" i="1"/>
  <c r="K10" i="1"/>
  <c r="Q11" i="1"/>
  <c r="M17" i="1"/>
  <c r="Q21" i="1"/>
  <c r="K21" i="1"/>
  <c r="Q22" i="1"/>
  <c r="O26" i="1"/>
  <c r="M28" i="1"/>
  <c r="Q32" i="1"/>
  <c r="K32" i="1"/>
  <c r="Q33" i="1"/>
  <c r="M38" i="1"/>
  <c r="Q42" i="1"/>
  <c r="K42" i="1"/>
  <c r="Q45" i="1"/>
  <c r="O50" i="1"/>
  <c r="M60" i="1"/>
  <c r="Q64" i="1"/>
  <c r="K64" i="1"/>
  <c r="Q65" i="1"/>
  <c r="K72" i="1"/>
  <c r="Q73" i="1"/>
  <c r="O76" i="1"/>
  <c r="Q79" i="1"/>
  <c r="O81" i="1"/>
  <c r="Q84" i="1"/>
  <c r="O88" i="1"/>
  <c r="Q91" i="1"/>
  <c r="O93" i="1"/>
  <c r="Q96" i="1"/>
  <c r="O110" i="1"/>
  <c r="Q113" i="1"/>
  <c r="O116" i="1"/>
  <c r="Q118" i="1"/>
  <c r="M131" i="1"/>
  <c r="Q135" i="1"/>
  <c r="K135" i="1"/>
  <c r="Q136" i="1"/>
  <c r="O142" i="1"/>
  <c r="M143" i="1"/>
  <c r="Q152" i="1"/>
  <c r="O156" i="1"/>
  <c r="Q159" i="1"/>
  <c r="M161" i="1"/>
  <c r="O167" i="1"/>
  <c r="M167" i="1"/>
  <c r="O178" i="1"/>
  <c r="M178" i="1"/>
  <c r="O208" i="1"/>
  <c r="M208" i="1"/>
  <c r="O223" i="1"/>
  <c r="M223" i="1"/>
  <c r="O234" i="1"/>
  <c r="M234" i="1"/>
  <c r="O242" i="1"/>
  <c r="M242" i="1"/>
  <c r="K256" i="1"/>
  <c r="M265" i="1"/>
  <c r="Q265" i="1"/>
  <c r="K265" i="1"/>
  <c r="Q270" i="1"/>
  <c r="M277" i="1"/>
  <c r="O277" i="1"/>
  <c r="K277" i="1"/>
  <c r="M281" i="1"/>
  <c r="O281" i="1"/>
  <c r="K281" i="1"/>
  <c r="M285" i="1"/>
  <c r="O285" i="1"/>
  <c r="K285" i="1"/>
  <c r="Q297" i="1"/>
  <c r="M307" i="1"/>
  <c r="O307" i="1"/>
  <c r="Q319" i="1"/>
  <c r="O325" i="1"/>
  <c r="M325" i="1"/>
  <c r="K325" i="1"/>
  <c r="O333" i="1"/>
  <c r="M333" i="1"/>
  <c r="K333" i="1"/>
  <c r="O341" i="1"/>
  <c r="M341" i="1"/>
  <c r="K341" i="1"/>
  <c r="O351" i="1"/>
  <c r="M351" i="1"/>
  <c r="K351" i="1"/>
  <c r="O369" i="1"/>
  <c r="M369" i="1"/>
  <c r="K369" i="1"/>
  <c r="O603" i="1"/>
  <c r="Q603" i="1"/>
  <c r="M603" i="1"/>
  <c r="K603" i="1"/>
  <c r="K690" i="1"/>
  <c r="Q690" i="1"/>
  <c r="O690" i="1"/>
  <c r="M690" i="1"/>
  <c r="Q4" i="1"/>
  <c r="K4" i="1"/>
  <c r="Q15" i="1"/>
  <c r="K15" i="1"/>
  <c r="Q28" i="1"/>
  <c r="Q37" i="1"/>
  <c r="K37" i="1"/>
  <c r="Q60" i="1"/>
  <c r="Q69" i="1"/>
  <c r="K69" i="1"/>
  <c r="O72" i="1"/>
  <c r="Q76" i="1"/>
  <c r="Q81" i="1"/>
  <c r="Q88" i="1"/>
  <c r="Q93" i="1"/>
  <c r="Q110" i="1"/>
  <c r="Q129" i="1"/>
  <c r="K129" i="1"/>
  <c r="Q143" i="1"/>
  <c r="Q161" i="1"/>
  <c r="O173" i="1"/>
  <c r="M173" i="1"/>
  <c r="O205" i="1"/>
  <c r="M205" i="1"/>
  <c r="M253" i="1"/>
  <c r="Q253" i="1"/>
  <c r="K253" i="1"/>
  <c r="M260" i="1"/>
  <c r="Q260" i="1"/>
  <c r="K260" i="1"/>
  <c r="Q324" i="1"/>
  <c r="K324" i="1"/>
  <c r="O324" i="1"/>
  <c r="M324" i="1"/>
  <c r="Q332" i="1"/>
  <c r="K332" i="1"/>
  <c r="O332" i="1"/>
  <c r="M332" i="1"/>
  <c r="Q3" i="1"/>
  <c r="Q12" i="1"/>
  <c r="K12" i="1"/>
  <c r="Q14" i="1"/>
  <c r="Q24" i="1"/>
  <c r="K24" i="1"/>
  <c r="Q25" i="1"/>
  <c r="Q34" i="1"/>
  <c r="K34" i="1"/>
  <c r="Q36" i="1"/>
  <c r="Q46" i="1"/>
  <c r="K46" i="1"/>
  <c r="Q49" i="1"/>
  <c r="Q67" i="1"/>
  <c r="K67" i="1"/>
  <c r="Q68" i="1"/>
  <c r="M72" i="1"/>
  <c r="Q125" i="1"/>
  <c r="K125" i="1"/>
  <c r="Q128" i="1"/>
  <c r="Q137" i="1"/>
  <c r="K137" i="1"/>
  <c r="Q139" i="1"/>
  <c r="Q153" i="1"/>
  <c r="K153" i="1"/>
  <c r="Q155" i="1"/>
  <c r="Q160" i="1"/>
  <c r="Q162" i="1"/>
  <c r="O169" i="1"/>
  <c r="M169" i="1"/>
  <c r="Q173" i="1"/>
  <c r="O195" i="1"/>
  <c r="M195" i="1"/>
  <c r="O203" i="1"/>
  <c r="M203" i="1"/>
  <c r="Q205" i="1"/>
  <c r="O217" i="1"/>
  <c r="M217" i="1"/>
  <c r="Q219" i="1"/>
  <c r="O226" i="1"/>
  <c r="M226" i="1"/>
  <c r="Q228" i="1"/>
  <c r="O236" i="1"/>
  <c r="M236" i="1"/>
  <c r="Q238" i="1"/>
  <c r="O244" i="1"/>
  <c r="M244" i="1"/>
  <c r="Q246" i="1"/>
  <c r="M255" i="1"/>
  <c r="Q255" i="1"/>
  <c r="K255" i="1"/>
  <c r="M256" i="1"/>
  <c r="M262" i="1"/>
  <c r="Q262" i="1"/>
  <c r="K262" i="1"/>
  <c r="Q271" i="1"/>
  <c r="K271" i="1"/>
  <c r="O271" i="1"/>
  <c r="M271" i="1"/>
  <c r="M290" i="1"/>
  <c r="O290" i="1"/>
  <c r="M313" i="1"/>
  <c r="O313" i="1"/>
  <c r="Q322" i="1"/>
  <c r="K322" i="1"/>
  <c r="O322" i="1"/>
  <c r="Q330" i="1"/>
  <c r="K330" i="1"/>
  <c r="O330" i="1"/>
  <c r="Q338" i="1"/>
  <c r="K338" i="1"/>
  <c r="O338" i="1"/>
  <c r="Q347" i="1"/>
  <c r="K347" i="1"/>
  <c r="O347" i="1"/>
  <c r="Q366" i="1"/>
  <c r="K366" i="1"/>
  <c r="O366" i="1"/>
  <c r="M378" i="1"/>
  <c r="Q378" i="1"/>
  <c r="K378" i="1"/>
  <c r="M377" i="1"/>
  <c r="K377" i="1"/>
  <c r="Q377" i="1"/>
  <c r="O377" i="1"/>
  <c r="M500" i="1"/>
  <c r="K500" i="1"/>
  <c r="Q500" i="1"/>
  <c r="O500" i="1"/>
  <c r="M524" i="1"/>
  <c r="K524" i="1"/>
  <c r="Q524" i="1"/>
  <c r="O524" i="1"/>
  <c r="M547" i="1"/>
  <c r="K547" i="1"/>
  <c r="Q547" i="1"/>
  <c r="O547" i="1"/>
  <c r="M574" i="1"/>
  <c r="K574" i="1"/>
  <c r="Q574" i="1"/>
  <c r="O574" i="1"/>
  <c r="O595" i="1"/>
  <c r="M595" i="1"/>
  <c r="K595" i="1"/>
  <c r="Q595" i="1"/>
  <c r="O389" i="1"/>
  <c r="M389" i="1"/>
  <c r="Q389" i="1"/>
  <c r="M480" i="1"/>
  <c r="K480" i="1"/>
  <c r="Q480" i="1"/>
  <c r="O480" i="1"/>
  <c r="M498" i="1"/>
  <c r="K498" i="1"/>
  <c r="Q498" i="1"/>
  <c r="O498" i="1"/>
  <c r="M509" i="1"/>
  <c r="K509" i="1"/>
  <c r="Q509" i="1"/>
  <c r="O509" i="1"/>
  <c r="M520" i="1"/>
  <c r="K520" i="1"/>
  <c r="Q520" i="1"/>
  <c r="O520" i="1"/>
  <c r="M532" i="1"/>
  <c r="K532" i="1"/>
  <c r="Q532" i="1"/>
  <c r="O532" i="1"/>
  <c r="M543" i="1"/>
  <c r="K543" i="1"/>
  <c r="Q543" i="1"/>
  <c r="O543" i="1"/>
  <c r="M558" i="1"/>
  <c r="K558" i="1"/>
  <c r="Q558" i="1"/>
  <c r="O558" i="1"/>
  <c r="M570" i="1"/>
  <c r="K570" i="1"/>
  <c r="Q570" i="1"/>
  <c r="O570" i="1"/>
  <c r="K610" i="1"/>
  <c r="Q610" i="1"/>
  <c r="O610" i="1"/>
  <c r="K612" i="1"/>
  <c r="Q612" i="1"/>
  <c r="O612" i="1"/>
  <c r="M612" i="1"/>
  <c r="K620" i="1"/>
  <c r="Q620" i="1"/>
  <c r="O620" i="1"/>
  <c r="K635" i="1"/>
  <c r="Q635" i="1"/>
  <c r="O635" i="1"/>
  <c r="M635" i="1"/>
  <c r="K656" i="1"/>
  <c r="Q656" i="1"/>
  <c r="O656" i="1"/>
  <c r="M656" i="1"/>
  <c r="K665" i="1"/>
  <c r="Q665" i="1"/>
  <c r="O665" i="1"/>
  <c r="M683" i="1"/>
  <c r="Q683" i="1"/>
  <c r="O683" i="1"/>
  <c r="K683" i="1"/>
  <c r="O718" i="1"/>
  <c r="M718" i="1"/>
  <c r="K718" i="1"/>
  <c r="M747" i="1"/>
  <c r="K747" i="1"/>
  <c r="Q747" i="1"/>
  <c r="O747" i="1"/>
  <c r="O249" i="1"/>
  <c r="O252" i="1"/>
  <c r="O258" i="1"/>
  <c r="O261" i="1"/>
  <c r="O264" i="1"/>
  <c r="O266" i="1"/>
  <c r="Q274" i="1"/>
  <c r="K274" i="1"/>
  <c r="Q275" i="1"/>
  <c r="O288" i="1"/>
  <c r="Q292" i="1"/>
  <c r="Q301" i="1"/>
  <c r="Q305" i="1"/>
  <c r="Q310" i="1"/>
  <c r="Q317" i="1"/>
  <c r="Q326" i="1"/>
  <c r="K326" i="1"/>
  <c r="Q327" i="1"/>
  <c r="Q334" i="1"/>
  <c r="K334" i="1"/>
  <c r="Q335" i="1"/>
  <c r="Q342" i="1"/>
  <c r="K342" i="1"/>
  <c r="Q343" i="1"/>
  <c r="Q352" i="1"/>
  <c r="K352" i="1"/>
  <c r="Q354" i="1"/>
  <c r="Q372" i="1"/>
  <c r="K372" i="1"/>
  <c r="Q371" i="1"/>
  <c r="K389" i="1"/>
  <c r="M476" i="1"/>
  <c r="K476" i="1"/>
  <c r="Q476" i="1"/>
  <c r="O476" i="1"/>
  <c r="M493" i="1"/>
  <c r="K493" i="1"/>
  <c r="Q493" i="1"/>
  <c r="O493" i="1"/>
  <c r="M505" i="1"/>
  <c r="K505" i="1"/>
  <c r="Q505" i="1"/>
  <c r="O505" i="1"/>
  <c r="M516" i="1"/>
  <c r="K516" i="1"/>
  <c r="Q516" i="1"/>
  <c r="O516" i="1"/>
  <c r="M529" i="1"/>
  <c r="K529" i="1"/>
  <c r="Q529" i="1"/>
  <c r="O529" i="1"/>
  <c r="M540" i="1"/>
  <c r="K540" i="1"/>
  <c r="Q540" i="1"/>
  <c r="O540" i="1"/>
  <c r="M551" i="1"/>
  <c r="K551" i="1"/>
  <c r="Q551" i="1"/>
  <c r="O551" i="1"/>
  <c r="M566" i="1"/>
  <c r="K566" i="1"/>
  <c r="Q566" i="1"/>
  <c r="O566" i="1"/>
  <c r="K576" i="1"/>
  <c r="O576" i="1"/>
  <c r="Q576" i="1"/>
  <c r="K592" i="1"/>
  <c r="Q592" i="1"/>
  <c r="O592" i="1"/>
  <c r="M592" i="1"/>
  <c r="K604" i="1"/>
  <c r="Q604" i="1"/>
  <c r="O604" i="1"/>
  <c r="M604" i="1"/>
  <c r="M610" i="1"/>
  <c r="M620" i="1"/>
  <c r="K627" i="1"/>
  <c r="Q627" i="1"/>
  <c r="O627" i="1"/>
  <c r="M627" i="1"/>
  <c r="O638" i="1"/>
  <c r="Q638" i="1"/>
  <c r="M638" i="1"/>
  <c r="M665" i="1"/>
  <c r="K677" i="1"/>
  <c r="Q677" i="1"/>
  <c r="O677" i="1"/>
  <c r="M677" i="1"/>
  <c r="O691" i="1"/>
  <c r="M691" i="1"/>
  <c r="Q691" i="1"/>
  <c r="K691" i="1"/>
  <c r="M799" i="1"/>
  <c r="K799" i="1"/>
  <c r="Q799" i="1"/>
  <c r="O799" i="1"/>
  <c r="M861" i="1"/>
  <c r="O861" i="1"/>
  <c r="Q861" i="1"/>
  <c r="K861" i="1"/>
  <c r="Q279" i="1"/>
  <c r="Q283" i="1"/>
  <c r="Q287" i="1"/>
  <c r="Q288" i="1"/>
  <c r="Q321" i="1"/>
  <c r="Q328" i="1"/>
  <c r="K328" i="1"/>
  <c r="Q329" i="1"/>
  <c r="Q336" i="1"/>
  <c r="K336" i="1"/>
  <c r="Q337" i="1"/>
  <c r="Q344" i="1"/>
  <c r="K344" i="1"/>
  <c r="Q345" i="1"/>
  <c r="Q357" i="1"/>
  <c r="K357" i="1"/>
  <c r="Q358" i="1"/>
  <c r="Q374" i="1"/>
  <c r="K374" i="1"/>
  <c r="Q376" i="1"/>
  <c r="M370" i="1"/>
  <c r="Q370" i="1"/>
  <c r="K370" i="1"/>
  <c r="O370" i="1"/>
  <c r="M386" i="1"/>
  <c r="K386" i="1"/>
  <c r="Q386" i="1"/>
  <c r="O386" i="1"/>
  <c r="M472" i="1"/>
  <c r="K472" i="1"/>
  <c r="Q472" i="1"/>
  <c r="O472" i="1"/>
  <c r="M488" i="1"/>
  <c r="K488" i="1"/>
  <c r="Q488" i="1"/>
  <c r="O488" i="1"/>
  <c r="M502" i="1"/>
  <c r="K502" i="1"/>
  <c r="Q502" i="1"/>
  <c r="O502" i="1"/>
  <c r="M513" i="1"/>
  <c r="K513" i="1"/>
  <c r="Q513" i="1"/>
  <c r="O513" i="1"/>
  <c r="M527" i="1"/>
  <c r="K527" i="1"/>
  <c r="Q527" i="1"/>
  <c r="O527" i="1"/>
  <c r="M537" i="1"/>
  <c r="K537" i="1"/>
  <c r="Q537" i="1"/>
  <c r="O537" i="1"/>
  <c r="M545" i="1"/>
  <c r="K545" i="1"/>
  <c r="Q545" i="1"/>
  <c r="O545" i="1"/>
  <c r="M563" i="1"/>
  <c r="K563" i="1"/>
  <c r="Q563" i="1"/>
  <c r="O563" i="1"/>
  <c r="K579" i="1"/>
  <c r="Q579" i="1"/>
  <c r="O579" i="1"/>
  <c r="M579" i="1"/>
  <c r="O593" i="1"/>
  <c r="Q593" i="1"/>
  <c r="M593" i="1"/>
  <c r="O611" i="1"/>
  <c r="Q611" i="1"/>
  <c r="M611" i="1"/>
  <c r="K611" i="1"/>
  <c r="O628" i="1"/>
  <c r="M628" i="1"/>
  <c r="K628" i="1"/>
  <c r="K638" i="1"/>
  <c r="O653" i="1"/>
  <c r="Q653" i="1"/>
  <c r="M653" i="1"/>
  <c r="O657" i="1"/>
  <c r="M657" i="1"/>
  <c r="K657" i="1"/>
  <c r="Q657" i="1"/>
  <c r="O680" i="1"/>
  <c r="M680" i="1"/>
  <c r="K680" i="1"/>
  <c r="M693" i="1"/>
  <c r="O693" i="1"/>
  <c r="M697" i="1"/>
  <c r="O697" i="1"/>
  <c r="Q697" i="1"/>
  <c r="K715" i="1"/>
  <c r="Q715" i="1"/>
  <c r="O715" i="1"/>
  <c r="Q718" i="1"/>
  <c r="K726" i="1"/>
  <c r="Q726" i="1"/>
  <c r="O726" i="1"/>
  <c r="M726" i="1"/>
  <c r="M382" i="1"/>
  <c r="Q382" i="1"/>
  <c r="K382" i="1"/>
  <c r="M387" i="1"/>
  <c r="Q387" i="1"/>
  <c r="K387" i="1"/>
  <c r="M392" i="1"/>
  <c r="Q392" i="1"/>
  <c r="K392" i="1"/>
  <c r="M395" i="1"/>
  <c r="Q395" i="1"/>
  <c r="K395" i="1"/>
  <c r="M397" i="1"/>
  <c r="Q397" i="1"/>
  <c r="K397" i="1"/>
  <c r="M406" i="1"/>
  <c r="Q406" i="1"/>
  <c r="K406" i="1"/>
  <c r="M412" i="1"/>
  <c r="Q412" i="1"/>
  <c r="K412" i="1"/>
  <c r="M417" i="1"/>
  <c r="Q417" i="1"/>
  <c r="K417" i="1"/>
  <c r="M421" i="1"/>
  <c r="Q421" i="1"/>
  <c r="K421" i="1"/>
  <c r="M427" i="1"/>
  <c r="K427" i="1"/>
  <c r="M431" i="1"/>
  <c r="K431" i="1"/>
  <c r="O577" i="1"/>
  <c r="Q577" i="1"/>
  <c r="M577" i="1"/>
  <c r="K594" i="1"/>
  <c r="Q594" i="1"/>
  <c r="O594" i="1"/>
  <c r="M594" i="1"/>
  <c r="K601" i="1"/>
  <c r="Q601" i="1"/>
  <c r="O601" i="1"/>
  <c r="O614" i="1"/>
  <c r="M614" i="1"/>
  <c r="K614" i="1"/>
  <c r="O622" i="1"/>
  <c r="Q622" i="1"/>
  <c r="M622" i="1"/>
  <c r="K639" i="1"/>
  <c r="Q639" i="1"/>
  <c r="O639" i="1"/>
  <c r="M639" i="1"/>
  <c r="K651" i="1"/>
  <c r="Q650" i="1"/>
  <c r="O651" i="1"/>
  <c r="O676" i="1"/>
  <c r="Q676" i="1"/>
  <c r="M676" i="1"/>
  <c r="O716" i="1"/>
  <c r="Q716" i="1"/>
  <c r="M716" i="1"/>
  <c r="K728" i="1"/>
  <c r="Q728" i="1"/>
  <c r="O728" i="1"/>
  <c r="M728" i="1"/>
  <c r="M760" i="1"/>
  <c r="K760" i="1"/>
  <c r="Q760" i="1"/>
  <c r="O760" i="1"/>
  <c r="M795" i="1"/>
  <c r="K795" i="1"/>
  <c r="O795" i="1"/>
  <c r="K581" i="1"/>
  <c r="Q581" i="1"/>
  <c r="K597" i="1"/>
  <c r="Q597" i="1"/>
  <c r="K606" i="1"/>
  <c r="Q606" i="1"/>
  <c r="O616" i="1"/>
  <c r="Q615" i="1"/>
  <c r="K630" i="1"/>
  <c r="Q630" i="1"/>
  <c r="K658" i="1"/>
  <c r="Q658" i="1"/>
  <c r="K720" i="1"/>
  <c r="Q720" i="1"/>
  <c r="K731" i="1"/>
  <c r="Q731" i="1"/>
  <c r="O791" i="1"/>
  <c r="M791" i="1"/>
  <c r="Q791" i="1"/>
  <c r="K791" i="1"/>
  <c r="M813" i="1"/>
  <c r="K813" i="1"/>
  <c r="Q813" i="1"/>
  <c r="M820" i="1"/>
  <c r="K820" i="1"/>
  <c r="Q820" i="1"/>
  <c r="O820" i="1"/>
  <c r="M897" i="1"/>
  <c r="O897" i="1"/>
  <c r="Q897" i="1"/>
  <c r="O924" i="1"/>
  <c r="M924" i="1"/>
  <c r="Q924" i="1"/>
  <c r="K924" i="1"/>
  <c r="M953" i="1"/>
  <c r="O953" i="1"/>
  <c r="Q953" i="1"/>
  <c r="K953" i="1"/>
  <c r="M581" i="1"/>
  <c r="K584" i="1"/>
  <c r="K585" i="1"/>
  <c r="Q585" i="1"/>
  <c r="M597" i="1"/>
  <c r="K598" i="1"/>
  <c r="K599" i="1"/>
  <c r="Q599" i="1"/>
  <c r="M606" i="1"/>
  <c r="K607" i="1"/>
  <c r="K608" i="1"/>
  <c r="Q608" i="1"/>
  <c r="M615" i="1"/>
  <c r="K616" i="1"/>
  <c r="K618" i="1"/>
  <c r="Q618" i="1"/>
  <c r="M630" i="1"/>
  <c r="K631" i="1"/>
  <c r="K633" i="1"/>
  <c r="Q633" i="1"/>
  <c r="K645" i="1"/>
  <c r="K647" i="1"/>
  <c r="Q647" i="1"/>
  <c r="M658" i="1"/>
  <c r="K685" i="1"/>
  <c r="K686" i="1"/>
  <c r="Q686" i="1"/>
  <c r="K700" i="1"/>
  <c r="K707" i="1"/>
  <c r="K708" i="1"/>
  <c r="M711" i="1"/>
  <c r="K712" i="1"/>
  <c r="K713" i="1"/>
  <c r="Q713" i="1"/>
  <c r="M720" i="1"/>
  <c r="K721" i="1"/>
  <c r="K723" i="1"/>
  <c r="Q723" i="1"/>
  <c r="Q727" i="1"/>
  <c r="M731" i="1"/>
  <c r="K732" i="1"/>
  <c r="K734" i="1"/>
  <c r="Q734" i="1"/>
  <c r="M744" i="1"/>
  <c r="K744" i="1"/>
  <c r="Q744" i="1"/>
  <c r="O744" i="1"/>
  <c r="M750" i="1"/>
  <c r="K750" i="1"/>
  <c r="Q750" i="1"/>
  <c r="M797" i="1"/>
  <c r="K797" i="1"/>
  <c r="Q797" i="1"/>
  <c r="M803" i="1"/>
  <c r="K803" i="1"/>
  <c r="O803" i="1"/>
  <c r="M807" i="1"/>
  <c r="K807" i="1"/>
  <c r="Q807" i="1"/>
  <c r="O813" i="1"/>
  <c r="M833" i="1"/>
  <c r="K833" i="1"/>
  <c r="Q833" i="1"/>
  <c r="M848" i="1"/>
  <c r="K848" i="1"/>
  <c r="Q848" i="1"/>
  <c r="O848" i="1"/>
  <c r="M875" i="1"/>
  <c r="O875" i="1"/>
  <c r="Q875" i="1"/>
  <c r="K897" i="1"/>
  <c r="M903" i="1"/>
  <c r="O903" i="1"/>
  <c r="Q903" i="1"/>
  <c r="K903" i="1"/>
  <c r="O731" i="1"/>
  <c r="M732" i="1"/>
  <c r="O740" i="1"/>
  <c r="K740" i="1"/>
  <c r="Q740" i="1"/>
  <c r="M789" i="1"/>
  <c r="K789" i="1"/>
  <c r="Q789" i="1"/>
  <c r="M815" i="1"/>
  <c r="K815" i="1"/>
  <c r="Q815" i="1"/>
  <c r="O833" i="1"/>
  <c r="M851" i="1"/>
  <c r="K851" i="1"/>
  <c r="Q851" i="1"/>
  <c r="M856" i="1"/>
  <c r="O856" i="1"/>
  <c r="Q856" i="1"/>
  <c r="K875" i="1"/>
  <c r="M880" i="1"/>
  <c r="O880" i="1"/>
  <c r="Q880" i="1"/>
  <c r="K880" i="1"/>
  <c r="M742" i="1"/>
  <c r="K742" i="1"/>
  <c r="M752" i="1"/>
  <c r="K752" i="1"/>
  <c r="Q752" i="1"/>
  <c r="M765" i="1"/>
  <c r="K765" i="1"/>
  <c r="Q765" i="1"/>
  <c r="M801" i="1"/>
  <c r="K801" i="1"/>
  <c r="Q801" i="1"/>
  <c r="M818" i="1"/>
  <c r="K818" i="1"/>
  <c r="Q818" i="1"/>
  <c r="M824" i="1"/>
  <c r="K824" i="1"/>
  <c r="Q824" i="1"/>
  <c r="M845" i="1"/>
  <c r="K845" i="1"/>
  <c r="Q845" i="1"/>
  <c r="M865" i="1"/>
  <c r="O865" i="1"/>
  <c r="Q865" i="1"/>
  <c r="M886" i="1"/>
  <c r="O886" i="1"/>
  <c r="Q886" i="1"/>
  <c r="M909" i="1"/>
  <c r="O909" i="1"/>
  <c r="Q909" i="1"/>
  <c r="O916" i="1"/>
  <c r="M916" i="1"/>
  <c r="Q916" i="1"/>
  <c r="K916" i="1"/>
  <c r="M946" i="1"/>
  <c r="O946" i="1"/>
  <c r="Q946" i="1"/>
  <c r="K946" i="1"/>
  <c r="M838" i="1"/>
  <c r="K838" i="1"/>
  <c r="Q838" i="1"/>
  <c r="M843" i="1"/>
  <c r="Q843" i="1"/>
  <c r="K843" i="1"/>
  <c r="M869" i="1"/>
  <c r="O869" i="1"/>
  <c r="Q869" i="1"/>
  <c r="M892" i="1"/>
  <c r="O892" i="1"/>
  <c r="Q892" i="1"/>
  <c r="O913" i="1"/>
  <c r="M913" i="1"/>
  <c r="Q913" i="1"/>
  <c r="M940" i="1"/>
  <c r="O940" i="1"/>
  <c r="Q940" i="1"/>
  <c r="K940" i="1"/>
  <c r="O743" i="1"/>
  <c r="O746" i="1"/>
  <c r="O748" i="1"/>
  <c r="O751" i="1"/>
  <c r="O753" i="1"/>
  <c r="O757" i="1"/>
  <c r="O759" i="1"/>
  <c r="O762" i="1"/>
  <c r="O766" i="1"/>
  <c r="O787" i="1"/>
  <c r="O790" i="1"/>
  <c r="O796" i="1"/>
  <c r="O798" i="1"/>
  <c r="O800" i="1"/>
  <c r="O804" i="1"/>
  <c r="O806" i="1"/>
  <c r="O808" i="1"/>
  <c r="O814" i="1"/>
  <c r="O816" i="1"/>
  <c r="O819" i="1"/>
  <c r="O823" i="1"/>
  <c r="O826" i="1"/>
  <c r="O828" i="1"/>
  <c r="O834" i="1"/>
  <c r="O844" i="1"/>
  <c r="O847" i="1"/>
  <c r="O849" i="1"/>
  <c r="O918" i="1"/>
  <c r="M918" i="1"/>
  <c r="Q922" i="1"/>
  <c r="O939" i="1"/>
  <c r="M939" i="1"/>
  <c r="O973" i="1"/>
  <c r="O920" i="1"/>
  <c r="M920" i="1"/>
  <c r="M968" i="1"/>
  <c r="O968" i="1"/>
  <c r="Q968" i="1"/>
  <c r="K968" i="1"/>
  <c r="O922" i="1"/>
  <c r="M922" i="1"/>
  <c r="M960" i="1"/>
  <c r="O960" i="1"/>
  <c r="K960" i="1"/>
  <c r="Q958" i="1"/>
  <c r="O1052" i="1"/>
  <c r="Q1084" i="1"/>
  <c r="O1084" i="1"/>
  <c r="M1084" i="1"/>
  <c r="O977" i="1"/>
  <c r="O983" i="1"/>
  <c r="O1025" i="1"/>
  <c r="O1059" i="1"/>
  <c r="M1059" i="1"/>
  <c r="O1062" i="1"/>
  <c r="M1062" i="1"/>
  <c r="O1081" i="1"/>
  <c r="M1081" i="1"/>
  <c r="K1120" i="1"/>
  <c r="Q1120" i="1"/>
  <c r="O1120" i="1"/>
  <c r="M1120" i="1"/>
  <c r="O1079" i="1"/>
  <c r="M1079" i="1"/>
  <c r="O1000" i="1"/>
  <c r="O1061" i="1"/>
  <c r="O1123" i="1"/>
  <c r="M1123" i="1"/>
  <c r="K1123" i="1"/>
  <c r="Q1123" i="1"/>
  <c r="M1061" i="1"/>
  <c r="O1068" i="1"/>
  <c r="M1068" i="1"/>
  <c r="Q1092" i="1"/>
  <c r="O1092" i="1"/>
  <c r="M1092" i="1"/>
  <c r="O1023" i="1"/>
  <c r="O1033" i="1"/>
  <c r="M1122" i="1"/>
  <c r="M1124" i="1"/>
  <c r="K1125" i="1"/>
  <c r="Q1133" i="1"/>
  <c r="M1133" i="1"/>
  <c r="O1142" i="1"/>
  <c r="K1145" i="1"/>
  <c r="M1125" i="1"/>
  <c r="M1145" i="1"/>
  <c r="O1125" i="1"/>
  <c r="Q1145" i="1"/>
  <c r="O1145" i="1"/>
  <c r="B219" i="1" l="1"/>
  <c r="B215" i="1"/>
  <c r="B218" i="1"/>
  <c r="B214" i="1"/>
  <c r="B216" i="1"/>
  <c r="B217" i="1"/>
  <c r="B213" i="1"/>
  <c r="B212" i="1"/>
  <c r="B210" i="1"/>
  <c r="B211" i="1"/>
  <c r="B209" i="1"/>
  <c r="B208" i="1"/>
  <c r="B6921" i="1"/>
  <c r="B6783" i="1"/>
  <c r="Q1056" i="1"/>
  <c r="M1056" i="1"/>
  <c r="K1056" i="1"/>
  <c r="B2451" i="1"/>
  <c r="B2974" i="1" s="1"/>
  <c r="O1056" i="1"/>
  <c r="Q966" i="1"/>
  <c r="O966" i="1"/>
  <c r="M966" i="1"/>
  <c r="K966" i="1"/>
  <c r="B958" i="1"/>
  <c r="B2912" i="1"/>
  <c r="B2914" i="1"/>
  <c r="B2221" i="1"/>
  <c r="B2915" i="1"/>
  <c r="B2224" i="1"/>
  <c r="B2916" i="1"/>
  <c r="B2217" i="1"/>
  <c r="B2913" i="1"/>
  <c r="B2220" i="1"/>
  <c r="B2893" i="1"/>
  <c r="B2205" i="1"/>
  <c r="B2909" i="1"/>
  <c r="B2204" i="1"/>
  <c r="B2911" i="1"/>
  <c r="B2208" i="1"/>
  <c r="B2906" i="1"/>
  <c r="B2192" i="1"/>
  <c r="B2888" i="1"/>
  <c r="B2191" i="1"/>
  <c r="B2903" i="1"/>
  <c r="B2186" i="1"/>
  <c r="B2904" i="1"/>
  <c r="B2183" i="1"/>
  <c r="B2900" i="1"/>
  <c r="B2169" i="1"/>
  <c r="B2902" i="1"/>
  <c r="B2172" i="1"/>
  <c r="B2901" i="1"/>
  <c r="B2166" i="1"/>
  <c r="B2881" i="1"/>
  <c r="B2150" i="1"/>
  <c r="B2880" i="1"/>
  <c r="B2137" i="1"/>
  <c r="B2879" i="1"/>
  <c r="B2140" i="1"/>
  <c r="B2845" i="1"/>
  <c r="B2857" i="1"/>
  <c r="B2360" i="1"/>
  <c r="B956" i="1"/>
  <c r="B2848" i="1"/>
  <c r="B166" i="1"/>
  <c r="B961" i="1"/>
  <c r="B2896" i="1"/>
  <c r="B2910" i="1"/>
  <c r="B2899" i="1"/>
  <c r="B2894" i="1"/>
  <c r="B2711" i="1"/>
  <c r="B2905" i="1"/>
  <c r="B2898" i="1"/>
  <c r="B2713" i="1"/>
  <c r="B176" i="1"/>
  <c r="B168" i="1"/>
  <c r="B175" i="1"/>
  <c r="B167" i="1"/>
  <c r="B8447" i="1"/>
  <c r="B8412" i="1"/>
  <c r="B8453" i="1"/>
  <c r="B8430" i="1"/>
  <c r="B8403" i="1"/>
  <c r="B4910" i="1"/>
  <c r="B8421" i="1"/>
  <c r="B1600" i="1"/>
  <c r="B2769" i="1"/>
  <c r="B9817" i="1"/>
  <c r="B9629" i="1"/>
  <c r="B1602" i="1"/>
  <c r="B1601" i="1"/>
  <c r="B2929" i="1"/>
  <c r="B1030" i="1"/>
  <c r="B1031" i="1"/>
  <c r="B993" i="1"/>
  <c r="B1010" i="1"/>
  <c r="B1040" i="1"/>
  <c r="B2624" i="1"/>
  <c r="B2636" i="1"/>
  <c r="B962" i="1"/>
  <c r="B2669" i="1"/>
  <c r="B925" i="1"/>
  <c r="B1002" i="1"/>
  <c r="B1017" i="1"/>
  <c r="B2785" i="1"/>
  <c r="B2865" i="1"/>
  <c r="B2620" i="1"/>
  <c r="B1101" i="1"/>
  <c r="B1087" i="1"/>
  <c r="B1028" i="1"/>
  <c r="B984" i="1"/>
  <c r="B1077" i="1"/>
  <c r="B1054" i="1"/>
  <c r="B1072" i="1"/>
  <c r="B1009" i="1"/>
  <c r="B1006" i="1"/>
  <c r="B1073" i="1"/>
  <c r="B1063" i="1"/>
  <c r="B2644" i="1"/>
  <c r="B2742" i="1"/>
  <c r="B2803" i="1"/>
  <c r="B2737" i="1"/>
  <c r="B2753" i="1"/>
  <c r="B2694" i="1"/>
  <c r="B2832" i="1"/>
  <c r="B2699" i="1"/>
  <c r="B2740" i="1"/>
  <c r="B2816" i="1"/>
  <c r="B2882" i="1"/>
  <c r="B2907" i="1"/>
  <c r="B2985" i="1"/>
  <c r="B2884" i="1"/>
  <c r="B2944" i="1"/>
  <c r="B2990" i="1"/>
  <c r="B2934" i="1"/>
  <c r="B992" i="1"/>
  <c r="B1092" i="1"/>
  <c r="B1100" i="1"/>
  <c r="B2639" i="1"/>
  <c r="B2799" i="1"/>
  <c r="B2726" i="1"/>
  <c r="B2739" i="1"/>
  <c r="B2841" i="1"/>
  <c r="B2776" i="1"/>
  <c r="B2831" i="1"/>
  <c r="B2844" i="1"/>
  <c r="B2806" i="1"/>
  <c r="B1043" i="1"/>
  <c r="B2892" i="1"/>
  <c r="B2968" i="1"/>
  <c r="B2942" i="1"/>
  <c r="B2960" i="1"/>
  <c r="B2983" i="1"/>
  <c r="B2953" i="1"/>
  <c r="B2930" i="1"/>
  <c r="B1026" i="1"/>
  <c r="B2781" i="1"/>
  <c r="B2780" i="1"/>
  <c r="B2885" i="1"/>
  <c r="B2975" i="1"/>
  <c r="B2973" i="1"/>
  <c r="B2773" i="1"/>
  <c r="B2762" i="1"/>
  <c r="B2748" i="1"/>
  <c r="B2814" i="1"/>
  <c r="B1036" i="1"/>
  <c r="B2965" i="1"/>
  <c r="B3011" i="1"/>
  <c r="B1047" i="1"/>
  <c r="B1029" i="1"/>
  <c r="B2653" i="1"/>
  <c r="B2690" i="1"/>
  <c r="B2670" i="1"/>
  <c r="B2738" i="1"/>
  <c r="B2843" i="1"/>
  <c r="B2847" i="1"/>
  <c r="B2828" i="1"/>
  <c r="B2862" i="1"/>
  <c r="B2897" i="1"/>
  <c r="B967" i="1"/>
  <c r="B2754" i="1"/>
  <c r="B2665" i="1"/>
  <c r="B2840" i="1"/>
  <c r="B2834" i="1"/>
  <c r="B2791" i="1"/>
  <c r="B2947" i="1"/>
  <c r="B1058" i="1"/>
  <c r="B1082" i="1"/>
  <c r="B2750" i="1"/>
  <c r="B2744" i="1"/>
  <c r="B2826" i="1"/>
  <c r="B2775" i="1"/>
  <c r="B2819" i="1"/>
  <c r="B2966" i="1"/>
  <c r="B3016" i="1"/>
  <c r="B1086" i="1"/>
  <c r="B2663" i="1"/>
  <c r="B990" i="1"/>
  <c r="B2876" i="1"/>
  <c r="B2938" i="1"/>
  <c r="B2618" i="1"/>
  <c r="B1067" i="1"/>
  <c r="B1022" i="1"/>
  <c r="B980" i="1"/>
  <c r="B1044" i="1"/>
  <c r="B1068" i="1"/>
  <c r="B1051" i="1"/>
  <c r="B1094" i="1"/>
  <c r="B2730" i="1"/>
  <c r="B2786" i="1"/>
  <c r="B2789" i="1"/>
  <c r="B2720" i="1"/>
  <c r="B2707" i="1"/>
  <c r="B2800" i="1"/>
  <c r="B2846" i="1"/>
  <c r="B2721" i="1"/>
  <c r="B2931" i="1"/>
  <c r="B2982" i="1"/>
  <c r="B2949" i="1"/>
  <c r="B2891" i="1"/>
  <c r="B2971" i="1"/>
  <c r="B2886" i="1"/>
  <c r="B1078" i="1"/>
  <c r="B1056" i="1"/>
  <c r="B1032" i="1"/>
  <c r="B2818" i="1"/>
  <c r="B2792" i="1"/>
  <c r="B2861" i="1"/>
  <c r="B2683" i="1"/>
  <c r="B2706" i="1"/>
  <c r="B2867" i="1"/>
  <c r="B2986" i="1"/>
  <c r="B2625" i="1"/>
  <c r="B994" i="1"/>
  <c r="B2662" i="1"/>
  <c r="B2978" i="1"/>
  <c r="B1083" i="1"/>
  <c r="B2645" i="1"/>
  <c r="B989" i="1"/>
  <c r="B1085" i="1"/>
  <c r="B997" i="1"/>
  <c r="B983" i="1"/>
  <c r="B2621" i="1"/>
  <c r="B1070" i="1"/>
  <c r="B2779" i="1"/>
  <c r="B2782" i="1"/>
  <c r="B2712" i="1"/>
  <c r="B2833" i="1"/>
  <c r="B2864" i="1"/>
  <c r="B2794" i="1"/>
  <c r="B2821" i="1"/>
  <c r="B1041" i="1"/>
  <c r="B1008" i="1"/>
  <c r="B3015" i="1"/>
  <c r="B2958" i="1"/>
  <c r="B2940" i="1"/>
  <c r="B2948" i="1"/>
  <c r="B1055" i="1"/>
  <c r="B1005" i="1"/>
  <c r="B2696" i="1"/>
  <c r="B2835" i="1"/>
  <c r="B2956" i="1"/>
  <c r="B2839" i="1"/>
  <c r="B1071" i="1"/>
  <c r="B2687" i="1"/>
  <c r="B1011" i="1"/>
  <c r="B1021" i="1"/>
  <c r="B2747" i="1"/>
  <c r="B1016" i="1"/>
  <c r="B1050" i="1"/>
  <c r="B2685" i="1"/>
  <c r="B1020" i="1"/>
  <c r="B2658" i="1"/>
  <c r="B1059" i="1"/>
  <c r="B1090" i="1"/>
  <c r="B1035" i="1"/>
  <c r="B1019" i="1"/>
  <c r="B981" i="1"/>
  <c r="B1089" i="1"/>
  <c r="B1037" i="1"/>
  <c r="B1033" i="1"/>
  <c r="B999" i="1"/>
  <c r="B1076" i="1"/>
  <c r="B1025" i="1"/>
  <c r="B2635" i="1"/>
  <c r="B2790" i="1"/>
  <c r="B2719" i="1"/>
  <c r="B2774" i="1"/>
  <c r="B2829" i="1"/>
  <c r="B2859" i="1"/>
  <c r="B2778" i="1"/>
  <c r="B2688" i="1"/>
  <c r="B2817" i="1"/>
  <c r="B2805" i="1"/>
  <c r="B1038" i="1"/>
  <c r="B978" i="1"/>
  <c r="B2883" i="1"/>
  <c r="B2946" i="1"/>
  <c r="B2969" i="1"/>
  <c r="B2952" i="1"/>
  <c r="B2889" i="1"/>
  <c r="B934" i="1"/>
  <c r="B2622" i="1"/>
  <c r="B1079" i="1"/>
  <c r="B1004" i="1"/>
  <c r="B2631" i="1"/>
  <c r="B2700" i="1"/>
  <c r="B2795" i="1"/>
  <c r="B2746" i="1"/>
  <c r="B2863" i="1"/>
  <c r="B1012" i="1"/>
  <c r="B1084" i="1"/>
  <c r="B2616" i="1"/>
  <c r="B2630" i="1"/>
  <c r="B2725" i="1"/>
  <c r="B2677" i="1"/>
  <c r="B2895" i="1"/>
  <c r="B1046" i="1"/>
  <c r="B1000" i="1"/>
  <c r="B1088" i="1"/>
  <c r="B1062" i="1"/>
  <c r="B1023" i="1"/>
  <c r="B985" i="1"/>
  <c r="B2759" i="1"/>
  <c r="B2751" i="1"/>
  <c r="B2704" i="1"/>
  <c r="B2868" i="1"/>
  <c r="B2908" i="1"/>
  <c r="B2951" i="1"/>
  <c r="B966" i="1"/>
  <c r="B2957" i="1"/>
  <c r="B2877" i="1"/>
  <c r="B1014" i="1"/>
  <c r="B1091" i="1"/>
  <c r="B1057" i="1"/>
  <c r="B2650" i="1"/>
  <c r="B2731" i="1"/>
  <c r="B2672" i="1"/>
  <c r="B2866" i="1"/>
  <c r="B3014" i="1"/>
  <c r="B3012" i="1"/>
  <c r="B2617" i="1"/>
  <c r="B964" i="1"/>
  <c r="B2666" i="1"/>
  <c r="B2733" i="1"/>
  <c r="B2715" i="1"/>
  <c r="B2783" i="1"/>
  <c r="B2810" i="1"/>
  <c r="B2935" i="1"/>
  <c r="B1069" i="1"/>
  <c r="B1065" i="1"/>
  <c r="B1075" i="1"/>
  <c r="B1027" i="1"/>
  <c r="B2756" i="1"/>
  <c r="B2768" i="1"/>
  <c r="B2701" i="1"/>
  <c r="B2668" i="1"/>
  <c r="B2836" i="1"/>
  <c r="B2771" i="1"/>
  <c r="B2827" i="1"/>
  <c r="B1048" i="1"/>
  <c r="B2941" i="1"/>
  <c r="B2981" i="1"/>
  <c r="B2959" i="1"/>
  <c r="B2954" i="1"/>
  <c r="B2887" i="1"/>
  <c r="B2970" i="1"/>
  <c r="B2939" i="1"/>
  <c r="B950" i="1"/>
  <c r="B2933" i="1"/>
  <c r="B2932" i="1"/>
  <c r="O1060" i="1"/>
  <c r="M1060" i="1"/>
</calcChain>
</file>

<file path=xl/sharedStrings.xml><?xml version="1.0" encoding="utf-8"?>
<sst xmlns="http://schemas.openxmlformats.org/spreadsheetml/2006/main" count="14480" uniqueCount="13662">
  <si>
    <t>Normal</t>
  </si>
  <si>
    <t>Samsung</t>
  </si>
  <si>
    <t>⚠ SAMSUNG</t>
  </si>
  <si>
    <t xml:space="preserve">A01 (M)         </t>
  </si>
  <si>
    <t xml:space="preserve">A01 (M)          = R$ </t>
  </si>
  <si>
    <t xml:space="preserve">A01 (M) c/aro     = R$ </t>
  </si>
  <si>
    <t xml:space="preserve">A01 (M) c/aro Nacional   </t>
  </si>
  <si>
    <t xml:space="preserve">A01 (M) c/aro Nacional=R$ </t>
  </si>
  <si>
    <t xml:space="preserve">A01 core         </t>
  </si>
  <si>
    <t xml:space="preserve">A01 Core            = R$ </t>
  </si>
  <si>
    <t xml:space="preserve">A01 Core c/aro      = R$ </t>
  </si>
  <si>
    <t>A01 Core c/aro Nacional</t>
  </si>
  <si>
    <t xml:space="preserve">A01 Core c/aro Nacional= R$ </t>
  </si>
  <si>
    <t xml:space="preserve">A02 - orig         = R$ </t>
  </si>
  <si>
    <t xml:space="preserve">A02 c/aro - orig     = R$ </t>
  </si>
  <si>
    <t>A02 c/aro Nacional</t>
  </si>
  <si>
    <t xml:space="preserve">A02 c/aro Nacional  = R$ </t>
  </si>
  <si>
    <t xml:space="preserve">A02s c/aro         = R$ </t>
  </si>
  <si>
    <t>A02s c/aro Nacional</t>
  </si>
  <si>
    <t xml:space="preserve">A02s c/aro Nacional = R$ </t>
  </si>
  <si>
    <t>A02s/A03/A03s/A04E</t>
  </si>
  <si>
    <t xml:space="preserve">A02s/A03/A03s      = R$ </t>
  </si>
  <si>
    <t>A03 c/aro</t>
  </si>
  <si>
    <t xml:space="preserve">A03 c/aro          = R$ </t>
  </si>
  <si>
    <t>A03 c/aro Nacional</t>
  </si>
  <si>
    <t xml:space="preserve">A03 c/aro Nacional = R$ </t>
  </si>
  <si>
    <t>A03s c/aro</t>
  </si>
  <si>
    <t xml:space="preserve">A03s c/aro         = R$ </t>
  </si>
  <si>
    <t>A03s c/aro Nacional</t>
  </si>
  <si>
    <t xml:space="preserve">A03s c/aro Nacional = R$ </t>
  </si>
  <si>
    <t>A03 Core</t>
  </si>
  <si>
    <t xml:space="preserve">A03 Core         = R$ </t>
  </si>
  <si>
    <t>A03 Core c/aro</t>
  </si>
  <si>
    <t xml:space="preserve">A03 Core c/aro   = R$ </t>
  </si>
  <si>
    <t xml:space="preserve">A03 Core Nacional c/aro= </t>
  </si>
  <si>
    <t>A04</t>
  </si>
  <si>
    <t xml:space="preserve">A04            = R$ </t>
  </si>
  <si>
    <t>A04 c/aro</t>
  </si>
  <si>
    <t xml:space="preserve">A04 c/aro      = R$ </t>
  </si>
  <si>
    <t>A04 c/aro Nacional</t>
  </si>
  <si>
    <t>A04E c/aro</t>
  </si>
  <si>
    <t xml:space="preserve">A04E          = R$ </t>
  </si>
  <si>
    <t>A04E c/aro Nacional</t>
  </si>
  <si>
    <t xml:space="preserve">A04E c/aro         = R$ </t>
  </si>
  <si>
    <t>A04E c/aro Nacional= R$</t>
  </si>
  <si>
    <t xml:space="preserve">A04s             = R$ </t>
  </si>
  <si>
    <t>A04s c/aro Nacional</t>
  </si>
  <si>
    <t xml:space="preserve">A04s c/aro       = R$ </t>
  </si>
  <si>
    <t>A05</t>
  </si>
  <si>
    <t xml:space="preserve">A04s c/aro Nacional= R$ </t>
  </si>
  <si>
    <t>A05 c/aro</t>
  </si>
  <si>
    <t xml:space="preserve">A05          = R$ </t>
  </si>
  <si>
    <t>A05s</t>
  </si>
  <si>
    <t xml:space="preserve">A05 c/aro       = R$ </t>
  </si>
  <si>
    <t>A05s c/aro</t>
  </si>
  <si>
    <t xml:space="preserve">A05s         = R$ </t>
  </si>
  <si>
    <t xml:space="preserve">A05s c/aro            = R$ </t>
  </si>
  <si>
    <t xml:space="preserve">A10/M10         </t>
  </si>
  <si>
    <t xml:space="preserve">A10/M10 c/aro   </t>
  </si>
  <si>
    <t xml:space="preserve">A10 - original          = R$ </t>
  </si>
  <si>
    <t>A10 c/aro Nacional</t>
  </si>
  <si>
    <t xml:space="preserve">A10 c/aro - orig      = R$ </t>
  </si>
  <si>
    <t xml:space="preserve">A10s  </t>
  </si>
  <si>
    <t xml:space="preserve">A10 c/aro Nacional= R$ </t>
  </si>
  <si>
    <t xml:space="preserve">A10s c/aro  </t>
  </si>
  <si>
    <t xml:space="preserve">A10s - original        = R$ </t>
  </si>
  <si>
    <t>A10s c/aro Nacional</t>
  </si>
  <si>
    <t xml:space="preserve">A10s c/aro - orig     = R$ </t>
  </si>
  <si>
    <t xml:space="preserve">A11  </t>
  </si>
  <si>
    <t xml:space="preserve">A10s c/aro Nacional= R$ </t>
  </si>
  <si>
    <t>A11 c/aro</t>
  </si>
  <si>
    <t xml:space="preserve">A11             = R$ </t>
  </si>
  <si>
    <t>A11 c/aro Nacional</t>
  </si>
  <si>
    <t xml:space="preserve">A11 c/aro  = R$ </t>
  </si>
  <si>
    <t xml:space="preserve">A11 c/aro Nacional = R$ </t>
  </si>
  <si>
    <t xml:space="preserve">A12 c/aro Nacional = R$ </t>
  </si>
  <si>
    <t xml:space="preserve">A13 4G c/aro </t>
  </si>
  <si>
    <t xml:space="preserve">A13 4G - orig = R$ </t>
  </si>
  <si>
    <t>A13 4G c/aro Nacional</t>
  </si>
  <si>
    <t xml:space="preserve">A13 4G c/aro            = R$ </t>
  </si>
  <si>
    <t xml:space="preserve">A13 4G c/aro Nacional = R$ </t>
  </si>
  <si>
    <t xml:space="preserve">A13 5G      = R$ </t>
  </si>
  <si>
    <t>A13 5G c/aro Nacional</t>
  </si>
  <si>
    <t xml:space="preserve">A13 5G c/aro = R$ </t>
  </si>
  <si>
    <t>A14 4G</t>
  </si>
  <si>
    <t xml:space="preserve">A13 5G c/aro Nacional = R$ </t>
  </si>
  <si>
    <t>A14 4G c/aro</t>
  </si>
  <si>
    <t xml:space="preserve">A14 4G             = R$ </t>
  </si>
  <si>
    <t>A14 5G</t>
  </si>
  <si>
    <t xml:space="preserve">A14 4G c/aro           = R$ </t>
  </si>
  <si>
    <t>A14 5G c/aro</t>
  </si>
  <si>
    <t xml:space="preserve">A14 5G   = R$ </t>
  </si>
  <si>
    <t>A14 5G c/aro Nacional</t>
  </si>
  <si>
    <t xml:space="preserve">A14 5G c/aro           = R$ </t>
  </si>
  <si>
    <t>A15 - incell c/aro</t>
  </si>
  <si>
    <t xml:space="preserve">A14 5G c/aro Nacional = R$ </t>
  </si>
  <si>
    <t xml:space="preserve">A15 - incell c/aro   = R$ </t>
  </si>
  <si>
    <t xml:space="preserve">A15 - original      = R$ </t>
  </si>
  <si>
    <t xml:space="preserve">A15 - orig c/aro      = R$ </t>
  </si>
  <si>
    <t>A20 - original</t>
  </si>
  <si>
    <t xml:space="preserve">A20 - original c/aro  </t>
  </si>
  <si>
    <t xml:space="preserve">A20 - original             = R$ </t>
  </si>
  <si>
    <t>A20s</t>
  </si>
  <si>
    <t xml:space="preserve">A20 c/aro - orig         = R$ </t>
  </si>
  <si>
    <t>A20s c/aro</t>
  </si>
  <si>
    <t xml:space="preserve">A20s   = R$ </t>
  </si>
  <si>
    <t>A20s c/aro Nacional</t>
  </si>
  <si>
    <t xml:space="preserve">A20s c/aro - orig       = R$ </t>
  </si>
  <si>
    <t xml:space="preserve">A21     </t>
  </si>
  <si>
    <t>A21s</t>
  </si>
  <si>
    <t xml:space="preserve">A21 - orig     = R$ </t>
  </si>
  <si>
    <t>A21s c/aro</t>
  </si>
  <si>
    <t>A21s c/aro Nacional</t>
  </si>
  <si>
    <t xml:space="preserve">A21s c/aro      = R$ </t>
  </si>
  <si>
    <t xml:space="preserve">A22 4G c/aro-original= R$ </t>
  </si>
  <si>
    <t>A22 5G</t>
  </si>
  <si>
    <t xml:space="preserve">A22 5G - orig            = R$ </t>
  </si>
  <si>
    <t xml:space="preserve">A22 5G c/aro- orig    = R$ </t>
  </si>
  <si>
    <t xml:space="preserve">A23 4G - original       = R$ </t>
  </si>
  <si>
    <t xml:space="preserve">A23 4G c/aro - orig     = R$ </t>
  </si>
  <si>
    <t xml:space="preserve">A23 4G c/aro Nacional=R$ </t>
  </si>
  <si>
    <t xml:space="preserve">A23 5G - original        = R$ </t>
  </si>
  <si>
    <t xml:space="preserve">A23 5G c/aro - orig   = R$ </t>
  </si>
  <si>
    <t xml:space="preserve">A23 5G c/aro Nacional=R$ </t>
  </si>
  <si>
    <t>A24 - incell c/aro</t>
  </si>
  <si>
    <t xml:space="preserve">A24 - incell     = R$ </t>
  </si>
  <si>
    <t>A24 - original c/aro</t>
  </si>
  <si>
    <t xml:space="preserve">A24 c/aro - incell     = R$ </t>
  </si>
  <si>
    <t xml:space="preserve">A24 c/aro - original = R$ </t>
  </si>
  <si>
    <t>A25 - incell c/aro</t>
  </si>
  <si>
    <t xml:space="preserve">A25 - incell     = R$ </t>
  </si>
  <si>
    <t xml:space="preserve">A25 c/aro - incell     = R$ </t>
  </si>
  <si>
    <t xml:space="preserve">A30 - incell    = R$ </t>
  </si>
  <si>
    <t>A30s - incell</t>
  </si>
  <si>
    <t xml:space="preserve">A30 - original             = R$ </t>
  </si>
  <si>
    <t>A30s - original</t>
  </si>
  <si>
    <t xml:space="preserve">A30s - incell  = R$ </t>
  </si>
  <si>
    <t>A30s - original c/aro</t>
  </si>
  <si>
    <t xml:space="preserve">A30s - original = R$ </t>
  </si>
  <si>
    <t xml:space="preserve">A30s c/aro - orig       = R$ </t>
  </si>
  <si>
    <t>A31 - original c/aro</t>
  </si>
  <si>
    <t>A32 4G - original c/aro</t>
  </si>
  <si>
    <t>A32 5G c/aro</t>
  </si>
  <si>
    <t xml:space="preserve">A32 4G c/aro - orig   = R$ </t>
  </si>
  <si>
    <t>A32 5G c/aro Nacional</t>
  </si>
  <si>
    <t>A33 - incell</t>
  </si>
  <si>
    <t xml:space="preserve">A32 5G - orig             = R$ </t>
  </si>
  <si>
    <t>A33 - incell c/aro</t>
  </si>
  <si>
    <t xml:space="preserve">A32 5G c/aro - orig    = R$ </t>
  </si>
  <si>
    <t>A33 - original c/aro</t>
  </si>
  <si>
    <t xml:space="preserve">A32 5G c/aro Nacional  = R$ </t>
  </si>
  <si>
    <t>A33 c/aro Nacional</t>
  </si>
  <si>
    <t xml:space="preserve">A33 - incell      = R$ </t>
  </si>
  <si>
    <t xml:space="preserve">A33 c/aro - incell     = R$ </t>
  </si>
  <si>
    <t>A34 - original c/aro (T/Pequena)</t>
  </si>
  <si>
    <t xml:space="preserve">A33 c/aro - original = R$ </t>
  </si>
  <si>
    <t>A34 - original c/aro (T/Grande)</t>
  </si>
  <si>
    <t xml:space="preserve">A33 c/aro Nacional   = R$ </t>
  </si>
  <si>
    <t>A34 c/aro Nacional</t>
  </si>
  <si>
    <t>A35 c/aro Nacional</t>
  </si>
  <si>
    <t xml:space="preserve">A34 c/aro - orig (T/P)= R$ </t>
  </si>
  <si>
    <t>A50/A30 - original</t>
  </si>
  <si>
    <t xml:space="preserve">A34 c/aro - orig (T/G)= R$ </t>
  </si>
  <si>
    <t xml:space="preserve">A34 c/aro Nacional   = R$ </t>
  </si>
  <si>
    <t xml:space="preserve">A50 - original   = R$ </t>
  </si>
  <si>
    <t xml:space="preserve">A51 c/aro-orig(Tela/P)= R$ </t>
  </si>
  <si>
    <t xml:space="preserve">A51 c/aro-orig(Tela/G)= R$ </t>
  </si>
  <si>
    <t>A53 - incell c/aro</t>
  </si>
  <si>
    <t>A54 - incell</t>
  </si>
  <si>
    <t>A54 - incell c/aro</t>
  </si>
  <si>
    <t xml:space="preserve">A53 - incell c/aro     = R$ </t>
  </si>
  <si>
    <t xml:space="preserve">A53 c/aro - orig          = R$ </t>
  </si>
  <si>
    <t>A70 - incell</t>
  </si>
  <si>
    <t xml:space="preserve">A54 - incell  = R$ </t>
  </si>
  <si>
    <t xml:space="preserve">A54 - incell c/aro     = R$ </t>
  </si>
  <si>
    <t xml:space="preserve">A54 - c/aro orig    = R$ </t>
  </si>
  <si>
    <t xml:space="preserve">A70 - incell    = R$ </t>
  </si>
  <si>
    <t xml:space="preserve">A70 c/aro - incell       = R$ </t>
  </si>
  <si>
    <t>A72 - incell</t>
  </si>
  <si>
    <t xml:space="preserve">A70 c/aro-orig(Tela/P)= R$ </t>
  </si>
  <si>
    <t xml:space="preserve">A70 c/aro-orig(Tela/G)= R$ </t>
  </si>
  <si>
    <t xml:space="preserve">A71 c/aro - incell       = R$ </t>
  </si>
  <si>
    <t xml:space="preserve">A71 c/aro-orig(Tela/P)= R$ </t>
  </si>
  <si>
    <t>A73 - original c/aro (T/P)</t>
  </si>
  <si>
    <t xml:space="preserve">A71 c/aro-orig (Tela/G)= R$ </t>
  </si>
  <si>
    <t>A73 - original c/aro (T/G)</t>
  </si>
  <si>
    <t xml:space="preserve">A72 - incell   = R$ </t>
  </si>
  <si>
    <t>A80 - original</t>
  </si>
  <si>
    <t xml:space="preserve">A72 c/aro - incell      = R$ </t>
  </si>
  <si>
    <t xml:space="preserve">A72 c/aro-orig (Tela/P)= R$ </t>
  </si>
  <si>
    <t>A6 Plus - original</t>
  </si>
  <si>
    <t xml:space="preserve">A72 c/aro-orig (Tela/G)= R$ </t>
  </si>
  <si>
    <t>A5 2016 (A510) - incell</t>
  </si>
  <si>
    <t xml:space="preserve">A73 c/aro - incell = R$ </t>
  </si>
  <si>
    <t>A5 2016 (A510) - original</t>
  </si>
  <si>
    <t xml:space="preserve">A73 c/aro-orig (Tela/P)= R$ </t>
  </si>
  <si>
    <t>A5 2017 (A520) - incell</t>
  </si>
  <si>
    <t xml:space="preserve">A73 c/aro-orig (Tela/G)= R$ </t>
  </si>
  <si>
    <t>A5 2017 (A520) - original</t>
  </si>
  <si>
    <t xml:space="preserve">A80 - original = R$ </t>
  </si>
  <si>
    <t>A7 2016 (A710) - incell</t>
  </si>
  <si>
    <t xml:space="preserve">A80 c/aro - orig           = R$ </t>
  </si>
  <si>
    <t>A7 2016 (A710) - original</t>
  </si>
  <si>
    <t xml:space="preserve">A6 Plus - original         = R$ </t>
  </si>
  <si>
    <t>A7 2017 (A720) - incell</t>
  </si>
  <si>
    <t xml:space="preserve">A5 2016 (A510)- incell = R$ </t>
  </si>
  <si>
    <t>A7 2017 (A720) - original</t>
  </si>
  <si>
    <t xml:space="preserve">A5 2016 (A510) - orig = R$ </t>
  </si>
  <si>
    <t>A7 2018 (A750) - incell</t>
  </si>
  <si>
    <t xml:space="preserve">A5 2017 (A520)-incell= R$ </t>
  </si>
  <si>
    <t>A7 2018 (A750) - incell c/aro</t>
  </si>
  <si>
    <t xml:space="preserve">A5 2017 (A520) - orig = R$ </t>
  </si>
  <si>
    <t>A7 2018 (A750) - original</t>
  </si>
  <si>
    <t xml:space="preserve">A7 2016 (A710)- incell = R$ </t>
  </si>
  <si>
    <t xml:space="preserve">A7 2016 (A710)- orig   = R$ </t>
  </si>
  <si>
    <t>A8 2018 (A530) - incell</t>
  </si>
  <si>
    <t xml:space="preserve">A7 2017 (A720)- incell = R$ </t>
  </si>
  <si>
    <t>A8 2018 (A530) - original</t>
  </si>
  <si>
    <t xml:space="preserve">A7 2017 (A720)- orig   = R$ </t>
  </si>
  <si>
    <t>A8 Plus (A730) - incell</t>
  </si>
  <si>
    <t xml:space="preserve">A7 2018 (A750)- incell = R$ </t>
  </si>
  <si>
    <t>A8 Plus (A730) - original</t>
  </si>
  <si>
    <t xml:space="preserve">A7 2018 c/aro(A750)-incell = </t>
  </si>
  <si>
    <t>A9 2018 (A920) - original</t>
  </si>
  <si>
    <t xml:space="preserve">A7 2018 (A750)- orig  = R$ </t>
  </si>
  <si>
    <t xml:space="preserve">A7 2018 c/aro(A750)-ori= </t>
  </si>
  <si>
    <t xml:space="preserve">A8 2018 (A530) - incell = </t>
  </si>
  <si>
    <t>A8 2018 (A530)- orig= R$</t>
  </si>
  <si>
    <t xml:space="preserve">A8 Plus (A730)-incell=R$ </t>
  </si>
  <si>
    <t xml:space="preserve">A8 Plus (A730)- orig = R$ </t>
  </si>
  <si>
    <t xml:space="preserve">A9 2018 (A920)- orig= R$  </t>
  </si>
  <si>
    <t/>
  </si>
  <si>
    <t>M13 4G c/aro</t>
  </si>
  <si>
    <t xml:space="preserve">M10 - orig  = R$ </t>
  </si>
  <si>
    <t>M13 4G c/aro Nacional</t>
  </si>
  <si>
    <t xml:space="preserve">M10 c/aro - orig      = R$ </t>
  </si>
  <si>
    <t xml:space="preserve">M12 - orig   = R$ </t>
  </si>
  <si>
    <t xml:space="preserve">M12 c/aro - orig       = R$ </t>
  </si>
  <si>
    <t xml:space="preserve">M20         </t>
  </si>
  <si>
    <t xml:space="preserve">M12 c/aro Nacional = R$ </t>
  </si>
  <si>
    <t xml:space="preserve">M13 4G - orig     = R$ </t>
  </si>
  <si>
    <t>M21s/M30/M30s/M31 - incell</t>
  </si>
  <si>
    <t xml:space="preserve">M13 4G c/aro - orig  = R$ </t>
  </si>
  <si>
    <t xml:space="preserve">M13 4G c/aro Nacional = </t>
  </si>
  <si>
    <t xml:space="preserve">M21s/M30/M30s/M31 - original         </t>
  </si>
  <si>
    <t>M22 - incell</t>
  </si>
  <si>
    <t xml:space="preserve">M20 - orig     = R$ </t>
  </si>
  <si>
    <t>M22 - incell c/aro</t>
  </si>
  <si>
    <t xml:space="preserve">M20 c/aro - orig         = R$ </t>
  </si>
  <si>
    <t>M22 - original</t>
  </si>
  <si>
    <t>M22 - original c/aro</t>
  </si>
  <si>
    <t xml:space="preserve">M30/M30s/M31-incell = R$ </t>
  </si>
  <si>
    <t xml:space="preserve">M30 c/aro- incell = R$ </t>
  </si>
  <si>
    <t xml:space="preserve">M30s/M31 c/aro-incell = R$ </t>
  </si>
  <si>
    <t xml:space="preserve">M21s - original    = R$ </t>
  </si>
  <si>
    <t>M32 - incell c/aro</t>
  </si>
  <si>
    <t xml:space="preserve">M30/M30s/M31- orig  = R$ </t>
  </si>
  <si>
    <t>M32 - original c/aro</t>
  </si>
  <si>
    <t xml:space="preserve">M30 c/aro - orig  = R$ </t>
  </si>
  <si>
    <t>M34 - incell c/aro</t>
  </si>
  <si>
    <t xml:space="preserve">M30s/M31 c/aro - orig = R$ </t>
  </si>
  <si>
    <t>M34 - original c/aro</t>
  </si>
  <si>
    <t xml:space="preserve">M21s c/aro - incell        = R$ </t>
  </si>
  <si>
    <t xml:space="preserve">M21s c/aro - original    = R$ </t>
  </si>
  <si>
    <t xml:space="preserve">M22 - incell = R$ </t>
  </si>
  <si>
    <t>M51 - original</t>
  </si>
  <si>
    <t xml:space="preserve">M22 - incell c/aro    = R$ </t>
  </si>
  <si>
    <t>M51 - original c/aro (T/P)</t>
  </si>
  <si>
    <t xml:space="preserve">M22 - original         = R$ </t>
  </si>
  <si>
    <t>M51 - original c/aro (T/G)</t>
  </si>
  <si>
    <t xml:space="preserve">M22 - original c/aro  = R$ </t>
  </si>
  <si>
    <t>M52 - incell</t>
  </si>
  <si>
    <t>M52 - incell c/aro</t>
  </si>
  <si>
    <t>M52 - original c/aro (T/P)</t>
  </si>
  <si>
    <t>M52 - original c/aro (T/G)</t>
  </si>
  <si>
    <t xml:space="preserve">M32 - incell c/aro     = R$ </t>
  </si>
  <si>
    <t xml:space="preserve">M32 - original c/aro  = R$ </t>
  </si>
  <si>
    <t>M53 - incell c/aro</t>
  </si>
  <si>
    <t xml:space="preserve">M34 - incell c/aro     = R$ </t>
  </si>
  <si>
    <t>M53 - original c/aro</t>
  </si>
  <si>
    <t xml:space="preserve">M34 - original c/aro  = R$ </t>
  </si>
  <si>
    <t>M62 - incell c/aro</t>
  </si>
  <si>
    <t xml:space="preserve">M51 original  = R$ </t>
  </si>
  <si>
    <t xml:space="preserve">M51 c/aro-orig (T/P)=R$ </t>
  </si>
  <si>
    <t>M62 - original c/aro (T/P)</t>
  </si>
  <si>
    <t xml:space="preserve">M51 c/aro-orig (T/G)=R$ </t>
  </si>
  <si>
    <t>M62 - original c/aro (T/G)</t>
  </si>
  <si>
    <t xml:space="preserve">M52 - incell     = R$ </t>
  </si>
  <si>
    <t xml:space="preserve">M52 - incell c/aro     = R$ </t>
  </si>
  <si>
    <t xml:space="preserve">M52 c/aro-orig (T/P)=R$ </t>
  </si>
  <si>
    <t>J3 - incell</t>
  </si>
  <si>
    <t xml:space="preserve">M52 c/aro-orig (T/G)=R$ </t>
  </si>
  <si>
    <t>J4 - incell</t>
  </si>
  <si>
    <t xml:space="preserve">M52 c/aro Nacional = R$ </t>
  </si>
  <si>
    <t>J4 - original</t>
  </si>
  <si>
    <t xml:space="preserve">M53 - incell c/aro     = R$ </t>
  </si>
  <si>
    <t xml:space="preserve">J4 Plus/J6 Plus  </t>
  </si>
  <si>
    <t xml:space="preserve">M53 - orig c/aro  = R$ </t>
  </si>
  <si>
    <t>J5 - incell</t>
  </si>
  <si>
    <t xml:space="preserve">M53 c/aro Nacional = R$ </t>
  </si>
  <si>
    <t>J5 Prime</t>
  </si>
  <si>
    <t xml:space="preserve">M62 - incell c/aro     = R$ </t>
  </si>
  <si>
    <t xml:space="preserve">J510 Metal - incell    </t>
  </si>
  <si>
    <t xml:space="preserve">M62 - original           = R$ </t>
  </si>
  <si>
    <t xml:space="preserve">J530 Pro - incell   </t>
  </si>
  <si>
    <t xml:space="preserve">M62 c/aro-orig (T/P)=R$ </t>
  </si>
  <si>
    <t xml:space="preserve">J530 Pro - original  </t>
  </si>
  <si>
    <t xml:space="preserve">M62 c/aro-orig (T/G)=R$ </t>
  </si>
  <si>
    <t>J6 - incell</t>
  </si>
  <si>
    <t>J6 - original</t>
  </si>
  <si>
    <t xml:space="preserve">J700 - incell       </t>
  </si>
  <si>
    <t xml:space="preserve">J3 - incell premium       = R$ </t>
  </si>
  <si>
    <t xml:space="preserve">J700 - original       </t>
  </si>
  <si>
    <t xml:space="preserve">J4 - incell premium       = R$ </t>
  </si>
  <si>
    <t>J7 Prime</t>
  </si>
  <si>
    <t xml:space="preserve">J4 - original      = R$ </t>
  </si>
  <si>
    <t>J7 Prime 2</t>
  </si>
  <si>
    <t xml:space="preserve">J4 Plus - original           = R$ </t>
  </si>
  <si>
    <t xml:space="preserve">J701 Neo - incell  </t>
  </si>
  <si>
    <t xml:space="preserve">J5 - incell premium       = R$ </t>
  </si>
  <si>
    <t>J701 Neo - Original</t>
  </si>
  <si>
    <t xml:space="preserve">J5 Prime           = R$ </t>
  </si>
  <si>
    <t xml:space="preserve">J710 Metal - incell </t>
  </si>
  <si>
    <t xml:space="preserve">J5 Metal - incell            = R$ </t>
  </si>
  <si>
    <t xml:space="preserve">J710 Metal - original </t>
  </si>
  <si>
    <t xml:space="preserve">J5 Pro - incell premium = R$ </t>
  </si>
  <si>
    <t>J730 Pro - incell</t>
  </si>
  <si>
    <t xml:space="preserve">J5 Pro - original            = R$ </t>
  </si>
  <si>
    <t xml:space="preserve">J730 Pro - original  </t>
  </si>
  <si>
    <t xml:space="preserve">J6 - incell premium       = R$ </t>
  </si>
  <si>
    <t>J8 - incell</t>
  </si>
  <si>
    <t xml:space="preserve">J6 - original     = R$ </t>
  </si>
  <si>
    <t>J8/J8 Plus - original</t>
  </si>
  <si>
    <t xml:space="preserve">J6 Plus - original          = R$ </t>
  </si>
  <si>
    <t xml:space="preserve">J700 - incell premium  = R$ </t>
  </si>
  <si>
    <t xml:space="preserve">J700 - original  = R$ </t>
  </si>
  <si>
    <t xml:space="preserve">J7 Prime            = R$ </t>
  </si>
  <si>
    <t xml:space="preserve">J7 Prime 2         = R$ </t>
  </si>
  <si>
    <t xml:space="preserve">Galaxy S20 FE c/aro </t>
  </si>
  <si>
    <t xml:space="preserve">J7 Neo - incell premium= R$ </t>
  </si>
  <si>
    <t xml:space="preserve">J7 Neo - original           = R$ </t>
  </si>
  <si>
    <t xml:space="preserve">J7 Metal-incell premium= </t>
  </si>
  <si>
    <t xml:space="preserve">J7 Metal - original        = R$ </t>
  </si>
  <si>
    <t xml:space="preserve">J7 Pro - incell premium=R$ </t>
  </si>
  <si>
    <t xml:space="preserve">J7 Pro - original           = R$ </t>
  </si>
  <si>
    <t xml:space="preserve">J8 - incell        = R$ </t>
  </si>
  <si>
    <t xml:space="preserve">J8 - original    = R$ </t>
  </si>
  <si>
    <t xml:space="preserve">J8 Plus - original         = R$ </t>
  </si>
  <si>
    <t>iPhone</t>
  </si>
  <si>
    <t xml:space="preserve">iPhone 6    </t>
  </si>
  <si>
    <t xml:space="preserve">iPhone 6s  </t>
  </si>
  <si>
    <t>iPhone 6 Plus</t>
  </si>
  <si>
    <t>iPhone 6s Plus</t>
  </si>
  <si>
    <t xml:space="preserve">iPhone 7  </t>
  </si>
  <si>
    <t>iPhone 7 Plus</t>
  </si>
  <si>
    <t>⚠ APPLE</t>
  </si>
  <si>
    <t>iPhone 8/SE 2ª G</t>
  </si>
  <si>
    <t>iPhone 8 Plus</t>
  </si>
  <si>
    <t>iPhone X - incell</t>
  </si>
  <si>
    <t xml:space="preserve">iPhone 6   = R$ </t>
  </si>
  <si>
    <t>iPhone XS - incell</t>
  </si>
  <si>
    <t xml:space="preserve">iPhone 6s  = R$ </t>
  </si>
  <si>
    <t>iPhone XS Max Incell</t>
  </si>
  <si>
    <t xml:space="preserve">iPhone 6 Plus         = R$ </t>
  </si>
  <si>
    <t>iPhone XS Max OLED</t>
  </si>
  <si>
    <t xml:space="preserve">iPhone 6s Plus        = R$ </t>
  </si>
  <si>
    <t xml:space="preserve">iPhone 7      = R$ </t>
  </si>
  <si>
    <t>iPhone 11 Pro - incell (ci)</t>
  </si>
  <si>
    <t xml:space="preserve">iPhone 7 Plus            = R$ </t>
  </si>
  <si>
    <t xml:space="preserve">iPhone 8/SE 2ª G      = R$ </t>
  </si>
  <si>
    <t>iPhone 11 Pro OLED (ci)</t>
  </si>
  <si>
    <t xml:space="preserve">iPhone 8 Plus             = R$ </t>
  </si>
  <si>
    <t>iPhone 11 Pro Max - incell (ci)</t>
  </si>
  <si>
    <t xml:space="preserve">iPhone X - incell        = R$ </t>
  </si>
  <si>
    <t xml:space="preserve">iPhone XS - incell        = R$ </t>
  </si>
  <si>
    <t>iPhone 11 Pro Max OLED (ci)</t>
  </si>
  <si>
    <t xml:space="preserve">iPhone XS Max incell = R$ </t>
  </si>
  <si>
    <t xml:space="preserve">iPhone XS Max OLED = R$ </t>
  </si>
  <si>
    <t>iPhone 12/12 Pro - incell (ci)</t>
  </si>
  <si>
    <t>iPhone 12/12 Pro OLED (ci)</t>
  </si>
  <si>
    <t>iPhone 12 Pro Max - Incell (ci)</t>
  </si>
  <si>
    <t xml:space="preserve">iPhone 11 Pro OLED (ci) = R$ </t>
  </si>
  <si>
    <t>iPhone 12 Pro Max OLED (ci)</t>
  </si>
  <si>
    <t xml:space="preserve">11 Pro Max - incell (ci) = R$ </t>
  </si>
  <si>
    <t>iPhone 13 - incell (ci)</t>
  </si>
  <si>
    <t xml:space="preserve">iPhone 11 Pro Max OLED (ci)= </t>
  </si>
  <si>
    <t>iPhone 13 OLED (ci)</t>
  </si>
  <si>
    <t>iPhone 13 Pro - incell (ci)</t>
  </si>
  <si>
    <t>iPhone 13 Pro OLED (ci)</t>
  </si>
  <si>
    <t>iPhone 13 Pro Max - Incell (ci)</t>
  </si>
  <si>
    <t>iPhone 13 Pro Max OLED (ci)</t>
  </si>
  <si>
    <t xml:space="preserve">12 Pro Max Incell (ci) = R$ </t>
  </si>
  <si>
    <t>iPhone 14 - incell (ci)</t>
  </si>
  <si>
    <t xml:space="preserve">12 Pro Max OLED (ci) = R$ </t>
  </si>
  <si>
    <t>iPhone 14 Pro - incell (ci)</t>
  </si>
  <si>
    <t>iPhone 14 Pro OLED (ci)</t>
  </si>
  <si>
    <t xml:space="preserve">iPhone 13 incell (ci)   = R$ </t>
  </si>
  <si>
    <t>iPhone 14 Pro Max - incell (ci)</t>
  </si>
  <si>
    <t xml:space="preserve">iPhone 13 OLED (ci) = R$ </t>
  </si>
  <si>
    <t>iPhone 14 Pro Max OLED (ci)</t>
  </si>
  <si>
    <t xml:space="preserve">13 Pro Max Incell (ci) = R$ </t>
  </si>
  <si>
    <t xml:space="preserve">13 Pro Max OLED (ci) = R$ </t>
  </si>
  <si>
    <t>iPhone 6 VIVID</t>
  </si>
  <si>
    <t xml:space="preserve">iPhone 14 incell (ci) = R$ </t>
  </si>
  <si>
    <t>iPhone 6s VIVID</t>
  </si>
  <si>
    <t xml:space="preserve">14 Pro incell (ci) = R$ </t>
  </si>
  <si>
    <t xml:space="preserve">14 Pro OLED (ci) = R$ </t>
  </si>
  <si>
    <t>iPhone 6s Plus VIVID</t>
  </si>
  <si>
    <t xml:space="preserve">14 Pro Max incell (ci) = R$ </t>
  </si>
  <si>
    <t>iPhone 7 VIVID</t>
  </si>
  <si>
    <t xml:space="preserve">14 Pro Max OLED (ci) = R$ </t>
  </si>
  <si>
    <t>iPhone 7 Plus VIVID</t>
  </si>
  <si>
    <t>iPhone 8/SE 2ª G VIVID</t>
  </si>
  <si>
    <t>iPhone 8 Plus VIVID</t>
  </si>
  <si>
    <t xml:space="preserve">iPhone 6 VIVID    = R$ </t>
  </si>
  <si>
    <t xml:space="preserve">iPhone 6s VIVID     = R$ </t>
  </si>
  <si>
    <t xml:space="preserve">iPhone 6s Plus VIVID = R$ </t>
  </si>
  <si>
    <t xml:space="preserve">iPhone 7 VIVID          = R$ </t>
  </si>
  <si>
    <t xml:space="preserve">iPhone 7 Plus VIVID      = R$ </t>
  </si>
  <si>
    <t xml:space="preserve">iPhone 8/SE 2ª G VIVID=R$ </t>
  </si>
  <si>
    <t xml:space="preserve">iPhone 8 Plus VIVID     = R$ </t>
  </si>
  <si>
    <t xml:space="preserve">iPhone X OLED VIVID   = R$ </t>
  </si>
  <si>
    <t>Motorola</t>
  </si>
  <si>
    <t xml:space="preserve">iPhone XS OLED VIVID= R$ </t>
  </si>
  <si>
    <t>⚠ MOTOROLA</t>
  </si>
  <si>
    <t xml:space="preserve">Moto G4 Plus c/aro  = R$ </t>
  </si>
  <si>
    <t xml:space="preserve">Moto G04      = R$ </t>
  </si>
  <si>
    <t xml:space="preserve">Moto G04 c/aro = R$ </t>
  </si>
  <si>
    <t>Moto G5</t>
  </si>
  <si>
    <t xml:space="preserve">Moto G04s c/aro = R$ </t>
  </si>
  <si>
    <t>Moto G5G (2020)</t>
  </si>
  <si>
    <t xml:space="preserve">Moto G5      = R$ </t>
  </si>
  <si>
    <t>Moto G5G Plus</t>
  </si>
  <si>
    <t xml:space="preserve">Moto G5s     = R$ </t>
  </si>
  <si>
    <t xml:space="preserve">Moto G5s </t>
  </si>
  <si>
    <t xml:space="preserve">Moto G5 Plus            = R$ </t>
  </si>
  <si>
    <t xml:space="preserve">Moto G5 Plus   </t>
  </si>
  <si>
    <t xml:space="preserve">Moto G5s Plus           = R$ </t>
  </si>
  <si>
    <t xml:space="preserve">Moto G5s Plus </t>
  </si>
  <si>
    <t xml:space="preserve">Moto G5G (2020) = R$ </t>
  </si>
  <si>
    <t xml:space="preserve">Moto G6  </t>
  </si>
  <si>
    <t xml:space="preserve">Moto G5G Plus            = R$ </t>
  </si>
  <si>
    <t>Moto G6 c/aro</t>
  </si>
  <si>
    <t xml:space="preserve">Moto G6           = R$ </t>
  </si>
  <si>
    <t>Moto G6 Play/E5 - orig</t>
  </si>
  <si>
    <t xml:space="preserve">Moto G6 c/aro = R$ </t>
  </si>
  <si>
    <t>Moto G6 Play - orig c/aro</t>
  </si>
  <si>
    <t xml:space="preserve">Moto G6 Play orig          = R$ </t>
  </si>
  <si>
    <t xml:space="preserve">Moto G6 Plus </t>
  </si>
  <si>
    <t xml:space="preserve">Moto G6 Play c/aro orig=R$ </t>
  </si>
  <si>
    <t xml:space="preserve">Moto G6 Plus    = R$ </t>
  </si>
  <si>
    <t xml:space="preserve">Moto G7 Play orig         = R$ </t>
  </si>
  <si>
    <t xml:space="preserve">Moto G7 Play c/aro orig=R$ </t>
  </si>
  <si>
    <t xml:space="preserve">Moto G7 Power  </t>
  </si>
  <si>
    <t xml:space="preserve">G7 Play c/aro Nacional = R$ </t>
  </si>
  <si>
    <t>Moto G7 Power c/aro</t>
  </si>
  <si>
    <t xml:space="preserve">Moto G7 Power             = R$ </t>
  </si>
  <si>
    <t>Moto G7/G7 Plus - orig</t>
  </si>
  <si>
    <t xml:space="preserve">Moto G7 Power c/aro   = R$ </t>
  </si>
  <si>
    <t xml:space="preserve">Moto G8  </t>
  </si>
  <si>
    <t xml:space="preserve">Moto G7/G7 Plus orig = R$ </t>
  </si>
  <si>
    <t>Moto G8 c/aro</t>
  </si>
  <si>
    <t xml:space="preserve">Moto G8            = R$ </t>
  </si>
  <si>
    <t>Moto G8 Play/One Macro</t>
  </si>
  <si>
    <t xml:space="preserve">Moto G8 c/aro = R$ </t>
  </si>
  <si>
    <t>Moto G8 Play/One Macro c/aro</t>
  </si>
  <si>
    <t xml:space="preserve">Moto G8 Play orig          = R$ </t>
  </si>
  <si>
    <t>Moto G8 Play c/aro Nacional</t>
  </si>
  <si>
    <t>Moto G8 Play c/aro orig=R$</t>
  </si>
  <si>
    <t>Moto G8 Plus</t>
  </si>
  <si>
    <t xml:space="preserve">G8 Play c/aro Nacional= R$ </t>
  </si>
  <si>
    <t>Moto G8 Plus c/aro</t>
  </si>
  <si>
    <t xml:space="preserve">Moto G8 Plus   = R$ </t>
  </si>
  <si>
    <t xml:space="preserve">Moto G8 Power  </t>
  </si>
  <si>
    <t xml:space="preserve">Moto G8 Plus c/aro      = R$ </t>
  </si>
  <si>
    <t>Moto G8 Power c/aro</t>
  </si>
  <si>
    <t xml:space="preserve">Moto G8 Power             = R$ </t>
  </si>
  <si>
    <t>Moto G8 Power Lite</t>
  </si>
  <si>
    <t xml:space="preserve">Moto G8 Power c/aro   = R$ </t>
  </si>
  <si>
    <t>Moto G8 Power Lite c/aro</t>
  </si>
  <si>
    <t xml:space="preserve">Moto G8 Power Lite       = R$ </t>
  </si>
  <si>
    <t>Moto G8 Power Lite c/aro Nacional</t>
  </si>
  <si>
    <t xml:space="preserve">Moto G8 Power Lite c/aro= </t>
  </si>
  <si>
    <t>Moto G9 Play/E7 Plus</t>
  </si>
  <si>
    <t>G8 Power Lite c/aro Nacional=</t>
  </si>
  <si>
    <t>Moto G9 Play/E7 Plus c/aro</t>
  </si>
  <si>
    <t xml:space="preserve">Moto G9 Play    = R$ </t>
  </si>
  <si>
    <t xml:space="preserve">Moto G9 Play c/aro      = R$ </t>
  </si>
  <si>
    <t>Moto G9 Plus</t>
  </si>
  <si>
    <t xml:space="preserve">Moto G9 Play c/aro Nacional= </t>
  </si>
  <si>
    <t>Moto G9 Plus c/aro</t>
  </si>
  <si>
    <t xml:space="preserve">Moto G9 Plus   = R$ </t>
  </si>
  <si>
    <t>Moto G9 Plus c/aro Nacional</t>
  </si>
  <si>
    <t xml:space="preserve">Moto G9 Plus c/aro      = R$ </t>
  </si>
  <si>
    <t>Moto G9 Power</t>
  </si>
  <si>
    <t xml:space="preserve">Moto G9 Plus c/aro Nacional= </t>
  </si>
  <si>
    <t>Moto G9 Power c/aro</t>
  </si>
  <si>
    <t xml:space="preserve">Moto G9 Power            = R$ </t>
  </si>
  <si>
    <t>Moto G9 Power c/aro Nacional</t>
  </si>
  <si>
    <t xml:space="preserve">Moto G9 Power c/aro  = R$ </t>
  </si>
  <si>
    <t>Moto G10/G20/G30</t>
  </si>
  <si>
    <t xml:space="preserve">G9 Power c/aro Nacional = </t>
  </si>
  <si>
    <t>Moto G10/G20/G30 c/aro</t>
  </si>
  <si>
    <t xml:space="preserve">Moto G10/G30 = R$ </t>
  </si>
  <si>
    <t xml:space="preserve">Moto G10/G30 c/aro  = R$ </t>
  </si>
  <si>
    <t xml:space="preserve">Moto G10 c/aro Nacional= </t>
  </si>
  <si>
    <t xml:space="preserve">Moto G13      = R$ </t>
  </si>
  <si>
    <t>Moto G13/G23 c/aro</t>
  </si>
  <si>
    <t xml:space="preserve">Moto G13 c/aro          = R$ </t>
  </si>
  <si>
    <t xml:space="preserve">Moto G13 c/aro Nacional= </t>
  </si>
  <si>
    <t xml:space="preserve">Moto G30 c/aro Nacional= </t>
  </si>
  <si>
    <t>Moto G14 c/aro</t>
  </si>
  <si>
    <t xml:space="preserve">Moto G14       = R$ </t>
  </si>
  <si>
    <t>Moto G14 c/aro Nacional</t>
  </si>
  <si>
    <t xml:space="preserve">Moto G14 c/aro           = R$ </t>
  </si>
  <si>
    <t xml:space="preserve">Moto G14 c/aro Nacional= </t>
  </si>
  <si>
    <t>Moto G22/E32</t>
  </si>
  <si>
    <t xml:space="preserve">Moto G20       = R$ </t>
  </si>
  <si>
    <t>Moto G22 c/aro</t>
  </si>
  <si>
    <t xml:space="preserve">Moto G20 c/aro           = R$ </t>
  </si>
  <si>
    <t>Moto G22 c/aro Nacional</t>
  </si>
  <si>
    <t xml:space="preserve">Moto G20 c/aro Nacional= </t>
  </si>
  <si>
    <t xml:space="preserve">Moto G22       = R$ </t>
  </si>
  <si>
    <t>Moto G31/G41/G71 incell</t>
  </si>
  <si>
    <t xml:space="preserve">Moto G22 c/aro         = R$ </t>
  </si>
  <si>
    <t xml:space="preserve">Moto G22 c/aro Nacional= </t>
  </si>
  <si>
    <t>Moto G31/G41/G71 original</t>
  </si>
  <si>
    <t xml:space="preserve">Moto G23   = R$ </t>
  </si>
  <si>
    <t xml:space="preserve">Moto G23 c/aro     = R$ </t>
  </si>
  <si>
    <t>Moto G32 c/aro</t>
  </si>
  <si>
    <t xml:space="preserve">Moto G31 incell          = R$ </t>
  </si>
  <si>
    <t xml:space="preserve">Moto G31 incell c/aro = R$ </t>
  </si>
  <si>
    <t>Moto G34 c/aro</t>
  </si>
  <si>
    <t xml:space="preserve">Moto G31 original    = R$ </t>
  </si>
  <si>
    <t xml:space="preserve">Moto G31 orig c/aro = R$ </t>
  </si>
  <si>
    <t xml:space="preserve">Moto G31 c/aro Nacional= </t>
  </si>
  <si>
    <t xml:space="preserve">Moto G32     = R$ </t>
  </si>
  <si>
    <t xml:space="preserve">Moto G32 c/aro           = R$ </t>
  </si>
  <si>
    <t>Moto G42 incell</t>
  </si>
  <si>
    <t xml:space="preserve">Moto G34    = R$ </t>
  </si>
  <si>
    <t>Moto G42 incell c/aro</t>
  </si>
  <si>
    <t xml:space="preserve">Moto G34 c/aro           = R$ </t>
  </si>
  <si>
    <t>Moto G42 original</t>
  </si>
  <si>
    <t>Moto G42 original c/aro</t>
  </si>
  <si>
    <t xml:space="preserve">Moto G41 incell         = R$ </t>
  </si>
  <si>
    <t xml:space="preserve">Moto G41 original = R$  </t>
  </si>
  <si>
    <t>Moto G50 4G</t>
  </si>
  <si>
    <t xml:space="preserve">Moto G41 incell c/aro = R$ </t>
  </si>
  <si>
    <t>Moto G50 4G c/aro</t>
  </si>
  <si>
    <t xml:space="preserve">Moto G41 orig c/aro= R$ </t>
  </si>
  <si>
    <t>Moto G50 5G</t>
  </si>
  <si>
    <t xml:space="preserve">Moto G41 c/aro Nacional = </t>
  </si>
  <si>
    <t>Moto G50 5G c/aro</t>
  </si>
  <si>
    <t xml:space="preserve">Moto G42 incell      = R$ </t>
  </si>
  <si>
    <t>Moto G60/G60s/G51</t>
  </si>
  <si>
    <t xml:space="preserve">Moto G42 incell c/aro= R$ </t>
  </si>
  <si>
    <t>Moto G60 c/aro</t>
  </si>
  <si>
    <t xml:space="preserve">Moto G42 original   = R$ </t>
  </si>
  <si>
    <t>Moto G60 c/aro Nacional</t>
  </si>
  <si>
    <t xml:space="preserve">Moto G42 orig c/aro= R$ </t>
  </si>
  <si>
    <t>Moto G60s c/aro</t>
  </si>
  <si>
    <t xml:space="preserve">Moto G42 c/aro Nacional = </t>
  </si>
  <si>
    <t>Moto G60s c/aro Nacional</t>
  </si>
  <si>
    <t xml:space="preserve">Moto G50 4G             = R$ </t>
  </si>
  <si>
    <t xml:space="preserve">Moto G50 4G c/aro = R$ </t>
  </si>
  <si>
    <t>Moto G52/G82 Incell c/aro</t>
  </si>
  <si>
    <t xml:space="preserve">Moto G50 5G             = R$ </t>
  </si>
  <si>
    <t xml:space="preserve">Moto G50 5G c/aro  = R$ </t>
  </si>
  <si>
    <t>Moto G52/G82 original c/aro</t>
  </si>
  <si>
    <t xml:space="preserve">Moto G51     = R$ </t>
  </si>
  <si>
    <t xml:space="preserve">Moto G52 incell        = R$ </t>
  </si>
  <si>
    <t xml:space="preserve">Moto G52 incell c/aro= R$ </t>
  </si>
  <si>
    <t>Moto G53 c/aro</t>
  </si>
  <si>
    <t xml:space="preserve">Moto G52 original    = R$ </t>
  </si>
  <si>
    <t>Moto G53 c/aro Nacional</t>
  </si>
  <si>
    <t xml:space="preserve">Moto G52 orig c/aro = R$ </t>
  </si>
  <si>
    <t>Moto G54 c/aro</t>
  </si>
  <si>
    <t xml:space="preserve">Moto G52 Nacional c/aro = </t>
  </si>
  <si>
    <t>Moto G54 c/aro Nacional</t>
  </si>
  <si>
    <t xml:space="preserve">Moto G53   = R$ </t>
  </si>
  <si>
    <t>Moto G62</t>
  </si>
  <si>
    <t xml:space="preserve">Moto G53 c/aro      = R$ </t>
  </si>
  <si>
    <t>Moto G62 c/aro</t>
  </si>
  <si>
    <t xml:space="preserve">Moto G53 c/aro Nacional = </t>
  </si>
  <si>
    <t>Moto G72 Incell c/aro</t>
  </si>
  <si>
    <t xml:space="preserve">Moto G54   = R$ </t>
  </si>
  <si>
    <t>Moto G72 original c/aro</t>
  </si>
  <si>
    <t xml:space="preserve">Moto G54 c/aro        = R$ </t>
  </si>
  <si>
    <t xml:space="preserve">Moto G54 c/aro Nacional = </t>
  </si>
  <si>
    <t>Moto G73 c/aro</t>
  </si>
  <si>
    <t xml:space="preserve">Moto G60/G60s        = R$ </t>
  </si>
  <si>
    <t>Moto G73 c/aro Nacional</t>
  </si>
  <si>
    <t xml:space="preserve">Moto G60 c/aro        = R$ </t>
  </si>
  <si>
    <t>Moto G84 Incell</t>
  </si>
  <si>
    <t>Moto G84 Incell c/aro</t>
  </si>
  <si>
    <t xml:space="preserve">Moto G60s c/aro     = R$ </t>
  </si>
  <si>
    <t>Moto G84 original c/aro</t>
  </si>
  <si>
    <t>Moto G100</t>
  </si>
  <si>
    <t xml:space="preserve">Moto G62    = R$ </t>
  </si>
  <si>
    <t>Moto G100 c/aro</t>
  </si>
  <si>
    <t xml:space="preserve">Moto G62 c/aro     = R$ </t>
  </si>
  <si>
    <t>Moto G200</t>
  </si>
  <si>
    <t xml:space="preserve">Moto G71 incell    = R$ </t>
  </si>
  <si>
    <t xml:space="preserve">Moto G71 original  = R$ </t>
  </si>
  <si>
    <t xml:space="preserve">Moto G72 incell c/aro = R$ </t>
  </si>
  <si>
    <t xml:space="preserve">Moto G72 orig c/aro = R$ </t>
  </si>
  <si>
    <t xml:space="preserve">Moto G73       = R$ </t>
  </si>
  <si>
    <t xml:space="preserve">Moto G73 c/aro          = R$ </t>
  </si>
  <si>
    <t xml:space="preserve">Moto G82 incell  = R$ </t>
  </si>
  <si>
    <t xml:space="preserve">Moto One    </t>
  </si>
  <si>
    <t xml:space="preserve">Moto G82 incell c/aro = R$ </t>
  </si>
  <si>
    <t>Moto One c/aro</t>
  </si>
  <si>
    <t xml:space="preserve">Moto G82 original  = R$ </t>
  </si>
  <si>
    <t>Moto One Hyper</t>
  </si>
  <si>
    <t xml:space="preserve">Moto G82 orig c/aro = R$ </t>
  </si>
  <si>
    <t xml:space="preserve">Moto G82 Nacional c/aro = </t>
  </si>
  <si>
    <t xml:space="preserve">Moto G84 incell         = R$ </t>
  </si>
  <si>
    <t>Moto One Vision/Action</t>
  </si>
  <si>
    <t xml:space="preserve">Moto G84 incell c/aro = R$ </t>
  </si>
  <si>
    <t>Moto One Vision C/aro</t>
  </si>
  <si>
    <t xml:space="preserve">Moto G84 orig c/aro = R$ </t>
  </si>
  <si>
    <t xml:space="preserve">Moto G100     = R$ </t>
  </si>
  <si>
    <t xml:space="preserve">Moto One Fusion  </t>
  </si>
  <si>
    <t xml:space="preserve">Moto G100 c/aro        = R$ </t>
  </si>
  <si>
    <t xml:space="preserve">Moto G200     = R$ </t>
  </si>
  <si>
    <t>Moto One Fusion c/aro Nacional</t>
  </si>
  <si>
    <t xml:space="preserve">G200 c/aro Nacional  = R$ </t>
  </si>
  <si>
    <t>Moto One Fusion Plus</t>
  </si>
  <si>
    <t xml:space="preserve">Moto One       = R$ </t>
  </si>
  <si>
    <t xml:space="preserve">Moto One Zoom  </t>
  </si>
  <si>
    <t xml:space="preserve">Moto One c/aro         = R$ </t>
  </si>
  <si>
    <t xml:space="preserve">Moto One Hyper          = R$ </t>
  </si>
  <si>
    <t xml:space="preserve">Moto E4  </t>
  </si>
  <si>
    <t xml:space="preserve">Moto One Macro          = R$ </t>
  </si>
  <si>
    <t xml:space="preserve">Moto E4 Plus </t>
  </si>
  <si>
    <t xml:space="preserve">Moto One Macro c/aro = R$ </t>
  </si>
  <si>
    <t xml:space="preserve">Moto One Vision           = R$ </t>
  </si>
  <si>
    <t xml:space="preserve">Moto E5 Play </t>
  </si>
  <si>
    <t xml:space="preserve">Moto One Vision c/aro = R$ </t>
  </si>
  <si>
    <t xml:space="preserve">Moto One Action         = R$ </t>
  </si>
  <si>
    <t xml:space="preserve">Moto E5 Plus </t>
  </si>
  <si>
    <t xml:space="preserve">Moto E6 Play </t>
  </si>
  <si>
    <t xml:space="preserve">Moto One Fusion         = R$ </t>
  </si>
  <si>
    <t>Moto E6 Play c/aro</t>
  </si>
  <si>
    <t xml:space="preserve">Moto One Fusion c/aro = R$ </t>
  </si>
  <si>
    <t xml:space="preserve">Moto E6 Plus </t>
  </si>
  <si>
    <t xml:space="preserve">One Fusion c/aro Nacional= </t>
  </si>
  <si>
    <t>Moto E6 Plus c/aro</t>
  </si>
  <si>
    <t xml:space="preserve">Moto One Fusion Plus = R$ </t>
  </si>
  <si>
    <t>Moto E6i/E6s</t>
  </si>
  <si>
    <t>One Fusion Plus c/aro Nac =</t>
  </si>
  <si>
    <t xml:space="preserve">Moto One Zoom         = R$ </t>
  </si>
  <si>
    <t>Moto E7/E7 Power</t>
  </si>
  <si>
    <t xml:space="preserve">Moto E4          = R$ </t>
  </si>
  <si>
    <t xml:space="preserve">Moto E4 Plus   = R$ </t>
  </si>
  <si>
    <t>Moto E7 c/aro Nacional</t>
  </si>
  <si>
    <t xml:space="preserve">Moto E5 original           = R$ </t>
  </si>
  <si>
    <t xml:space="preserve">Moto E5 Play    = R$ </t>
  </si>
  <si>
    <t>Moto E5 Play Go Edition=R$</t>
  </si>
  <si>
    <t>Moto E13</t>
  </si>
  <si>
    <t xml:space="preserve">Moto E5 Plus   = R$ </t>
  </si>
  <si>
    <t>Moto E13 c/aro</t>
  </si>
  <si>
    <t xml:space="preserve">Moto E6 Play    = R$ </t>
  </si>
  <si>
    <t>Moto E13 c/aro Nacional</t>
  </si>
  <si>
    <t xml:space="preserve">Moto E6 Play c/aro     = R$ </t>
  </si>
  <si>
    <t>Moto E20</t>
  </si>
  <si>
    <t xml:space="preserve">Moto E6 Plus    = R$ </t>
  </si>
  <si>
    <t xml:space="preserve">Moto E6 Plus c/aro     = R$ </t>
  </si>
  <si>
    <t>Moto E20 c/aro Nacional</t>
  </si>
  <si>
    <t xml:space="preserve">Moto E6i/E6s    = R$ </t>
  </si>
  <si>
    <t>Moto E22</t>
  </si>
  <si>
    <t xml:space="preserve">Moto E6s c/aro            = R$ </t>
  </si>
  <si>
    <t>Moto E22 c/aro</t>
  </si>
  <si>
    <t xml:space="preserve">Moto E6i c/aro = R$ </t>
  </si>
  <si>
    <t>Moto E22 c/aro Nacional</t>
  </si>
  <si>
    <t xml:space="preserve">Moto E7/E7 Power        = R$ </t>
  </si>
  <si>
    <t>Moto E30/E40</t>
  </si>
  <si>
    <t xml:space="preserve">Moto E7 c/aro = R$ </t>
  </si>
  <si>
    <t>Moto E30/E40 c/aro</t>
  </si>
  <si>
    <t xml:space="preserve">Moto E7 c/aro Nacional = </t>
  </si>
  <si>
    <t>Moto E30/E40 c/aro Nacional</t>
  </si>
  <si>
    <t xml:space="preserve">Moto E7 Power c/aro   = R$ </t>
  </si>
  <si>
    <t>Moto E32 c/aro</t>
  </si>
  <si>
    <t xml:space="preserve">E7 Power Nacional c/aro = </t>
  </si>
  <si>
    <t>Moto E32 c/aro Nacional</t>
  </si>
  <si>
    <t xml:space="preserve">Moto E7 Plus  = R$ </t>
  </si>
  <si>
    <t>Moto Edge Plus Nacional</t>
  </si>
  <si>
    <t xml:space="preserve">Moto E7 Plus c/aro     = R$ </t>
  </si>
  <si>
    <t xml:space="preserve">E7 Plus c/aro Nacional = R$ </t>
  </si>
  <si>
    <t xml:space="preserve">Moto E13            = R$ </t>
  </si>
  <si>
    <t xml:space="preserve">Moto E13 c/aro      = R$ </t>
  </si>
  <si>
    <t>Moto Edge 20 Lite original c/aro</t>
  </si>
  <si>
    <t xml:space="preserve">E13 c/aro Nacional = R$ </t>
  </si>
  <si>
    <t>Moto Edge 20 Lite c/aro Nacional</t>
  </si>
  <si>
    <t xml:space="preserve">Moto E20       = R$ </t>
  </si>
  <si>
    <t>Moto Edge 30 Neo original</t>
  </si>
  <si>
    <t xml:space="preserve">Moto E20 c/aro          = R$ </t>
  </si>
  <si>
    <t xml:space="preserve">Moto E22       = R$ </t>
  </si>
  <si>
    <t xml:space="preserve">Moto E22 c/aro        = R$ </t>
  </si>
  <si>
    <t xml:space="preserve">Moto Z Power   </t>
  </si>
  <si>
    <t xml:space="preserve">Moto E30/E40            = R$ </t>
  </si>
  <si>
    <t xml:space="preserve">Moto E30/E40 c/aro= R$ </t>
  </si>
  <si>
    <t>Moto Z2 Play</t>
  </si>
  <si>
    <t xml:space="preserve">E30/E40 c/aro Nacional=R$ </t>
  </si>
  <si>
    <t>Moto Z3 Play</t>
  </si>
  <si>
    <t xml:space="preserve">Moto E32      = R$ </t>
  </si>
  <si>
    <t xml:space="preserve">Moto E32 c/aro       = R$ </t>
  </si>
  <si>
    <t xml:space="preserve">Moto E32 c/aro Nacional= </t>
  </si>
  <si>
    <t xml:space="preserve">Moto Edge Plus Nacional = </t>
  </si>
  <si>
    <t xml:space="preserve">Moto Edge 20 orig     = R$ </t>
  </si>
  <si>
    <t>LG</t>
  </si>
  <si>
    <t xml:space="preserve">Moto Edge 20 Lite orig=R$ </t>
  </si>
  <si>
    <t>K8 2017 c/aro</t>
  </si>
  <si>
    <t xml:space="preserve">Edge 20 Lite orig c/aro=R$ </t>
  </si>
  <si>
    <t>K8 Plus c/aro</t>
  </si>
  <si>
    <t xml:space="preserve">Edge 20 Lite Nac c/aro=R$ </t>
  </si>
  <si>
    <t>K9 c/aro</t>
  </si>
  <si>
    <t xml:space="preserve">Moto Edge 30 incell  = R$ </t>
  </si>
  <si>
    <t>K10 sem TV</t>
  </si>
  <si>
    <t xml:space="preserve">Moto Edge 30 orig    = R$ </t>
  </si>
  <si>
    <t>K10 com TV</t>
  </si>
  <si>
    <t>K10 2017 C/Aro</t>
  </si>
  <si>
    <t xml:space="preserve">K10 Power  </t>
  </si>
  <si>
    <t xml:space="preserve">K10 Pro  </t>
  </si>
  <si>
    <t xml:space="preserve">Moto Z Power     = R$ </t>
  </si>
  <si>
    <t xml:space="preserve">Moto Z2 Play      = R$ </t>
  </si>
  <si>
    <t xml:space="preserve">Moto Z3 Play      = R$ </t>
  </si>
  <si>
    <t>⚠ LG</t>
  </si>
  <si>
    <t xml:space="preserve">K8 2017 c/aro        = R$ </t>
  </si>
  <si>
    <t xml:space="preserve">K8 Plus c/aro         = R$ </t>
  </si>
  <si>
    <t>K40s</t>
  </si>
  <si>
    <t xml:space="preserve">K9 c/aro      = R$ </t>
  </si>
  <si>
    <t xml:space="preserve">K10 s/TV c/aro         = R$ </t>
  </si>
  <si>
    <t>K41s</t>
  </si>
  <si>
    <t xml:space="preserve">K10 c/TV c/aro         = R$ </t>
  </si>
  <si>
    <t xml:space="preserve">K10 2017 c/aro         = R$ </t>
  </si>
  <si>
    <t xml:space="preserve">K10 Power c/aro       = R$ </t>
  </si>
  <si>
    <t xml:space="preserve">K10 Pro c/aro             = R$ </t>
  </si>
  <si>
    <t xml:space="preserve">K11+ c/aro        = R$ </t>
  </si>
  <si>
    <t xml:space="preserve">K12/K12+          = R$ </t>
  </si>
  <si>
    <t>K50s</t>
  </si>
  <si>
    <t xml:space="preserve">K12/K12+ c/aro = R$ </t>
  </si>
  <si>
    <t xml:space="preserve">K12 Max/K12 Prime        = R$ </t>
  </si>
  <si>
    <t>K51</t>
  </si>
  <si>
    <t xml:space="preserve">K12 Max/K12 Prime c/aro= </t>
  </si>
  <si>
    <t>K51s</t>
  </si>
  <si>
    <t xml:space="preserve">K22/K22 Plus    = R$ </t>
  </si>
  <si>
    <t xml:space="preserve">K22/K22 Plus c/aro       = R$ </t>
  </si>
  <si>
    <t>K61</t>
  </si>
  <si>
    <t xml:space="preserve">K40s     = R$ </t>
  </si>
  <si>
    <t xml:space="preserve">K40s c/aro        = R$ </t>
  </si>
  <si>
    <t xml:space="preserve">K41s     = R$ </t>
  </si>
  <si>
    <t xml:space="preserve">K41s c/aro        = R$ </t>
  </si>
  <si>
    <t xml:space="preserve">K41s c/aro Nacional = R$ </t>
  </si>
  <si>
    <t xml:space="preserve">K42/K52/K62   = R$ </t>
  </si>
  <si>
    <t xml:space="preserve">K42/K52 c/aro            = R$ </t>
  </si>
  <si>
    <t>Xiaomi</t>
  </si>
  <si>
    <t xml:space="preserve">K50s  = R$ </t>
  </si>
  <si>
    <t xml:space="preserve">K50s c/aro     = R$ </t>
  </si>
  <si>
    <t xml:space="preserve">K51   = R$ </t>
  </si>
  <si>
    <t xml:space="preserve">K51s              = R$ </t>
  </si>
  <si>
    <t xml:space="preserve">K51s c/aro   = R$ </t>
  </si>
  <si>
    <t xml:space="preserve">K61             = R$ </t>
  </si>
  <si>
    <t xml:space="preserve">K61 c/aro   = R$ </t>
  </si>
  <si>
    <t xml:space="preserve">K62/K62 Plus c/aro = R$ </t>
  </si>
  <si>
    <t xml:space="preserve">K62/K62 Plus Nac c/aro = </t>
  </si>
  <si>
    <t>⚠ XIAOMI</t>
  </si>
  <si>
    <t xml:space="preserve">Redmi Note 6 Pro= </t>
  </si>
  <si>
    <t xml:space="preserve">Redmi Note 7/Note 7 Pro= </t>
  </si>
  <si>
    <t>Redmi Note 7/7 Pro c/aro=</t>
  </si>
  <si>
    <t xml:space="preserve">Note 7/7 Pro c/aro Nac = R$ </t>
  </si>
  <si>
    <t xml:space="preserve">Redmi Note 8    = R$ </t>
  </si>
  <si>
    <t xml:space="preserve">Redmi Note 8 c/aro      = R$ </t>
  </si>
  <si>
    <t xml:space="preserve">Note 8 c/aro Nacional = R$ </t>
  </si>
  <si>
    <t xml:space="preserve">Redmi Note 8T = R$ </t>
  </si>
  <si>
    <t xml:space="preserve">Redmi Note 8 Pro         = R$ </t>
  </si>
  <si>
    <t xml:space="preserve">Note 8 Pro Nacional c/aro = </t>
  </si>
  <si>
    <t xml:space="preserve">Redmi Note 9   = R$ </t>
  </si>
  <si>
    <t xml:space="preserve">Redmi Note 9 c/aro     = R$ </t>
  </si>
  <si>
    <t xml:space="preserve">Note 9 c/aro Nacional = R$ </t>
  </si>
  <si>
    <t xml:space="preserve">Redmi Note 9 Pro/9s    = R$ </t>
  </si>
  <si>
    <t xml:space="preserve">Note 9 Pro/9s c/aro = R$ </t>
  </si>
  <si>
    <t>Note 9 Pro/9s c/aro Nac=R$</t>
  </si>
  <si>
    <t xml:space="preserve">Redmi Note 10 4G/10s-inc= </t>
  </si>
  <si>
    <t xml:space="preserve">Note 10 4G/10s-inc c/aro = </t>
  </si>
  <si>
    <t xml:space="preserve">Redmi Note 10 4G/10s-ori= </t>
  </si>
  <si>
    <t xml:space="preserve">Note 10 4G/10s-orig c/aro = </t>
  </si>
  <si>
    <t xml:space="preserve">Redmi Note 10 5G          = R$ </t>
  </si>
  <si>
    <t>Redmi Note 12 4G - incell c/aro</t>
  </si>
  <si>
    <t>Note 10 Pro/10 Pro Max inc=</t>
  </si>
  <si>
    <t>Redmi Note 12 4G - orig c/aro</t>
  </si>
  <si>
    <t>Note 10 Pro/10 Pro Max ori=</t>
  </si>
  <si>
    <t>Redmi Note 12 4G c/aro Nacional</t>
  </si>
  <si>
    <t>Note 10 Pro Max orig c/aro=</t>
  </si>
  <si>
    <t xml:space="preserve">Note 10 Pro 5G (Flex Reto)= </t>
  </si>
  <si>
    <t xml:space="preserve">Note 11 Pro - incell = R$ </t>
  </si>
  <si>
    <t xml:space="preserve">Note 11 Pro - original = R$ </t>
  </si>
  <si>
    <t>Redmi Note 12 Pro 4G - incell c/aro</t>
  </si>
  <si>
    <t>Redmi Note 12 Pro 4G - original c/aro</t>
  </si>
  <si>
    <t>Redmi Note 11 4G/11s-inc=</t>
  </si>
  <si>
    <t>Note 12 Pro 5G/Note 12 Pro Plus/Poco X5 Pro - incell</t>
  </si>
  <si>
    <t xml:space="preserve">Note 11 4G c/aro incell=R$ </t>
  </si>
  <si>
    <t xml:space="preserve">Note 11s 4G c/aro incell= R$ </t>
  </si>
  <si>
    <t>Note 12 Pro 5G/Note 12 Pro Plus/Poco X5 Pro - orig</t>
  </si>
  <si>
    <t>Redmi Note 11 4G/11s-orig=</t>
  </si>
  <si>
    <t xml:space="preserve">Note 11 4G c/aro orig   = R$ </t>
  </si>
  <si>
    <t xml:space="preserve">Note 11s 4G c/aro orig = R$ </t>
  </si>
  <si>
    <t>Redmi Note 13 4G - incell</t>
  </si>
  <si>
    <t xml:space="preserve">Redmi Note 11 5G      = R$ </t>
  </si>
  <si>
    <t>Redmi Note 13 4G - incell c/aro</t>
  </si>
  <si>
    <t xml:space="preserve">Redmi Note 12 - incell = R$ </t>
  </si>
  <si>
    <t xml:space="preserve">Redmi Note 12 - orig = R$ </t>
  </si>
  <si>
    <t>Redmi Note 13 4G - original c/aro</t>
  </si>
  <si>
    <t xml:space="preserve">Note 12 4G - incell c/aro=R$ </t>
  </si>
  <si>
    <t xml:space="preserve">Note 12 4G - orig c/aro = R$ </t>
  </si>
  <si>
    <t>Redmi Note 13 5G - incell c/aro</t>
  </si>
  <si>
    <t xml:space="preserve">Note 12 5G -incell c/aro= R$ </t>
  </si>
  <si>
    <t>Redmi Note 13 5G - original c/aro</t>
  </si>
  <si>
    <t xml:space="preserve">Note 12 5G - orig c/aro = R$ </t>
  </si>
  <si>
    <t xml:space="preserve">Redmi Note 12s-incell = R$ </t>
  </si>
  <si>
    <t>Redmi 7</t>
  </si>
  <si>
    <t xml:space="preserve">Redmi Note 12s - orig = R$ </t>
  </si>
  <si>
    <t>Redmi 7A</t>
  </si>
  <si>
    <t xml:space="preserve">Note 12s - orig c/aro    = R$ </t>
  </si>
  <si>
    <t>Redmi 8/8A</t>
  </si>
  <si>
    <t xml:space="preserve">Note 12 Pro 4G - orig = R$ </t>
  </si>
  <si>
    <t>Redmi 9</t>
  </si>
  <si>
    <t>Note 12 Pro 4G-incell c/aro=</t>
  </si>
  <si>
    <t>Redmi 9 c/aro</t>
  </si>
  <si>
    <t>Note 12 Pro 4G-orig c/aro=</t>
  </si>
  <si>
    <t xml:space="preserve">Note 12 Pro 5G - incell= R$ </t>
  </si>
  <si>
    <t>Redmi 9A/9C C/Aro</t>
  </si>
  <si>
    <t>Note 12 Pro 5G-incell c/aro=</t>
  </si>
  <si>
    <t xml:space="preserve">Note 12 Pro 5G -orig = R$ </t>
  </si>
  <si>
    <t>Redmi 9T/Poco M3</t>
  </si>
  <si>
    <t>Note 12 Pro 5G-orig  c/aro=</t>
  </si>
  <si>
    <t>Redmi 9T/Poco M3 c/aro</t>
  </si>
  <si>
    <t>Note 12 Pro 5G- Nac c/aro=</t>
  </si>
  <si>
    <t>Redmi 10/10 prime</t>
  </si>
  <si>
    <t xml:space="preserve">Note 12 Pro Plus-incell=R$ </t>
  </si>
  <si>
    <t>Redmi 10/10 Prime c/aro</t>
  </si>
  <si>
    <t xml:space="preserve">Note 12 Pro Plus - orig = R$ </t>
  </si>
  <si>
    <t>Redmi 10/10 Prime Nacional c/aro</t>
  </si>
  <si>
    <t xml:space="preserve">Note 13 4G - incell = R$ </t>
  </si>
  <si>
    <t>Redmi 10A c/aro</t>
  </si>
  <si>
    <t xml:space="preserve">Note 13 4G-incell c/aro= R$ </t>
  </si>
  <si>
    <t>Redmi 10C/Poco C40</t>
  </si>
  <si>
    <t xml:space="preserve">Note 13 4G - original = R$ </t>
  </si>
  <si>
    <t>Redmi 10C c/aro</t>
  </si>
  <si>
    <t xml:space="preserve">Note 13 4G - orig c/aro= R$ </t>
  </si>
  <si>
    <t xml:space="preserve">Note 13 5G - incell = R$ </t>
  </si>
  <si>
    <t xml:space="preserve">Note 13 5G - incell c/aro= </t>
  </si>
  <si>
    <t>Redmi 12 c/aro</t>
  </si>
  <si>
    <t xml:space="preserve">Note 13 5G - original = R$ </t>
  </si>
  <si>
    <t xml:space="preserve">Note 13 5G - orig c/aro= </t>
  </si>
  <si>
    <t xml:space="preserve">Redmi 7          = R$ </t>
  </si>
  <si>
    <t xml:space="preserve">Redmi 7A        = R$ </t>
  </si>
  <si>
    <t xml:space="preserve">Redmi 8/8A    = R$ </t>
  </si>
  <si>
    <t xml:space="preserve">Redmi 9           = R$ </t>
  </si>
  <si>
    <t xml:space="preserve">Redmi 9 c/aro             = R$ </t>
  </si>
  <si>
    <t>Redmi A1/A2/A1 Plus/A2 Plus</t>
  </si>
  <si>
    <t>Redmi S2</t>
  </si>
  <si>
    <t xml:space="preserve">Redmi 9A/9C c/aro   = R$ </t>
  </si>
  <si>
    <t>Mi 8 - incell</t>
  </si>
  <si>
    <t xml:space="preserve">Redmi 9A/9C c/aro Nac = </t>
  </si>
  <si>
    <t>Mi 8 - orig</t>
  </si>
  <si>
    <t xml:space="preserve">Redmi 9T         = R$ </t>
  </si>
  <si>
    <t>Mi 8 Lite</t>
  </si>
  <si>
    <t xml:space="preserve">Redmi 9T c/aro  = R$ </t>
  </si>
  <si>
    <t>Mi 9 - incell</t>
  </si>
  <si>
    <t xml:space="preserve">Redmi 10/10 prime    = R$ </t>
  </si>
  <si>
    <t>Mi 9 - orig</t>
  </si>
  <si>
    <t xml:space="preserve">Redmi 10/10 prime c/aro = </t>
  </si>
  <si>
    <t>Mi 9 SE - incell</t>
  </si>
  <si>
    <t xml:space="preserve">Redmi 10 Prime Nac c/aro =  </t>
  </si>
  <si>
    <t>Mi 9 Lite - incell</t>
  </si>
  <si>
    <t xml:space="preserve">Redmi 10A       = R$ </t>
  </si>
  <si>
    <t>Mi 9 Lite - orig</t>
  </si>
  <si>
    <t xml:space="preserve">Redmi 10A c/aro        = R$ </t>
  </si>
  <si>
    <t>Mi 9T - incell</t>
  </si>
  <si>
    <t xml:space="preserve">Redmi 10C       = R$ </t>
  </si>
  <si>
    <t>Mi 9T - orig</t>
  </si>
  <si>
    <t xml:space="preserve">Redmi 10C c/aro        = R$ </t>
  </si>
  <si>
    <t>Mi 9T Pro - incell</t>
  </si>
  <si>
    <t xml:space="preserve">Redmi 11 Prime         = R$ </t>
  </si>
  <si>
    <t>Mi 9T Pro - orig</t>
  </si>
  <si>
    <t xml:space="preserve">Redmi 12    = R$ </t>
  </si>
  <si>
    <t xml:space="preserve">Redmi 12 c/aro       = R$ </t>
  </si>
  <si>
    <t>Mi 11 Lite - incell</t>
  </si>
  <si>
    <t>Mi 11 Lite - orig</t>
  </si>
  <si>
    <t xml:space="preserve">Redmi 12C    = R$ </t>
  </si>
  <si>
    <t xml:space="preserve">Redmi 12C c/aro       = R$ </t>
  </si>
  <si>
    <t xml:space="preserve">Redmi 13    = R$ </t>
  </si>
  <si>
    <t xml:space="preserve">Redmi 13C    = R$ </t>
  </si>
  <si>
    <t>Mi A2 - orig</t>
  </si>
  <si>
    <t xml:space="preserve">Redmi 13C c/aro   = R$ </t>
  </si>
  <si>
    <t>Mi A3 - incell</t>
  </si>
  <si>
    <t xml:space="preserve">Redmi A1/A2 = R$ </t>
  </si>
  <si>
    <t>Mi A3 - orig</t>
  </si>
  <si>
    <t xml:space="preserve">Redmi A1 Plus/A2 Plus= R$ </t>
  </si>
  <si>
    <t>Mi Max 2</t>
  </si>
  <si>
    <t xml:space="preserve">Redmi S2   = R$ </t>
  </si>
  <si>
    <t>Mi Max 3</t>
  </si>
  <si>
    <t xml:space="preserve">Mi 8 - incell     = R$ </t>
  </si>
  <si>
    <t>Poco M3 Pro</t>
  </si>
  <si>
    <t xml:space="preserve">Mi 8 - orig       = R$ </t>
  </si>
  <si>
    <t xml:space="preserve">Mi 8 Lite          = R$ </t>
  </si>
  <si>
    <t xml:space="preserve">Mi 9 - incell     = R$ </t>
  </si>
  <si>
    <t>Poco M4/Poco M5 c/aro</t>
  </si>
  <si>
    <t xml:space="preserve">Mi 9 - orig       = R$ </t>
  </si>
  <si>
    <t xml:space="preserve">Mi 9 SE - incell             = R$ </t>
  </si>
  <si>
    <t xml:space="preserve">Mi 9 Lite - incell           = R$ </t>
  </si>
  <si>
    <t>Poco X3/X3 Pro</t>
  </si>
  <si>
    <t xml:space="preserve">Mi 9 Lite - original        = R$ </t>
  </si>
  <si>
    <t>Poco X3/X3 Pro c/aro</t>
  </si>
  <si>
    <t xml:space="preserve">Mi 9T - incell   = R$ </t>
  </si>
  <si>
    <t>Poco X3 GT/Note 10 Pro 5G (Flex Reto)</t>
  </si>
  <si>
    <t xml:space="preserve">Mi 9T - original             = R$ </t>
  </si>
  <si>
    <t xml:space="preserve">Mi 9T Pro - incell     = R$ </t>
  </si>
  <si>
    <t xml:space="preserve">Mi 9T Pro - original  = R$ </t>
  </si>
  <si>
    <t xml:space="preserve">Mi 11 Lite - incell      = R$ </t>
  </si>
  <si>
    <t xml:space="preserve">Mi 11 Lite - original   = R$ </t>
  </si>
  <si>
    <t>Asus</t>
  </si>
  <si>
    <t xml:space="preserve">Mi A2 - original  = R$ </t>
  </si>
  <si>
    <t>Asus ZenFone Live (ZB501KL)</t>
  </si>
  <si>
    <t xml:space="preserve">Mi A2 Lite   = R$ </t>
  </si>
  <si>
    <t>Asus Zenfone 4 Selfie (ZD553KL)</t>
  </si>
  <si>
    <t xml:space="preserve">Mi A3 - incell   = R$ </t>
  </si>
  <si>
    <t>Asus ZenFone 5 Selfie (ZC600KL)</t>
  </si>
  <si>
    <t xml:space="preserve">Mi A3 - original           = R$ </t>
  </si>
  <si>
    <t xml:space="preserve">Mi Max 2        = R$ </t>
  </si>
  <si>
    <t xml:space="preserve">Mi Max 3        = R$ </t>
  </si>
  <si>
    <t>Asus Zenfone Max Pro M2 (ZB631KL)</t>
  </si>
  <si>
    <t xml:space="preserve">Poco C3            = R$ </t>
  </si>
  <si>
    <t>Asus Zenfone Max Shot (ZB634KL)</t>
  </si>
  <si>
    <t xml:space="preserve">Poco C40        = R$ </t>
  </si>
  <si>
    <t xml:space="preserve">Poco M3            = R$ </t>
  </si>
  <si>
    <t xml:space="preserve">Poco M3 c/aro  = R$ </t>
  </si>
  <si>
    <t xml:space="preserve">Poco M3 Pro     = R$ </t>
  </si>
  <si>
    <t xml:space="preserve">Poco M4 Pro 4G-incell=R$ </t>
  </si>
  <si>
    <t xml:space="preserve">Poco M4 Pro 4G -orig = R$ </t>
  </si>
  <si>
    <t>Realme</t>
  </si>
  <si>
    <t xml:space="preserve">Poco M4 Pro 5G         = R$ </t>
  </si>
  <si>
    <t xml:space="preserve">Poco M4/Poco M5 = R$ </t>
  </si>
  <si>
    <t>Poco M4/Poco M5 c/aro=R$</t>
  </si>
  <si>
    <t>Realme C55 c/aro</t>
  </si>
  <si>
    <t xml:space="preserve">Poco M5s - incell = R$ </t>
  </si>
  <si>
    <t xml:space="preserve">Poco M5s - original = R$ </t>
  </si>
  <si>
    <t xml:space="preserve">Poco X3/X3 Pro     = R$ </t>
  </si>
  <si>
    <t xml:space="preserve">Poco X3/X3 Pro c/aro = R$ </t>
  </si>
  <si>
    <t xml:space="preserve">Poco X3 GT    = R$ </t>
  </si>
  <si>
    <t xml:space="preserve">Poco X4 Pro - incell = R$ </t>
  </si>
  <si>
    <t>LCD</t>
  </si>
  <si>
    <t xml:space="preserve">Poco X4 Pro - original = R$ </t>
  </si>
  <si>
    <t>Galaxy Grand Prime (G530)</t>
  </si>
  <si>
    <t xml:space="preserve">Poco X4 GT    = R$ </t>
  </si>
  <si>
    <t xml:space="preserve">Poco X5 Pro - incell  = R$ </t>
  </si>
  <si>
    <t xml:space="preserve">Poco X5 Pro - original = R$ </t>
  </si>
  <si>
    <t xml:space="preserve">Poco C65  = R$ </t>
  </si>
  <si>
    <t>⚠ ASUS</t>
  </si>
  <si>
    <t xml:space="preserve">ZB501KL         = R$ </t>
  </si>
  <si>
    <t xml:space="preserve">ZD553KL         = R$ </t>
  </si>
  <si>
    <t xml:space="preserve">ZC600KL          = R$ </t>
  </si>
  <si>
    <t xml:space="preserve">ZB601KL          = R$ </t>
  </si>
  <si>
    <t xml:space="preserve">ZB602KL          = R$ </t>
  </si>
  <si>
    <t xml:space="preserve">ZB631KL          = R$ </t>
  </si>
  <si>
    <t xml:space="preserve">ZB634KL          = R$ </t>
  </si>
  <si>
    <t>⚠ REALME</t>
  </si>
  <si>
    <t xml:space="preserve">Realme C51/C53 = R$ </t>
  </si>
  <si>
    <t xml:space="preserve">Realme C55 = R$ </t>
  </si>
  <si>
    <t xml:space="preserve">Realme C55 c/aro = R$ </t>
  </si>
  <si>
    <t>⚠ LCD</t>
  </si>
  <si>
    <t xml:space="preserve">Redmi A3   = R$ </t>
  </si>
  <si>
    <t>Moto G72 c/aro Nacional =</t>
  </si>
  <si>
    <t xml:space="preserve">M34 - incell      = R$ </t>
  </si>
  <si>
    <t>iPhone 14 OLED (ci)</t>
  </si>
  <si>
    <t xml:space="preserve">iPhone 14 OLED (ci) = R$ </t>
  </si>
  <si>
    <t xml:space="preserve">Poco M5s - incell c/aro = R$ </t>
  </si>
  <si>
    <t>Moto G13/G23 c/aro Nacional</t>
  </si>
  <si>
    <t xml:space="preserve">Moto G23 c/aro Nacional= </t>
  </si>
  <si>
    <t xml:space="preserve">Moto G04s     = R$ </t>
  </si>
  <si>
    <t xml:space="preserve">Moto G04 c/aro Nacional = </t>
  </si>
  <si>
    <t xml:space="preserve">Redmi 10 5G    = R$ </t>
  </si>
  <si>
    <t>Moto G32/G73</t>
  </si>
  <si>
    <t>M14 5G</t>
  </si>
  <si>
    <t>M14 5G c/aro</t>
  </si>
  <si>
    <t xml:space="preserve">M14 5G    = R$ </t>
  </si>
  <si>
    <t xml:space="preserve">M14 5G c/aro           = R$ </t>
  </si>
  <si>
    <t xml:space="preserve">Redmi 14C    = R$ </t>
  </si>
  <si>
    <t xml:space="preserve">Note 12s - incell c/aro    = R$ </t>
  </si>
  <si>
    <t xml:space="preserve">Poco M4 Pro 4G-incell c/aro = </t>
  </si>
  <si>
    <t xml:space="preserve">Poco M4 Pro 4G-orig c/aro = </t>
  </si>
  <si>
    <t>Redmi 13 c/aro</t>
  </si>
  <si>
    <t xml:space="preserve">Redmi 13 c/aro   = R$ </t>
  </si>
  <si>
    <t xml:space="preserve">Redmi 14C c/aro   = R$ </t>
  </si>
  <si>
    <t>Preco</t>
  </si>
  <si>
    <t>iPhone 6 original</t>
  </si>
  <si>
    <t>iPhone 6s original</t>
  </si>
  <si>
    <t>iPhone 6 Plus original</t>
  </si>
  <si>
    <t>iPhone 6s Plus original</t>
  </si>
  <si>
    <t>iPhone 7 original</t>
  </si>
  <si>
    <t>iPhone 7 Plus original</t>
  </si>
  <si>
    <t>iPhone 8 original</t>
  </si>
  <si>
    <t>iPhone 8 Plus original</t>
  </si>
  <si>
    <t>iPhone X incell</t>
  </si>
  <si>
    <t>iPhone XS incell</t>
  </si>
  <si>
    <t>iPhone XS Max incell</t>
  </si>
  <si>
    <t>iPhone XS Max original</t>
  </si>
  <si>
    <t>iPhone X original</t>
  </si>
  <si>
    <t>iPhone XS original</t>
  </si>
  <si>
    <t>Asus ZenFone Live (ZB501KL) original</t>
  </si>
  <si>
    <t>Alcool Isopropilico - 1 Litro</t>
  </si>
  <si>
    <t>Alcool Isopropilico - 250ML</t>
  </si>
  <si>
    <t>Alcool Isopropilico - 500ML</t>
  </si>
  <si>
    <t>Auricular (Buzzer) Moto G7 Play/G7 Power/G8 Plus/G8 Power</t>
  </si>
  <si>
    <t>Auricular e Sensor iPhone X</t>
  </si>
  <si>
    <t>Auricular iPhone 13 Pro Max</t>
  </si>
  <si>
    <t>Auricular iPhone 7 Plus/iPhone 8 Plus</t>
  </si>
  <si>
    <t>Auricular iPhone 7/iPhone 8</t>
  </si>
  <si>
    <t>Auricular LG K9/K8 2017/K11 Plus/SAM A11/Moto G5s/G5s Plus</t>
  </si>
  <si>
    <t>Auricular Moto E7 Power</t>
  </si>
  <si>
    <t>Auricular Moto G31/G41/G71</t>
  </si>
  <si>
    <t>Auricular Moto G52/G82</t>
  </si>
  <si>
    <t>Auricular Moto One Fusion</t>
  </si>
  <si>
    <t>Auricular Moto One Macro</t>
  </si>
  <si>
    <t>Auricular SAM A32 4G/A21s/A22 4G/A31</t>
  </si>
  <si>
    <t>Auricular SAM A54</t>
  </si>
  <si>
    <t>Auricular SAM A80/A10/A90/M10/A32 5G</t>
  </si>
  <si>
    <t>Auricular SAM J8/J8 Plus/J7 Pro (J730)/J6/J6 Plus/J5 Pro (J530)/J3 (J330)</t>
  </si>
  <si>
    <t>Auricular Xiaomi Redmi Note 8</t>
  </si>
  <si>
    <t>Bateria (Gold-911) Moto G7 Power/G8 Power Lite/G9 Play/E7 Plus/E7 Power/E40/G10/G20/G30/G31/One Fusion</t>
  </si>
  <si>
    <t>Bateria Asus Zenfone Max Pro M2 (C11P1706)</t>
  </si>
  <si>
    <t>Bateria iPhone 11</t>
  </si>
  <si>
    <t>Bateria iPhone 11 (Gold-867)</t>
  </si>
  <si>
    <t>Bateria iPhone 11 Pro</t>
  </si>
  <si>
    <t>Bateria iPhone 11 Pro (Gold-868)</t>
  </si>
  <si>
    <t>Bateria iPhone 11 Pro Max</t>
  </si>
  <si>
    <t>Bateria iPhone 11 Pro Max (Gold-869)</t>
  </si>
  <si>
    <t>Bateria iPhone 12 Pro Max (Gold-872)</t>
  </si>
  <si>
    <t>Bateria iPhone 12/iPhone 12 Pro (Gold-870/871)</t>
  </si>
  <si>
    <t>Bateria iPhone 13 (Gold-873)</t>
  </si>
  <si>
    <t>Bateria iPhone 13 Pro (Gold-874)</t>
  </si>
  <si>
    <t>Bateria iPhone 13 Pro Max (Gold-875)</t>
  </si>
  <si>
    <t>Bateria iPhone 14 Pro (Gold-891)</t>
  </si>
  <si>
    <t>Bateria iPhone 15 (Foxconn)</t>
  </si>
  <si>
    <t>Bateria iPhone 15 Pro (Foxconn)</t>
  </si>
  <si>
    <t>Bateria iPhone 15 Pro (Gold)</t>
  </si>
  <si>
    <t>Bateria iPhone 15 Pro Max (Foxconn)</t>
  </si>
  <si>
    <t>Bateria iPhone 15 Pro Max (Gold)</t>
  </si>
  <si>
    <t>Bateria iPhone 6</t>
  </si>
  <si>
    <t>Bateria iPhone 6 (Gold-855)</t>
  </si>
  <si>
    <t>Bateria iPhone 6 Plus</t>
  </si>
  <si>
    <t>Bateria iPhone 6 Plus (Gold-856)</t>
  </si>
  <si>
    <t>Bateria iPhone 6s</t>
  </si>
  <si>
    <t>Bateria iPhone 6s (Gold-857)</t>
  </si>
  <si>
    <t>Bateria iPhone 6s Plus</t>
  </si>
  <si>
    <t>Bateria iPhone 6s Plus (GE-858)</t>
  </si>
  <si>
    <t>Bateria iPhone 7 (Gold-859)</t>
  </si>
  <si>
    <t>Bateria iPhone 7 Plus (Gold-860)</t>
  </si>
  <si>
    <t>Bateria iPhone 8 (Gold-861)</t>
  </si>
  <si>
    <t>Bateria iPhone 8 Plus (Gold-862)</t>
  </si>
  <si>
    <t>Bateria iPhone SE (1ª Geração)</t>
  </si>
  <si>
    <t>Bateria iPhone X (Gold-863)</t>
  </si>
  <si>
    <t>Bateria iPhone XR</t>
  </si>
  <si>
    <t>Bateria iPhone XR (Gold-864)</t>
  </si>
  <si>
    <t>Bateria iPhone XS (Gold-865)</t>
  </si>
  <si>
    <t>Bateria iPhone XS Max</t>
  </si>
  <si>
    <t>Bateria iPhone XS Max (Gold-866)</t>
  </si>
  <si>
    <t>Bateria LG K10 2016 (BL-45A1H)</t>
  </si>
  <si>
    <t>Bateria LG K10 2017 (BL-46G1F)</t>
  </si>
  <si>
    <t>Bateria LG K10 2017 (Gold-600)</t>
  </si>
  <si>
    <t>Bateria LG K10 Power (BL-T30)</t>
  </si>
  <si>
    <t>Bateria LG K10 Power (Gold-601)</t>
  </si>
  <si>
    <t>Bateria LG K11/K11 Plus (BL-T36)</t>
  </si>
  <si>
    <t>Bateria LG K12/K12 Plus/Q7/Q7 Plus/G7 ThinQ (BL-T39)</t>
  </si>
  <si>
    <t>Bateria LG K12/K12 Plus/Q7/Q7 Plus/G7 ThinQ (Gold-602)</t>
  </si>
  <si>
    <t>Bateria LG K22/K22 Plus (BL-M03)</t>
  </si>
  <si>
    <t>Bateria LG K4/K7/K8/K9 (BL-45F1F)</t>
  </si>
  <si>
    <t>Bateria LG K40s/K12 Prime/K12 Max/Q60 (BL-T44)</t>
  </si>
  <si>
    <t>Bateria LG K40s/K12 Prime/K12 Max/Q60 (Gold-609)</t>
  </si>
  <si>
    <t>Bateria LG K41s/K51s/K61 (BL-T49)</t>
  </si>
  <si>
    <t>Bateria LG K50s (BL-T45)</t>
  </si>
  <si>
    <t>Bateria LG K52/K62/K62 Plus (BL-T51)</t>
  </si>
  <si>
    <t>Bateria LG K8 Plus (BL-01)</t>
  </si>
  <si>
    <t>Bateria LG Q6/Q6 Plus (BL-T33)</t>
  </si>
  <si>
    <t>Bateria LG Velvet (BL-T47)</t>
  </si>
  <si>
    <t>Bateria Moto E20/E30 (NT40)</t>
  </si>
  <si>
    <t>Bateria Moto E22 (Gold-945)</t>
  </si>
  <si>
    <t>Bateria Moto E22 (NH40)</t>
  </si>
  <si>
    <t>Bateria Moto E5/G6 Play/Lenovo K6 Plus (BL270)</t>
  </si>
  <si>
    <t>Bateria Moto E5/G6 Play/Lenovo K6 Plus (Gold-906)</t>
  </si>
  <si>
    <t>Bateria Moto E6 Play/E6s/E6i (KS40)</t>
  </si>
  <si>
    <t>Bateria Moto E6 Plus (KC40)</t>
  </si>
  <si>
    <t>Bateria Moto Edge 20 (MB40)</t>
  </si>
  <si>
    <t>Bateria Moto Edge 30 (Gold-933)</t>
  </si>
  <si>
    <t>Bateria Moto Edge 30 (ND40)</t>
  </si>
  <si>
    <t>Bateria Moto G13/G22/G53/E13/E32/E32s (Gold-924)</t>
  </si>
  <si>
    <t>Bateria Moto G13/G22/G53/E13/E32/E32s (NH50)</t>
  </si>
  <si>
    <t>Bateria Moto G14/G54 (PC50)</t>
  </si>
  <si>
    <t>Bateria Moto G200 (MB50)</t>
  </si>
  <si>
    <t>Bateria Moto G23 (Gold-939)</t>
  </si>
  <si>
    <t>Bateria Moto G23 (PH50)</t>
  </si>
  <si>
    <t>Bateria Moto G32/G41 (NC50)</t>
  </si>
  <si>
    <t>Bateria Moto G4/G4 Plus (GA40)</t>
  </si>
  <si>
    <t>Bateria Moto G4/G4 Plus (Gold-903)</t>
  </si>
  <si>
    <t>Bateria Moto G5 Plus (Gold-896)</t>
  </si>
  <si>
    <t>Bateria Moto G5 Plus (HG40)</t>
  </si>
  <si>
    <t>Bateria Moto G5/G4 Play/Moto E4 (GK40)</t>
  </si>
  <si>
    <t>Bateria Moto G5/G4 Play/Moto E4 (Gold-904)</t>
  </si>
  <si>
    <t>Bateria Moto G52/G82 (NE50)</t>
  </si>
  <si>
    <t>Bateria Moto G5G (MK50)</t>
  </si>
  <si>
    <t>Bateria Moto G5G Plus/G100 (LZ50)</t>
  </si>
  <si>
    <t>Bateria Moto G6 Plus (Gold-913)</t>
  </si>
  <si>
    <t>Bateria Moto G6 Plus (JT40)</t>
  </si>
  <si>
    <t>Bateria Moto G6/G5s/G5s Plus (Gold-905)</t>
  </si>
  <si>
    <t>Bateria Moto G6/G5s/G5s Plus (HG30)</t>
  </si>
  <si>
    <t>Bateria Moto G7 (Gold-914)</t>
  </si>
  <si>
    <t>Bateria Moto G7 (JG30)</t>
  </si>
  <si>
    <t>Bateria Moto G7 Play/Moto One (Gold-908)</t>
  </si>
  <si>
    <t>Bateria Moto G7 Play/Moto One (JE40)</t>
  </si>
  <si>
    <t>Bateria Moto G7 Plus (Gold-909)</t>
  </si>
  <si>
    <t>Bateria Moto G7 Plus (JG40)</t>
  </si>
  <si>
    <t>Bateria Moto G7 Power/G8 Power Lite/G9 Play/E7 Plus/E7 Power/E40/G10/G20/G30/G31/One Fusion (JK50)</t>
  </si>
  <si>
    <t>Bateria Moto G71 (NG50)</t>
  </si>
  <si>
    <t>Bateria Moto G73 (PV50)</t>
  </si>
  <si>
    <t>Bateria Moto G8 Plus (KD40)</t>
  </si>
  <si>
    <t>Bateria Moto G8 Power (Gold-923)</t>
  </si>
  <si>
    <t>Bateria Moto G8 Power (KZ50)</t>
  </si>
  <si>
    <t>Bateria Moto G8/G8 Play/One Macro/Moto E7 (GOLD-907)</t>
  </si>
  <si>
    <t>Bateria Moto G8/G8 Play/One Macro/Moto E7 (KG40)</t>
  </si>
  <si>
    <t>Bateria Moto G9 Power/G60 (Gold-917)</t>
  </si>
  <si>
    <t>Bateria Moto G9 Power/G60 (MC50)</t>
  </si>
  <si>
    <t>Bateria Moto One Action/One Vision (KR40)</t>
  </si>
  <si>
    <t>Bateria Moto One Fusion Plus (LG50)</t>
  </si>
  <si>
    <t>Bateria Moto Z3 Play (JS40)</t>
  </si>
  <si>
    <t>Bateria SAM A01 (Gold-104)</t>
  </si>
  <si>
    <t>Bateria SAM A01 (QL1695)</t>
  </si>
  <si>
    <t>Bateria SAM A01 Core (BA013A)</t>
  </si>
  <si>
    <t>Bateria SAM A02/A04s/A12/A13 4G/A21s/M12 (EB-BA217)</t>
  </si>
  <si>
    <t>Bateria SAM A02/A04s/A12/A13 4G/A21s/M12 (Gold-108/Gold-101/Gold-109)</t>
  </si>
  <si>
    <t>Bateria SAM A02s/A03s/A03/A04/A04E (Gold-105)</t>
  </si>
  <si>
    <t>Bateria SAM A02s/A03s/A03/A04/A04E (HQ-50S)</t>
  </si>
  <si>
    <t>Bateria SAM A03 Core (SLC-50)</t>
  </si>
  <si>
    <t>Bateria SAM A10/M10/A7 2018 (A750) (Gold-705)</t>
  </si>
  <si>
    <t>Bateria SAM A10/M10/A7 2018 (EB-BA750)</t>
  </si>
  <si>
    <t>Bateria SAM A10s/A11/A20s/A21 (SCUD-WT-N6)</t>
  </si>
  <si>
    <t>Bateria SAM A13 5G/M13 4G/M13 5G (BA316/BA136)</t>
  </si>
  <si>
    <t>Bateria SAM A13 5G/M13 4G/M13 5G (GOLD)</t>
  </si>
  <si>
    <t>Bateria SAM A20/A30/A30S/A50 (EB-BA505ABU)</t>
  </si>
  <si>
    <t>Bateria SAM A22 4G/A31/A32 4G (EB-BA315ABY)</t>
  </si>
  <si>
    <t>Bateria SAM A22 5G (WT-S-W1)</t>
  </si>
  <si>
    <t>Bateria SAM A23/M52 (EB-BM526)</t>
  </si>
  <si>
    <t>Bateria SAM A33/A53 (EB-BA336/EB-BA536)</t>
  </si>
  <si>
    <t>Bateria SAM A51 (EB-BA515)</t>
  </si>
  <si>
    <t>Bateria SAM A52/A52s/Galaxy S20 FE (EB-BG781)</t>
  </si>
  <si>
    <t>Bateria SAM A7 2016 (A710)(EB-BA710)</t>
  </si>
  <si>
    <t>Bateria SAM A70 (EB-BA705)</t>
  </si>
  <si>
    <t>Bateria SAM A71 (EB-BA715)</t>
  </si>
  <si>
    <t>Bateria SAM A80/A90 (EB-BA905ABU)</t>
  </si>
  <si>
    <t>Bateria SAM Galaxy S9 (EB-BG960)</t>
  </si>
  <si>
    <t>Bateria SAM J5 Prime (BG570)</t>
  </si>
  <si>
    <t>Bateria SAM J5/SAM J3/J2 Core/J2 Prime/J2 Pro/Gran Prime (BG530 c/chip)</t>
  </si>
  <si>
    <t>Bateria SAM J7 Metal (J710)(EB-BJ710)</t>
  </si>
  <si>
    <t>Bateria SAM J7 Prime/J4 Plus/J6 Plus (EB-BG610ABE)</t>
  </si>
  <si>
    <t>Bateria SAM J8/SAM J6 (EB-BJ800)</t>
  </si>
  <si>
    <t>Bateria SAM M20s/M21s/M23/M30s/M31 (EB-BM207)</t>
  </si>
  <si>
    <t>Bateria SAM M33/M52/M53</t>
  </si>
  <si>
    <t>Bateria SAM M51/M62 (BM415)</t>
  </si>
  <si>
    <t>Bateria SAM Note 20 Ultra (EB-BN985ABY)</t>
  </si>
  <si>
    <t>Bateria Samsung J7/J7 Neo (J701)/SAM J4/On7 (EB-BJ700)</t>
  </si>
  <si>
    <t>Bateria Samsung J8 Plus/A6 Plus (EB-BJ805)</t>
  </si>
  <si>
    <t>Bateria Xiaomi Mi 8 Lite (BM3J)</t>
  </si>
  <si>
    <t>Bateria Xiaomi Mi 9 (BM3L)</t>
  </si>
  <si>
    <t>Bateria Xiaomi Mi 9 SE (BM3M)</t>
  </si>
  <si>
    <t>Bateria Xiaomi Poco C40 (BN66)</t>
  </si>
  <si>
    <t>Bateria Xiaomi Poco F3 (BM4Y)</t>
  </si>
  <si>
    <t>Bateria Xiaomi Poco M3/Redmi 9T (BN62)</t>
  </si>
  <si>
    <t>Bateria Xiaomi Poco X3/Poco X3 Pro (BN57/BN61)</t>
  </si>
  <si>
    <t>Bateria Xiaomi Poco X3/Poco X3 Pro (Gold-467/Gold-468)</t>
  </si>
  <si>
    <t>Camera Frontal iPhone 11</t>
  </si>
  <si>
    <t>Camera Frontal iPhone 11 Pro</t>
  </si>
  <si>
    <t>Camera Frontal iPhone 11 Pro Max</t>
  </si>
  <si>
    <t>Camera Frontal iPhone 12 Pro Max</t>
  </si>
  <si>
    <t>Camera Frontal iPhone 12/iPhone 12 Pro</t>
  </si>
  <si>
    <t>Camera Frontal iPhone 13</t>
  </si>
  <si>
    <t>Camera Frontal iPhone 13 Pro</t>
  </si>
  <si>
    <t>Camera Frontal iPhone 13 Pro Max</t>
  </si>
  <si>
    <t>Camera Frontal iPhone 6</t>
  </si>
  <si>
    <t>Camera Frontal iPhone 6 Plus</t>
  </si>
  <si>
    <t>Camera Frontal iPhone 6s</t>
  </si>
  <si>
    <t>Camera Frontal iPhone 6s Plus</t>
  </si>
  <si>
    <t>Camera Frontal iPhone 7</t>
  </si>
  <si>
    <t>Camera Frontal iPhone 7 Plus</t>
  </si>
  <si>
    <t>Camera Frontal iPhone 8 Plus</t>
  </si>
  <si>
    <t>Camera Frontal iPhone 8/SE 2020</t>
  </si>
  <si>
    <t>Camera Frontal iPhone X</t>
  </si>
  <si>
    <t>Camera Frontal iPhone XR</t>
  </si>
  <si>
    <t>Camera Frontal iPhone XS</t>
  </si>
  <si>
    <t>Camera Frontal iPhone XS Max</t>
  </si>
  <si>
    <t>Camera Frontal Moto G14</t>
  </si>
  <si>
    <t>Camera Frontal Moto G60</t>
  </si>
  <si>
    <t>Camera Frontal Moto G9 Power</t>
  </si>
  <si>
    <t>Camera Frontal SAM A10</t>
  </si>
  <si>
    <t>Camera Frontal SAM A21s</t>
  </si>
  <si>
    <t>Camera Frontal SAM A30</t>
  </si>
  <si>
    <t>Camera Frontal SAM A70</t>
  </si>
  <si>
    <t>Camera Frontal Xiaomi Redmi Note 8</t>
  </si>
  <si>
    <t>Camera Traseira iPhone 11</t>
  </si>
  <si>
    <t>Camera Traseira iPhone 12/12 Pro</t>
  </si>
  <si>
    <t>Camera Traseira iPhone 7 Plus</t>
  </si>
  <si>
    <t>Camera Traseira iPhone 8 Plus</t>
  </si>
  <si>
    <t>Camera Traseira iPhone X</t>
  </si>
  <si>
    <t>Camera Traseira iPhone XR</t>
  </si>
  <si>
    <t>Camera Traseira iPhone XS</t>
  </si>
  <si>
    <t>Camera Traseira iPhone XS Max</t>
  </si>
  <si>
    <t>Camera Traseira Moto G14</t>
  </si>
  <si>
    <t>Camera Traseira Moto G30</t>
  </si>
  <si>
    <t>Camera Traseira Moto G50</t>
  </si>
  <si>
    <t>Camera Traseira Moto G52</t>
  </si>
  <si>
    <t>Camera Traseira POCO X3</t>
  </si>
  <si>
    <t>Camera Traseira SAM A01</t>
  </si>
  <si>
    <t>Camera Traseira SAM A01 Core</t>
  </si>
  <si>
    <t>Camera Traseira SAM A02s/SAM A03s</t>
  </si>
  <si>
    <t>Camera Traseira SAM A03</t>
  </si>
  <si>
    <t>Camera Traseira SAM A10</t>
  </si>
  <si>
    <t>Camera Traseira SAM A10s</t>
  </si>
  <si>
    <t>Camera Traseira SAM A11</t>
  </si>
  <si>
    <t>Camera Traseira SAM A12</t>
  </si>
  <si>
    <t>Camera Traseira SAM A21s</t>
  </si>
  <si>
    <t>Camera Traseira SAM A22 5G</t>
  </si>
  <si>
    <t>Camera Traseira SAM A30s</t>
  </si>
  <si>
    <t>Camera Traseira SAM A31</t>
  </si>
  <si>
    <t>Camera Traseira SAM A32 4G</t>
  </si>
  <si>
    <t>Camera Traseira SAM A32 5G</t>
  </si>
  <si>
    <t>Camera Traseira SAM A50</t>
  </si>
  <si>
    <t>Camera Traseira SAM A70</t>
  </si>
  <si>
    <t>Camera Traseira SAM A71</t>
  </si>
  <si>
    <t>Camera Traseira Xiaomi Redmi Note 8</t>
  </si>
  <si>
    <t>Campainha iPhone XR</t>
  </si>
  <si>
    <t>Campainha Moto E4 Plus</t>
  </si>
  <si>
    <t>Campainha Moto E6 Plus</t>
  </si>
  <si>
    <t>Campainha Moto E7</t>
  </si>
  <si>
    <t>Campainha Moto E7 Plus</t>
  </si>
  <si>
    <t>Campainha Moto G04</t>
  </si>
  <si>
    <t>Campainha Moto G04s</t>
  </si>
  <si>
    <t>Campainha Moto G34</t>
  </si>
  <si>
    <t>Campainha Moto G52</t>
  </si>
  <si>
    <t>Campainha Moto G5s</t>
  </si>
  <si>
    <t>Campainha Moto G5s Plus</t>
  </si>
  <si>
    <t>Campainha Moto G8</t>
  </si>
  <si>
    <t>Campainha Moto G8 Play</t>
  </si>
  <si>
    <t>Campainha Moto G8 Plus</t>
  </si>
  <si>
    <t>Campainha Moto G8 Power</t>
  </si>
  <si>
    <t>Campainha Moto G9 Play</t>
  </si>
  <si>
    <t>Campainha Moto One</t>
  </si>
  <si>
    <t>Campainha Moto One Fusion</t>
  </si>
  <si>
    <t>Campainha Moto One Fusion Plus</t>
  </si>
  <si>
    <t>Campainha Moto Z Play</t>
  </si>
  <si>
    <t>Campainha Redmi Note 8 Pro</t>
  </si>
  <si>
    <t>Campainha SAM A01</t>
  </si>
  <si>
    <t>Campainha SAM A10s</t>
  </si>
  <si>
    <t>Campainha SAM A11</t>
  </si>
  <si>
    <t>Campainha SAM A14 4G</t>
  </si>
  <si>
    <t>Campainha SAM A14 5G</t>
  </si>
  <si>
    <t>Campainha SAM A20s</t>
  </si>
  <si>
    <t>Campainha SAM A21</t>
  </si>
  <si>
    <t>Campainha SAM A51</t>
  </si>
  <si>
    <t>Campainha SAM A53</t>
  </si>
  <si>
    <t>Campainha SAM A54</t>
  </si>
  <si>
    <t>Campainha SAM A70</t>
  </si>
  <si>
    <t>Campainha SAM A71</t>
  </si>
  <si>
    <t>Campainha Xiaomi Mi 8 Lite</t>
  </si>
  <si>
    <t>Campainha Xiaomi Redmi 10</t>
  </si>
  <si>
    <t>Campainha Xiaomi Redmi 9</t>
  </si>
  <si>
    <t>Campainha Xiaomi Redmi Note 7</t>
  </si>
  <si>
    <t>Campainha Xiaomi Redmi Note 8</t>
  </si>
  <si>
    <t>Campainha Xiaomi Redmi Note 9</t>
  </si>
  <si>
    <t>Cola B-7000 Transparente (110ml)</t>
  </si>
  <si>
    <t>Cola T-7000 Preta (110ml)</t>
  </si>
  <si>
    <t>Conector Asus Zenfone Max Shot/Moto E6 Play/E7 Plus/E6 Plus/LG K4 2017</t>
  </si>
  <si>
    <t>Conector LG K10 2016/K10/K4 2016/K5/K7/K8/L Prime Dual</t>
  </si>
  <si>
    <t>Conector LG K10 2017/K8 2017/K10 Power/X Power (K220)</t>
  </si>
  <si>
    <t>Conector LG K12/SAM A01/SAM A03/SAM A03 Core/K12 Max/K12 Plus/K12 Prime/K22/K40/K40s/K50/Q60/Redmi 9A/Redmi 9i</t>
  </si>
  <si>
    <t>Conector LG K50s/K51s</t>
  </si>
  <si>
    <t>Conector LG K9/T290/T295</t>
  </si>
  <si>
    <t>Conector Moto G4 Play/G8 Power Lite/G5/E6s/E6i/E4 Plus/E4/LG K8 Plus</t>
  </si>
  <si>
    <t>Conector Moto G4 Plus/G4</t>
  </si>
  <si>
    <t>Conector Moto G5 Plus/G5s Plus</t>
  </si>
  <si>
    <t>Conector Moto G5s</t>
  </si>
  <si>
    <t>Conector Moto G6 Play/Moto E5/Moto C</t>
  </si>
  <si>
    <t>Conector Moto G6/G6 Plus/Moto One</t>
  </si>
  <si>
    <t>Conector Moto G7 Power/G8 Power/G8 Play/G9 Power/G9 Play/G9 Plus/G10/G20/G22/G30/G32/G50/G62 5G/E13/One Fusion Plus</t>
  </si>
  <si>
    <t>Conector Moto G7/G7 Plus/G8 Plus/G5G/G100/G200/K62 Plus/K42/K52/K62</t>
  </si>
  <si>
    <t>Conector Moto G8/G7 Play/G31/G60/SAM A03s/A02s/A11</t>
  </si>
  <si>
    <t>Conector Moto One Fusion</t>
  </si>
  <si>
    <t>Conector Moto Z3 Play</t>
  </si>
  <si>
    <t>Conector SAM A04E</t>
  </si>
  <si>
    <t>Conector SAM A34</t>
  </si>
  <si>
    <t>Conector SAM A50s/M23/A12/A20/A21s/A22 4G/A30/A30s/A31/A32/A40/A50/A51/A60/A70/A70s/A71/A80/A90/M20/M30</t>
  </si>
  <si>
    <t>Conector SAM A9 2018 (A920)</t>
  </si>
  <si>
    <t>Conector SAM Galaxy S10</t>
  </si>
  <si>
    <t>Conector SAM J4 Plus/A01 Core/A02/A10/A7 2018 (A750)/J1/J2/J2 Pro/J3/J4/J4 Core/J6/J6 Plus/SAM J5/J5 Prime/J5 Pro/J7 Prime/J7 Pro/J8/M10</t>
  </si>
  <si>
    <t>Conector SAM J7 Metal(J710)/J5 Metal(J510)/J2 Prime//SAM J7/Gran Prime (G531 e G530)</t>
  </si>
  <si>
    <t>Flex Botão Assistente LG K22/K22 Plus</t>
  </si>
  <si>
    <t>Flex Home Biometria LG K12 Prime/K12 Max/K50 - Azul</t>
  </si>
  <si>
    <t>Flex Home Biometria LG K12 Prime/K12 Max/K50 - Cinza</t>
  </si>
  <si>
    <t>Flex Home Biometria LG K12 Prime/K12 Max/K50 - Preto</t>
  </si>
  <si>
    <t>Flex Home Biometria LG K12/K12 Plus - Azul</t>
  </si>
  <si>
    <t>Flex Home Biometria LG K12/K12 Plus - Cinza/Preto</t>
  </si>
  <si>
    <t>Flex Home Biometria LG K40s - Azul</t>
  </si>
  <si>
    <t>Flex Home Biometria LG K40s - Cinza</t>
  </si>
  <si>
    <t>Flex Home Biometria LG K40s - Preto</t>
  </si>
  <si>
    <t>Flex Home Biometria LG K41s - Azul</t>
  </si>
  <si>
    <t>Flex Home Biometria LG K41s - Preto</t>
  </si>
  <si>
    <t>Flex Home Biometria LG K42/K52/K62/K62 Plus - Preto</t>
  </si>
  <si>
    <t>Flex Home Biometria LG K42/K52/K62/K62 Plus - Vermelho</t>
  </si>
  <si>
    <t>Flex Home Biometria LG K50s - Azul</t>
  </si>
  <si>
    <t>Flex Home Biometria LG K50s - Preto</t>
  </si>
  <si>
    <t>Flex Home Biometria LG K51s - Azul (Não Comprar)</t>
  </si>
  <si>
    <t>Flex Home Biometria LG K51s - Cinza</t>
  </si>
  <si>
    <t>Flex Home Biometria LG K51s - Vermelho</t>
  </si>
  <si>
    <t>Flex Home Biometria LG K61 - Branco</t>
  </si>
  <si>
    <t>Flex Home Biometria LG K61 - Cinza/Preto</t>
  </si>
  <si>
    <t>Flex Home Biometria Mi A2 Lite</t>
  </si>
  <si>
    <t>Flex Home Biometria Moto E5 Plus/Moto E5/G6 Play - Dourado</t>
  </si>
  <si>
    <t>Flex Home Biometria Moto E5 Plus/Moto E5/G6 Play - Preto/Azul</t>
  </si>
  <si>
    <t>Flex Home Biometria Moto E6 Play - Azul</t>
  </si>
  <si>
    <t>Flex Home Biometria Moto E6 Play - Preto/Cinza</t>
  </si>
  <si>
    <t>Flex Home Biometria Moto E7 - Azul</t>
  </si>
  <si>
    <t>Flex Home Biometria Moto E7 - Cinza</t>
  </si>
  <si>
    <t>Flex Home Biometria Moto E7 - Verde</t>
  </si>
  <si>
    <t>Flex Home Biometria Moto E7 - Vermelho</t>
  </si>
  <si>
    <t>Flex Home Biometria Moto G20 - Azul</t>
  </si>
  <si>
    <t>Flex Home Biometria Moto G20 - Rosa</t>
  </si>
  <si>
    <t>Flex Home Biometria Moto G5</t>
  </si>
  <si>
    <t>Flex Home Biometria Moto One - Branco</t>
  </si>
  <si>
    <t>Flex Home Biometria Moto One - Preto</t>
  </si>
  <si>
    <t>Flex Home Biometria Moto One Macro - Azul/Preto</t>
  </si>
  <si>
    <t>Flex Home Biometria Moto One Macro - Roxo</t>
  </si>
  <si>
    <t>Flex Home Biometria Moto One Vision - Azul Escuro</t>
  </si>
  <si>
    <t>Flex Home Biometria Moto One Vision - Preto</t>
  </si>
  <si>
    <t>Flex Home Biometria Moto X4 (Não Comprar Mais)</t>
  </si>
  <si>
    <t>Flex Home Biometria Redmi Note 6 Pro</t>
  </si>
  <si>
    <t>Flex Home Biometria SAM A5 2017 (A520) - Azul</t>
  </si>
  <si>
    <t>Flex Home Biometria SAM A5 2017 (A520) - Preto</t>
  </si>
  <si>
    <t>Flex Home Biometria SAM A5 2017(A520)/A7 2017 (A720)/A3 2017(A320) - Azul</t>
  </si>
  <si>
    <t>Flex Home Biometria SAM A5 2017(A520)/A7 2017 (A720)/A3 2017(A320) - Preto</t>
  </si>
  <si>
    <t>Flex Home Biometria SAM A7 2017 (A720) - Azul</t>
  </si>
  <si>
    <t>Flex Home Biometria SAM A7 2017 (A720) - Preto</t>
  </si>
  <si>
    <t>Flex Home Biometria SAM J5 Pro (J530)/J7 Pro (J730) - Azul</t>
  </si>
  <si>
    <t>Flex Home Biometria SAM J5 Pro (J530)/J7 Pro (J730) - Preto</t>
  </si>
  <si>
    <t>Flex Home Biometria SAM J6/SAM J8/A6 Plus - Azul</t>
  </si>
  <si>
    <t>Flex Home Biometria SAM J6/SAM J8/A6 Plus - Dourado/Cinza</t>
  </si>
  <si>
    <t>Flex Home Biometria SAM J6/SAM J8/A6 Plus - Preto</t>
  </si>
  <si>
    <t>Flex Home Biometria SAM J6/SAM J8/A6 Plus - Roxo Claro</t>
  </si>
  <si>
    <t>Flex Home Biometria SAM J6/SAM J8/A6 Plus - Roxo Escuro</t>
  </si>
  <si>
    <t>Flex Home Biometria Xiaomi Mi 8 - Azul</t>
  </si>
  <si>
    <t>Flex Home Biometria Xiaomi Mi 8 - Preto</t>
  </si>
  <si>
    <t>Flex Home Biometria Xiaomi Mi 9 - Preto</t>
  </si>
  <si>
    <t>Flex Home Biometria Xiaomi Redmi 8/Redmi 8A - Preto</t>
  </si>
  <si>
    <t>Flex Home iPhone 6G/iPhone 6 Plus - Branco</t>
  </si>
  <si>
    <t>Flex Home iPhone 6G/iPhone 6 Plus - Preto</t>
  </si>
  <si>
    <t>Flex Home iPhone 6s/6s Plus - Branco</t>
  </si>
  <si>
    <t>Flex Home iPhone 6s/6s Plus - Preto</t>
  </si>
  <si>
    <t>Flex Home iPhone 7/iPhone 8/iPhone 7 Plus/iPhone 8 Plus/iPhone SE 2020 - Branco</t>
  </si>
  <si>
    <t>Flex Home iPhone 7/iPhone 8/iPhone 7 Plus/iPhone 8 Plus/iPhone SE 2020 - Preto</t>
  </si>
  <si>
    <t>Flex Home Voltar P2 Fone J5 Metal (J510)</t>
  </si>
  <si>
    <t>Flex Home Voltar P2 Fone J5 Prime</t>
  </si>
  <si>
    <t>Flex Home Voltar P2 Fone J7 Neo (J701)</t>
  </si>
  <si>
    <t>Flex Home Voltar P2 Fone J7 Prime</t>
  </si>
  <si>
    <t>Flex Home Voltar P2 Fone SAM J7</t>
  </si>
  <si>
    <t>Flex Home Voltar P2 Fone SAM J7 Metal (J710)</t>
  </si>
  <si>
    <t>Flex Home Voltar SAM G530/G531/G532</t>
  </si>
  <si>
    <t>Flex LCD LG K41s (SUB)</t>
  </si>
  <si>
    <t>Flex LCD LG K51s (SUB)</t>
  </si>
  <si>
    <t>Flex LCD LG K61 (SUB)</t>
  </si>
  <si>
    <t>Flex LCD Moto E4 Plus (SUB)</t>
  </si>
  <si>
    <t>Flex LCD Moto E5 Play (SUB)</t>
  </si>
  <si>
    <t>Flex LCD Moto E5 Plus (SUB)</t>
  </si>
  <si>
    <t>Flex LCD Moto G100 (SUB)</t>
  </si>
  <si>
    <t>Flex LCD Moto G200 (SUB/OCTA)</t>
  </si>
  <si>
    <t>Flex LCD Moto G32 (SUB)</t>
  </si>
  <si>
    <t>Flex LCD Moto G4 Play (SUB)</t>
  </si>
  <si>
    <t>Flex LCD Moto G5 (SUB)</t>
  </si>
  <si>
    <t>Flex LCD Moto G50 4G (SUB)</t>
  </si>
  <si>
    <t>Flex LCD Moto G50 5G (SUB)</t>
  </si>
  <si>
    <t>Flex LCD Moto G52 (SUB)</t>
  </si>
  <si>
    <t>Flex LCD Moto G5G (SUB)</t>
  </si>
  <si>
    <t>Flex LCD Moto G5G Plus (SUB)</t>
  </si>
  <si>
    <t>Flex LCD Moto G6 Play (SUB)</t>
  </si>
  <si>
    <t>Flex LCD Moto G7 Play (SUB)</t>
  </si>
  <si>
    <t>Flex LCD Moto G7 Power (SUB)</t>
  </si>
  <si>
    <t>Flex LCD Moto G71 (SUB)</t>
  </si>
  <si>
    <t>Flex LCD Moto G8 (SUB)</t>
  </si>
  <si>
    <t>Flex LCD Moto G9 Plus (SUB)</t>
  </si>
  <si>
    <t>Flex LCD Moto G9 Power (SUB)</t>
  </si>
  <si>
    <t>Flex LCD Moto One Fusion (SUB)</t>
  </si>
  <si>
    <t>Flex LCD Moto One Fusion Plus (SUB)</t>
  </si>
  <si>
    <t>Flex LCD Moto One Zoom (SUB)</t>
  </si>
  <si>
    <t>Flex LCD SAM A20 (OCTA)</t>
  </si>
  <si>
    <t>Flex LCD SAM A20s (M12)(SUB)</t>
  </si>
  <si>
    <t>Flex LCD SAM A20s (M14/M15) (SUB)</t>
  </si>
  <si>
    <t>Flex LCD SAM A21 (SUB)</t>
  </si>
  <si>
    <t>Flex LCD SAM A21s (SUB/OCTA)</t>
  </si>
  <si>
    <t>Flex LCD SAM A22 5G (SUB)</t>
  </si>
  <si>
    <t>Flex LCD SAM A30 (SUB)</t>
  </si>
  <si>
    <t>Flex LCD SAM A31 (SUB/OCTA)</t>
  </si>
  <si>
    <t>Flex LCD SAM A33 (SUB/OCTA)</t>
  </si>
  <si>
    <t>Flex LCD SAM A50 (OCTA)</t>
  </si>
  <si>
    <t>Flex LCD SAM A70 (SUB)</t>
  </si>
  <si>
    <t>Flex LCD SAM A71 (SUB)</t>
  </si>
  <si>
    <t>Flex LCD SAM A72 (SUB)</t>
  </si>
  <si>
    <t>Flex LCD SAM A80</t>
  </si>
  <si>
    <t>Flex LCD SAM M20 (SUB)</t>
  </si>
  <si>
    <t>Flex LCD SAM M30 (SUB)</t>
  </si>
  <si>
    <t>Flex LCD SAM M51 (SUB)</t>
  </si>
  <si>
    <t>Flex LCD SAM S20 FE (SUB)</t>
  </si>
  <si>
    <t>Flex LCD Xiaomi 11T Pro (SUB)</t>
  </si>
  <si>
    <t>Flex LCD Xiaomi Mi A3 (OCTA)</t>
  </si>
  <si>
    <t>Flex LCD Xiaomi Redmi Note 8</t>
  </si>
  <si>
    <t>Flex Main Mi 8 Lite (SUB)</t>
  </si>
  <si>
    <t>Flex Main Moto E7 (SUB)</t>
  </si>
  <si>
    <t>Flex Main Moto G60 (SUB)</t>
  </si>
  <si>
    <t>Flex Main Moto G60s (SUB)</t>
  </si>
  <si>
    <t>Flex Main Moto G62 (SUB)</t>
  </si>
  <si>
    <t>Flex Main Moto G8 Play(M)(M14) (SUB)</t>
  </si>
  <si>
    <t>Flex Main Moto G8 Plus (F) (SUB)</t>
  </si>
  <si>
    <t>Flex Main Moto G8 Plus (M) (SUB)</t>
  </si>
  <si>
    <t>Flex Main Moto G8 Power (SUB)</t>
  </si>
  <si>
    <t>Flex Main Moto One Macro/G8 Play(F) (SUB)</t>
  </si>
  <si>
    <t>Flex Main Redmi Note 10 4G/Note 10s (OCTA)</t>
  </si>
  <si>
    <t>Flex Main Redmi Note 10 4G/Note 10s (SUB)</t>
  </si>
  <si>
    <t>Flex Main Redmi Note 11 4G/Note 11s 4G/Poco M4 Pro 4G (SUB)</t>
  </si>
  <si>
    <t>Flex Main Redmi Note 8 Pro (SUB)</t>
  </si>
  <si>
    <t>Flex Main Redmi Note 9 Pro/Note 9s (SUB)</t>
  </si>
  <si>
    <t>Flex Main Redmi Note 9/Poco M3/Redmi 9T/Poco M3 Pro 4G (SUB)</t>
  </si>
  <si>
    <t>Flex Main SAM A10s (M12/M15)(SUB)</t>
  </si>
  <si>
    <t>Flex Main SAM A10s (M16)(SUB)</t>
  </si>
  <si>
    <t>Flex Main SAM A20 (SUB)</t>
  </si>
  <si>
    <t>Flex Main SAM A30s (SUB/OCTA)</t>
  </si>
  <si>
    <t>Flex Main SAM A50 (SUB)</t>
  </si>
  <si>
    <t>Flex Main SAM A51 (SUB)</t>
  </si>
  <si>
    <t>Flex Main SAM A53 (SUB/OCTA)</t>
  </si>
  <si>
    <t>Flex Main SAM A73 (OCTA/SUB)</t>
  </si>
  <si>
    <t>Flex Main SAM M21s (SUB)</t>
  </si>
  <si>
    <t>Flex Main Xiaomi Mi 9 Lite (SUB)</t>
  </si>
  <si>
    <t>Flex Main Xiaomi Mi A3 (SUB)</t>
  </si>
  <si>
    <t>Flex Main Xiaomi Redmi Note 11 5G/Note 11s 5G/Poco M4 Pro 5G</t>
  </si>
  <si>
    <t>Flex Microfone SAM J6/SAM J8</t>
  </si>
  <si>
    <t>Flex Power Asus ZenFone Selfie (ZD551KL)</t>
  </si>
  <si>
    <t>Flex Power Biometria Moto G5G Plus - Azul Claro/Lilas</t>
  </si>
  <si>
    <t>Flex Power Biometria Moto G5G Plus - Azul Escuro</t>
  </si>
  <si>
    <t>Flex Power Biometria SAM A04S - Branco</t>
  </si>
  <si>
    <t>Flex Power Biometria SAM A04S - Preto</t>
  </si>
  <si>
    <t>Flex Power Biometria SAM A04S - Verde</t>
  </si>
  <si>
    <t>Flex Power Biometria SAM A13 5G e 4G/A12/A14 4G e 5G/A04s/M12 - Azul</t>
  </si>
  <si>
    <t>Flex Power Biometria SAM A13 5G e 4G/A12/A14 4G e 5G/A04s/M12 - Branco</t>
  </si>
  <si>
    <t>Flex Power Biometria SAM A13 5G e 4G/A12/A14 4G e 5G/A04s/M12 - Dourado/Rosa</t>
  </si>
  <si>
    <t>Flex Power Biometria SAM A13 5G e 4G/A12/A14 4G e 5G/A04s/M12 - Preto</t>
  </si>
  <si>
    <t>Flex Power Biometria SAM A13 5G e 4G/A12/A14 4G e 5G/A04s/M12 - Verde</t>
  </si>
  <si>
    <t>Flex Power Biometria SAM A13 5G e 4G/A12/A14 4G e 5G/A04s/M12 - Vermelho</t>
  </si>
  <si>
    <t>Flex Power Biometria SAM A15</t>
  </si>
  <si>
    <t>Flex Power Biometria SAM A22 5G - Preto/Cinza</t>
  </si>
  <si>
    <t>Flex Power Biometria SAM A32 4G - Branco</t>
  </si>
  <si>
    <t>Flex Power Biometria SAM A7 2018 (A750) - Azul</t>
  </si>
  <si>
    <t>Flex Power Biometria SAM A7 2018 (A750) - Preto</t>
  </si>
  <si>
    <t>Flex Power Biometria SAM J6 Plus - Azul</t>
  </si>
  <si>
    <t>Flex Power Biometria SAM J6 Plus - Preto</t>
  </si>
  <si>
    <t>Flex Power Biometria SAM J6 Plus - Vermelho</t>
  </si>
  <si>
    <t>Flex Power Biometria SAM M33/A23 4G/M23/A23 5G - Azul</t>
  </si>
  <si>
    <t>Flex Power Biometria SAM M33/A23 4G/M23/A23 5G - Preto</t>
  </si>
  <si>
    <t>Flex Power e Flash iPhone 11</t>
  </si>
  <si>
    <t>Flex Power e Volume Asus Zenfone 4 Selfie Pro (ZD552KL)</t>
  </si>
  <si>
    <t>Flex Power e Volume iPhone 8 Plus</t>
  </si>
  <si>
    <t>Flex Power e Volume iPhone XR</t>
  </si>
  <si>
    <t>Flex Power e Volume Mi 8 Lite</t>
  </si>
  <si>
    <t>Flex Power e Volume Mi 8 Pro/Mi 8 SE</t>
  </si>
  <si>
    <t>Flex Power e Volume Moto C</t>
  </si>
  <si>
    <t>Flex Power e Volume Moto E13</t>
  </si>
  <si>
    <t>Flex Power e Volume Moto E20/E30/E40</t>
  </si>
  <si>
    <t>Flex Power e Volume Moto E22</t>
  </si>
  <si>
    <t>Flex Power e Volume Moto E32</t>
  </si>
  <si>
    <t>Flex Power e Volume Moto E5 Play/Moto E5 Play GO</t>
  </si>
  <si>
    <t>Flex Power e Volume Moto E5 Plus</t>
  </si>
  <si>
    <t>Flex Power e Volume Moto E6 Play</t>
  </si>
  <si>
    <t>Flex Power e Volume Moto E6 Plus</t>
  </si>
  <si>
    <t>Flex Power e Volume Moto E6s/Moto E6i</t>
  </si>
  <si>
    <t>Flex Power e Volume Moto E7</t>
  </si>
  <si>
    <t>Flex Power e Volume Moto E7 Power/E7i Power</t>
  </si>
  <si>
    <t>Flex Power e Volume Moto G100</t>
  </si>
  <si>
    <t>Flex Power e Volume Moto G14</t>
  </si>
  <si>
    <t>Flex Power e Volume Moto G20/G10/G30</t>
  </si>
  <si>
    <t>Flex Power e Volume Moto G22</t>
  </si>
  <si>
    <t>Flex Power e Volume Moto G31/G41/G51</t>
  </si>
  <si>
    <t>Flex Power e Volume Moto G32</t>
  </si>
  <si>
    <t>Flex Power e Volume Moto G4 Plus/G4 Play</t>
  </si>
  <si>
    <t>Flex Power e Volume Moto G5</t>
  </si>
  <si>
    <t>Flex Power e Volume Moto G52/G82</t>
  </si>
  <si>
    <t>Flex Power e Volume Moto G5g</t>
  </si>
  <si>
    <t>Flex Power e Volume Moto G5G Plus/Moto One 5G</t>
  </si>
  <si>
    <t>Flex Power e Volume Moto G5s</t>
  </si>
  <si>
    <t>Flex Power e Volume Moto G5s Plus/G5 Plus</t>
  </si>
  <si>
    <t>Flex Power e Volume Moto G6</t>
  </si>
  <si>
    <t>Flex Power e Volume Moto G6 Play/Moto E5</t>
  </si>
  <si>
    <t>Flex Power e Volume Moto G6 Plus</t>
  </si>
  <si>
    <t>Flex Power e Volume Moto G60/G60s</t>
  </si>
  <si>
    <t>Flex Power e Volume Moto G62</t>
  </si>
  <si>
    <t>Flex Power e Volume Moto G7 Play</t>
  </si>
  <si>
    <t>Flex Power e Volume Moto G7 Plus/G7</t>
  </si>
  <si>
    <t>Flex Power e Volume Moto G7 Power</t>
  </si>
  <si>
    <t>Flex Power e Volume Moto G71 5G</t>
  </si>
  <si>
    <t>Flex Power e Volume Moto G73</t>
  </si>
  <si>
    <t>Flex Power e Volume Moto G8</t>
  </si>
  <si>
    <t>Flex Power e Volume Moto G8 Plus</t>
  </si>
  <si>
    <t>Flex Power e Volume Moto G8 Power</t>
  </si>
  <si>
    <t>Flex Power e Volume Moto G8 Power Lite</t>
  </si>
  <si>
    <t>Flex Power e Volume Moto G9 Plus</t>
  </si>
  <si>
    <t>Flex Power e Volume Moto G9 Power</t>
  </si>
  <si>
    <t>Flex Power e Volume Moto One</t>
  </si>
  <si>
    <t>Flex Power e Volume Moto One Fusion</t>
  </si>
  <si>
    <t>Flex Power e Volume Moto One Fusion Plus</t>
  </si>
  <si>
    <t>Flex Power e Volume Moto One Hyper</t>
  </si>
  <si>
    <t>Flex Power e Volume Moto One Macro/G8 Play</t>
  </si>
  <si>
    <t>Flex Power e Volume Moto One Vision/Moto One Action</t>
  </si>
  <si>
    <t>Flex Power e Volume Moto One Zoom</t>
  </si>
  <si>
    <t>Flex Power e Volume Redmi 10/Redmi 10 Prime</t>
  </si>
  <si>
    <t>Flex Power e Volume Redmi 9</t>
  </si>
  <si>
    <t>Flex Power e Volume Redmi Note 10 4G/Note 10s 4G</t>
  </si>
  <si>
    <t>Flex Power e Volume Redmi Note 12 4G</t>
  </si>
  <si>
    <t>Flex Power e Volume Redmi Note 12 5G</t>
  </si>
  <si>
    <t>Flex Power e Volume Redmi Note 8/Note 8T/Note 7/Note 7 Pro</t>
  </si>
  <si>
    <t>Flex Power e Volume Redmi Note 9</t>
  </si>
  <si>
    <t>Flex Power e Volume Redmi Note 9 Pro/Note 9s</t>
  </si>
  <si>
    <t>Flex Power e Volume SAM A03 Core</t>
  </si>
  <si>
    <t>Flex Power e Volume SAM A03/A02s/A04E</t>
  </si>
  <si>
    <t>Flex Power e Volume SAM A03s</t>
  </si>
  <si>
    <t>Flex Power e Volume SAM A04 (M13)</t>
  </si>
  <si>
    <t>Flex Power e Volume SAM A11</t>
  </si>
  <si>
    <t>Flex Power e Volume SAM A20/A30/A50/A70/A30s/A50s</t>
  </si>
  <si>
    <t>Flex Power e Volume SAM A21s</t>
  </si>
  <si>
    <t>Flex Power e Volume SAM A31/A41</t>
  </si>
  <si>
    <t>Flex Power e Volume SAM A33 5G/A73 5G</t>
  </si>
  <si>
    <t>Flex Power e Volume SAM A51/A71</t>
  </si>
  <si>
    <t>Flex Power e Volume SAM A53/M53</t>
  </si>
  <si>
    <t>Flex Power e Volume SAM M20/A10/M10/M30/M40</t>
  </si>
  <si>
    <t>Flex Power e Volume SAM M21S</t>
  </si>
  <si>
    <t>Flex Power e Volume SAM M31</t>
  </si>
  <si>
    <t>Flex Power e Volume Xiaomi Mi 8</t>
  </si>
  <si>
    <t>Flex Power e Volume Xiaomi Mi 9</t>
  </si>
  <si>
    <t>Flex Power e Volume Xiaomi Mi 9 Lite</t>
  </si>
  <si>
    <t>Flex Power e Volume Xiaomi Mi 9 SE</t>
  </si>
  <si>
    <t>Flex Power e Volume Xiaomi Mi 9T/Mi 9T Pro</t>
  </si>
  <si>
    <t>Flex Power e Volume Xiaomi Mi A3</t>
  </si>
  <si>
    <t>Flex Power e Volume Xiaomi Poco X3/Poco X3 Pro/X3 NFC</t>
  </si>
  <si>
    <t>Flex Power e Volume Xiaomi Redmi 8/Redmi 8A</t>
  </si>
  <si>
    <t>Flex Power LG K12 Prime/K12 Max/K50</t>
  </si>
  <si>
    <t>Flex Power LG K12/K12 Plus</t>
  </si>
  <si>
    <t>Flex Power LG K40s</t>
  </si>
  <si>
    <t>Flex Power LG K41s</t>
  </si>
  <si>
    <t>Flex Power LG K50s</t>
  </si>
  <si>
    <t>Flex Power LG K51</t>
  </si>
  <si>
    <t>Flex Power LG K51s</t>
  </si>
  <si>
    <t>Flex Power LG K61</t>
  </si>
  <si>
    <t>Flex Power Moto Z3 Play</t>
  </si>
  <si>
    <t>Flex Power SAM A01/A01 Core</t>
  </si>
  <si>
    <t>Flex Power SAM A10s</t>
  </si>
  <si>
    <t>Flex Power SAM A20s F</t>
  </si>
  <si>
    <t>Flex Power SAM J4/J4 Core/J4 Plus/SAM J6/SAM J8/J8 Plus</t>
  </si>
  <si>
    <t>Flex Power SAM J5 Pro (J530)/J7 Pro (J730)/J3 (J330)</t>
  </si>
  <si>
    <t>Flex Power SAM J7 Metal (J710)/J5 Metal (J510)/J7 Neo (J701)/J5/J7</t>
  </si>
  <si>
    <t>Flex Sensor Biometria SAM A30s</t>
  </si>
  <si>
    <t>Flex Sensor Biometria SAM A31</t>
  </si>
  <si>
    <t>Flex Sensor Biometria SAM A50s (Não Pedir Mais)</t>
  </si>
  <si>
    <t>Flex Sensor Biometria SAM A51/A71</t>
  </si>
  <si>
    <t>Flex Sensor Biometria SAM A70</t>
  </si>
  <si>
    <t>Flex Voltar SAM J8/SAM J6</t>
  </si>
  <si>
    <t>Flex Volume iPhone 11</t>
  </si>
  <si>
    <t>Flex Volume LG K40s</t>
  </si>
  <si>
    <t>Flex Volume LG K50s</t>
  </si>
  <si>
    <t>Flex Volume LG K51/K51s</t>
  </si>
  <si>
    <t>Flex Volume LG K61</t>
  </si>
  <si>
    <t>Flex Volume SAM A01/A01 Core</t>
  </si>
  <si>
    <t>Flex Volume SAM A10s</t>
  </si>
  <si>
    <t>Flex Volume SAM A12</t>
  </si>
  <si>
    <t>Flex Volume SAM A20s (M12/M14)</t>
  </si>
  <si>
    <t>Flex Volume SAM J4/J6/SAM J8/J8 Plus/J4 Core/J4 Plus/J6 Plus</t>
  </si>
  <si>
    <t>Flex Volume SAM J5 Pro (J530)/J7 Pro (J730)/J3 (J330)</t>
  </si>
  <si>
    <t>Gaveta LG K51s</t>
  </si>
  <si>
    <t>Gaveta Moto E5 Play</t>
  </si>
  <si>
    <t>Gaveta Moto G82</t>
  </si>
  <si>
    <t>Gaveta Redmi 7</t>
  </si>
  <si>
    <t>Gaveta SAM A21</t>
  </si>
  <si>
    <t>Gaveta SAM S20 Plus</t>
  </si>
  <si>
    <t>Gaveta SAM S20 Ultra</t>
  </si>
  <si>
    <t>Gaveta Xiaomi Redmi Note 10 5G</t>
  </si>
  <si>
    <t>Lente de Camera Asus Zenfone Max Shot (ZB634KL)</t>
  </si>
  <si>
    <t>Lente de Camera iPhone 11 (KIT 2EM1)</t>
  </si>
  <si>
    <t>Lente de Camera iPhone 11 Pro/iPhone 11 Pro Max (KIT 3EM1)</t>
  </si>
  <si>
    <t>Lente de Camera iPhone 12 Pro (KIT 3EM1)</t>
  </si>
  <si>
    <t>Lente de Camera iPhone 12 Pro Max (KIT 3EM1)</t>
  </si>
  <si>
    <t>Lente de Camera iPhone 12/12 Mini KIT (2EM1)</t>
  </si>
  <si>
    <t>Lente de Camera iPhone 13 Pro/13 Pro Max (KIT 3EM1)</t>
  </si>
  <si>
    <t>Lente de Camera iPhone 14 Pro/14 Pro Max (KIT 3EM1)</t>
  </si>
  <si>
    <t>Lente de Camera iPhone 14/iPhone 14 Plus (KIT 2EM1)</t>
  </si>
  <si>
    <t>Lente de Camera iPhone 15 Pro Max (KIT 3EM1)</t>
  </si>
  <si>
    <t>Lente de Camera iPhone 6 Plus/iPhone 6s Plus</t>
  </si>
  <si>
    <t>Lente de Camera iPhone 6/iPhone 6s</t>
  </si>
  <si>
    <t>Lente de Camera iPhone 7 Plus/iPhone 8 Plus</t>
  </si>
  <si>
    <t>Lente de Camera iPhone 7/iPhone 8</t>
  </si>
  <si>
    <t>Lente de Camera iPhone X/iPhone XS/iPhone XS Max</t>
  </si>
  <si>
    <t>Lente de Camera iPhone XR</t>
  </si>
  <si>
    <t>Lente de Camera LG K12 Prime</t>
  </si>
  <si>
    <t>Lente de Camera LG K22/K22 Plus</t>
  </si>
  <si>
    <t>Lente de Camera LG K42/K52</t>
  </si>
  <si>
    <t>Lente de Camera LG K50s</t>
  </si>
  <si>
    <t>Lente de Camera LG K51s/K41s/K61s/K61 - Preto</t>
  </si>
  <si>
    <t>Lente de Camera LG K62/K62 Plus</t>
  </si>
  <si>
    <t>Lente de Camera Moto E20</t>
  </si>
  <si>
    <t>Lente de Camera Moto E32 (KIT 3EM1)</t>
  </si>
  <si>
    <t>Lente de Camera Moto E6 Play</t>
  </si>
  <si>
    <t>Lente de Camera Moto E6 Plus</t>
  </si>
  <si>
    <t>Lente de Camera Moto E6s/Moto E6i (KIT 2EM1)</t>
  </si>
  <si>
    <t>Lente de Camera Moto E7</t>
  </si>
  <si>
    <t>Lente de Camera Moto E7 Plus</t>
  </si>
  <si>
    <t>Lente de Camera Moto E7 Power</t>
  </si>
  <si>
    <t>Lente de Camera Moto G100 (KIT 4EM1)</t>
  </si>
  <si>
    <t>Lente de Camera Moto G22 (KIT 4EM1)</t>
  </si>
  <si>
    <t>Lente de Camera Moto G5</t>
  </si>
  <si>
    <t>Lente de Camera Moto G50 5G (KIT 3EM1)</t>
  </si>
  <si>
    <t>Lente de Camera Moto G5s Plus</t>
  </si>
  <si>
    <t>Lente de Camera Moto G6 - Dourado</t>
  </si>
  <si>
    <t>Lente de Camera Moto G6 - Preto</t>
  </si>
  <si>
    <t>Lente de Camera Moto G7</t>
  </si>
  <si>
    <t>Lente de Camera Moto G7 Plus</t>
  </si>
  <si>
    <t>Lente de Camera Moto G8 Play (KIT 2EM1)</t>
  </si>
  <si>
    <t>Lente de Camera Moto G8 Plus (KIT 2EM1)</t>
  </si>
  <si>
    <t>Lente de Camera Moto G8 Power (KIT 2EM1)</t>
  </si>
  <si>
    <t>Lente de Camera Moto G8 Power Lite (2EM1)</t>
  </si>
  <si>
    <t>Lente de Camera Moto One Action</t>
  </si>
  <si>
    <t>Lente de Camera Moto One Fusion</t>
  </si>
  <si>
    <t>Lente de Camera Moto One Vision</t>
  </si>
  <si>
    <t>Lente de Camera Realme C21</t>
  </si>
  <si>
    <t>Lente de Camera SAM A01</t>
  </si>
  <si>
    <t>Lente de Camera SAM A01 Core</t>
  </si>
  <si>
    <t>Lente de Camera SAM A02s/A03s</t>
  </si>
  <si>
    <t>Lente de Camera SAM A03</t>
  </si>
  <si>
    <t>Lente de Camera SAM A04 (KIT 2EM1)</t>
  </si>
  <si>
    <t>Lente de Camera SAM A04S (KIT 3EM1)</t>
  </si>
  <si>
    <t>Lente de Camera SAM A10/A20/A30</t>
  </si>
  <si>
    <t>Lente de Camera SAM A10s</t>
  </si>
  <si>
    <t>Lente de Camera SAM A11</t>
  </si>
  <si>
    <t>Lente de Camera SAM A12/M12/M22/M32/M62</t>
  </si>
  <si>
    <t>Lente de Camera SAM A20s</t>
  </si>
  <si>
    <t>Lente de Camera SAM A21s</t>
  </si>
  <si>
    <t>Lente de Camera SAM A30s/A50s</t>
  </si>
  <si>
    <t>Lente de Camera SAM A31</t>
  </si>
  <si>
    <t>Lente de Camera SAM A32 4g/A32 5g KIT (5EM1)</t>
  </si>
  <si>
    <t>Lente de Camera SAM A50/A70</t>
  </si>
  <si>
    <t>Lente de Camera SAM A51</t>
  </si>
  <si>
    <t>Lente de Camera SAM A52 (KIT 5EM1)</t>
  </si>
  <si>
    <t>Lente de Camera SAM A7 2018 (A750)</t>
  </si>
  <si>
    <t>Lente de Camera SAM A71</t>
  </si>
  <si>
    <t>Lente de Camera SAM A72 (KIT 5EM1)</t>
  </si>
  <si>
    <t>Lente de Camera SAM A80</t>
  </si>
  <si>
    <t>Lente de Camera SAM Galaxy Note 10</t>
  </si>
  <si>
    <t>Lente de Camera SAM Galaxy Note 10 Lite</t>
  </si>
  <si>
    <t>Lente de Camera SAM J2 Core (J260)</t>
  </si>
  <si>
    <t>Lente de Camera SAM J4 Core</t>
  </si>
  <si>
    <t>Lente de Camera SAM J6</t>
  </si>
  <si>
    <t>Lente de Camera SAM J6 Plus</t>
  </si>
  <si>
    <t>Lente de Camera SAM J8/J8 Plus</t>
  </si>
  <si>
    <t>Lente de Camera SAM M21s</t>
  </si>
  <si>
    <t>Lente de Camera SAM Note 20 Ultra</t>
  </si>
  <si>
    <t>Lente de Camera SAM Note 20/Note 20 Plus</t>
  </si>
  <si>
    <t>Lente de Camera SAM S10 Lite</t>
  </si>
  <si>
    <t>Lente de Camera SAM S10/S10 Plus</t>
  </si>
  <si>
    <t>Lente de Camera SAM S20</t>
  </si>
  <si>
    <t>Lente de Camera SAM S20 FE Preto</t>
  </si>
  <si>
    <t>Lente de Camera SAM S20 Plus</t>
  </si>
  <si>
    <t>Lente de Camera SAM S20 Ultra</t>
  </si>
  <si>
    <t>Lente de Camera SAM S21 Plus/S21 KIT (3EM1)</t>
  </si>
  <si>
    <t>Lente de Camera SAM S21 Ultra KIT (5EM1)</t>
  </si>
  <si>
    <t>Lente de Camera Xiaomi 11 Lite</t>
  </si>
  <si>
    <t>Lente de Camera Xiaomi Mi 10 Lite</t>
  </si>
  <si>
    <t>Lente de Camera Xiaomi Mi 10T Lite</t>
  </si>
  <si>
    <t>Lente de Camera Xiaomi Mi 10T/Mi 10T Pro</t>
  </si>
  <si>
    <t>Lente de Camera Xiaomi Mi 8 Lite</t>
  </si>
  <si>
    <t>Lente de Camera Xiaomi Mi A1</t>
  </si>
  <si>
    <t>Lente de Camera Xiaomi Note 8 Pro</t>
  </si>
  <si>
    <t>Lente de Camera Xiaomi Poco M3 Pro</t>
  </si>
  <si>
    <t>Lente de Camera Xiaomi Poco X3/Poco X3 Pro</t>
  </si>
  <si>
    <t>Lente de Camera Xiaomi Redmi 10C</t>
  </si>
  <si>
    <t>Lente de Camera Xiaomi Redmi 9</t>
  </si>
  <si>
    <t>Lente de Camera Xiaomi Redmi 9A/Redmi 10A</t>
  </si>
  <si>
    <t>Lente de Camera Xiaomi Redmi 9C</t>
  </si>
  <si>
    <t>Lente de Camera Xiaomi Redmi 9i</t>
  </si>
  <si>
    <t>Lente de Camera Xiaomi Redmi Note 10 4G/Note 10s</t>
  </si>
  <si>
    <t>Lente de Camera Xiaomi Redmi Note 6 Pro</t>
  </si>
  <si>
    <t>Lente de Camera Xiaomi Redmi Note 7/Note 7 Pro</t>
  </si>
  <si>
    <t>Lente de Camera Xiaomi Redmi Note 8/Note 8T</t>
  </si>
  <si>
    <t>Lente de Camera Xiaomi Redmi Note 9 Pro/Note 9/Note 9s/Note 9 Pro Max</t>
  </si>
  <si>
    <t>Placa de Carga iPhone 13</t>
  </si>
  <si>
    <t>Placa de Carga iPhone 13 Pro</t>
  </si>
  <si>
    <t>Placa de Carga iPhone 13 Pro Max</t>
  </si>
  <si>
    <t>Placa de Carga iPhone 14</t>
  </si>
  <si>
    <t>Placa de Carga iPhone 14 Pro</t>
  </si>
  <si>
    <t>Placa de Carga iPhone 14 Pro Max</t>
  </si>
  <si>
    <t>Placa de Carga iPhone 15</t>
  </si>
  <si>
    <t>Placa de Carga iPhone 15 Pro</t>
  </si>
  <si>
    <t>Placa de Carga iPhone 15 Pro Max</t>
  </si>
  <si>
    <t>Placa de Carga iPhone 6 Plus - Cinza</t>
  </si>
  <si>
    <t>Placa de Carga LG K22/K22 Plus</t>
  </si>
  <si>
    <t>Placa de Carga LG K40s</t>
  </si>
  <si>
    <t>Placa de Carga LG K41s</t>
  </si>
  <si>
    <t>Placa de Carga LG K42/K52/K62/K62 Plus</t>
  </si>
  <si>
    <t>Placa de Carga LG K50s</t>
  </si>
  <si>
    <t>Placa de Carga LG K51</t>
  </si>
  <si>
    <t>Placa de Carga LG K51s</t>
  </si>
  <si>
    <t>Placa de Carga LG K61</t>
  </si>
  <si>
    <t>Placa de Carga LG K8 Plus</t>
  </si>
  <si>
    <t>Placa de Carga Moto E13</t>
  </si>
  <si>
    <t>Placa de Carga Moto E20</t>
  </si>
  <si>
    <t>Placa de Carga Moto E22</t>
  </si>
  <si>
    <t>Placa de Carga Moto E32</t>
  </si>
  <si>
    <t>Placa de Carga Moto E4 Plus</t>
  </si>
  <si>
    <t>Placa de Carga Moto E40/E30</t>
  </si>
  <si>
    <t>Placa de Carga Moto E5 Play/E5 Play Go</t>
  </si>
  <si>
    <t>Placa de Carga Moto E6 Play</t>
  </si>
  <si>
    <t>Placa de Carga Moto E6 Plus</t>
  </si>
  <si>
    <t>Placa de Carga Moto E6s/Moto E6i</t>
  </si>
  <si>
    <t>Placa de Carga Moto E7</t>
  </si>
  <si>
    <t>Placa de Carga Moto E7 Plus</t>
  </si>
  <si>
    <t>Placa de Carga Moto E7 Power</t>
  </si>
  <si>
    <t>Placa de Carga Moto Edge 20</t>
  </si>
  <si>
    <t>Placa de Carga Moto G04/G04s</t>
  </si>
  <si>
    <t>Placa de Carga Moto G10/G20</t>
  </si>
  <si>
    <t>Placa de Carga Moto G14</t>
  </si>
  <si>
    <t>Placa de Carga Moto G200</t>
  </si>
  <si>
    <t>Placa de Carga Moto G22</t>
  </si>
  <si>
    <t>Placa de Carga Moto G24/G24 Power</t>
  </si>
  <si>
    <t>Placa de Carga Moto G30</t>
  </si>
  <si>
    <t>Placa de Carga Moto G31</t>
  </si>
  <si>
    <t>Placa de Carga Moto G32</t>
  </si>
  <si>
    <t>Placa de Carga Moto G41</t>
  </si>
  <si>
    <t>Placa de Carga Moto G5</t>
  </si>
  <si>
    <t>Placa de Carga Moto G50 4G</t>
  </si>
  <si>
    <t>Placa de Carga Moto G50 5G</t>
  </si>
  <si>
    <t>Placa de Carga Moto G51</t>
  </si>
  <si>
    <t>Placa de Carga Moto G6 Play/Moto E5</t>
  </si>
  <si>
    <t>Placa de Carga Moto G60</t>
  </si>
  <si>
    <t>Placa de Carga Moto G60s</t>
  </si>
  <si>
    <t>Placa de Carga Moto G62</t>
  </si>
  <si>
    <t>Placa de Carga Moto G7 Play</t>
  </si>
  <si>
    <t>Placa de Carga Moto G7 Power</t>
  </si>
  <si>
    <t>Placa de Carga Moto G71</t>
  </si>
  <si>
    <t>Placa de Carga Moto G72</t>
  </si>
  <si>
    <t>Placa de Carga Moto G8</t>
  </si>
  <si>
    <t>Placa de Carga Moto G8 Play (F)</t>
  </si>
  <si>
    <t>Placa de Carga Moto G8 Play (M)/One Macro</t>
  </si>
  <si>
    <t>Placa de Carga Moto G8 Plus (F)</t>
  </si>
  <si>
    <t>Placa de Carga Moto G8 Plus (M)</t>
  </si>
  <si>
    <t>Placa de Carga Moto G8 Power</t>
  </si>
  <si>
    <t>Placa de Carga Moto G8 Power Lite</t>
  </si>
  <si>
    <t>Placa de Carga Moto G9 Play</t>
  </si>
  <si>
    <t>Placa de Carga Moto G9 Plus</t>
  </si>
  <si>
    <t>Placa de Carga Moto G9 Power</t>
  </si>
  <si>
    <t>Placa de Carga Moto One</t>
  </si>
  <si>
    <t>Placa de Carga Moto One Fusion</t>
  </si>
  <si>
    <t>Placa de Carga Moto One Fusion Plus</t>
  </si>
  <si>
    <t>Placa de Carga Moto One Hyper</t>
  </si>
  <si>
    <t>Placa de Carga Moto One Power</t>
  </si>
  <si>
    <t>Placa de Carga Moto One Vision/Moto One Action</t>
  </si>
  <si>
    <t>Placa de Carga Redmi 9A/Redmi 9C/Redmi 9i/Poco C3/Redmi 10A</t>
  </si>
  <si>
    <t>Placa de Carga Redmi Note 10 Pro/Note 10 Pro Max</t>
  </si>
  <si>
    <t>Placa de Carga Redmi Note 11 4G/Note 11s 4G/Poco M4 Pro 4G</t>
  </si>
  <si>
    <t>Placa de Carga Redmi Note 11 5G/Note 11s 5G/Poco M4 Pro 5G</t>
  </si>
  <si>
    <t>Placa de Carga Redmi Note 12</t>
  </si>
  <si>
    <t>Placa de Carga Redmi Note 6 Pro</t>
  </si>
  <si>
    <t>Placa de Carga Redmi Note 9 Pro/Note 9s</t>
  </si>
  <si>
    <t>Placa de Carga SAM A01 Core</t>
  </si>
  <si>
    <t>Placa de Carga SAM A02</t>
  </si>
  <si>
    <t>Placa de Carga SAM A02s/A03s</t>
  </si>
  <si>
    <t>Placa de Carga SAM A03</t>
  </si>
  <si>
    <t>Placa de Carga SAM A03 Core</t>
  </si>
  <si>
    <t>Placa de Carga SAM A04</t>
  </si>
  <si>
    <t>Placa de Carga SAM A04e</t>
  </si>
  <si>
    <t>Placa de Carga SAM A05</t>
  </si>
  <si>
    <t>Placa de Carga SAM A10</t>
  </si>
  <si>
    <t>Placa de Carga SAM A10s (M12/M15)</t>
  </si>
  <si>
    <t>Placa de Carga SAM A10s (M16)</t>
  </si>
  <si>
    <t>Placa de Carga SAM A11</t>
  </si>
  <si>
    <t>Placa de Carga SAM A12/M12</t>
  </si>
  <si>
    <t>Placa de Carga SAM A13 4G</t>
  </si>
  <si>
    <t>Placa de Carga SAM A13 5G</t>
  </si>
  <si>
    <t>Placa de Carga SAM A14 4G</t>
  </si>
  <si>
    <t>Placa de Carga SAM A14 5G (M12)</t>
  </si>
  <si>
    <t>Placa de Carga SAM A14 5G (M14)</t>
  </si>
  <si>
    <t>Placa de Carga SAM A15</t>
  </si>
  <si>
    <t>Placa de Carga SAM A20</t>
  </si>
  <si>
    <t>Placa de Carga SAM A20s (M12)</t>
  </si>
  <si>
    <t>Placa de Carga SAM A20s (M14/M15)</t>
  </si>
  <si>
    <t>Placa de Carga SAM A21s</t>
  </si>
  <si>
    <t>Placa de Carga SAM A22 4G</t>
  </si>
  <si>
    <t>Placa de Carga SAM A22 5G</t>
  </si>
  <si>
    <t>Placa de Carga SAM A23 4G</t>
  </si>
  <si>
    <t>Placa de Carga SAM A23 5G</t>
  </si>
  <si>
    <t>Placa de Carga SAM A30</t>
  </si>
  <si>
    <t>Placa de Carga SAM A30s</t>
  </si>
  <si>
    <t>Placa de Carga SAM A31</t>
  </si>
  <si>
    <t>Placa de Carga SAM A32 4G</t>
  </si>
  <si>
    <t>Placa de Carga SAM A32 5G</t>
  </si>
  <si>
    <t>Placa de Carga SAM A33</t>
  </si>
  <si>
    <t>Placa de Carga SAM A50</t>
  </si>
  <si>
    <t>Placa de Carga SAM A51</t>
  </si>
  <si>
    <t>Placa de Carga SAM A52/SAM A52s</t>
  </si>
  <si>
    <t>Placa de Carga SAM A53</t>
  </si>
  <si>
    <t>Placa de Carga SAM A54</t>
  </si>
  <si>
    <t>Placa de Carga SAM A70</t>
  </si>
  <si>
    <t>Placa de Carga SAM A71</t>
  </si>
  <si>
    <t>Placa de Carga SAM A72</t>
  </si>
  <si>
    <t>Placa de Carga SAM A73</t>
  </si>
  <si>
    <t>Placa de Carga SAM A80</t>
  </si>
  <si>
    <t>Placa de Carga SAM A9 2018 (A920)</t>
  </si>
  <si>
    <t>Placa de Carga SAM Galaxy S21 FE</t>
  </si>
  <si>
    <t>Placa de Carga SAM M13</t>
  </si>
  <si>
    <t>Placa de Carga SAM M20</t>
  </si>
  <si>
    <t>Placa de Carga SAM M21s</t>
  </si>
  <si>
    <t>Placa de Carga SAM M30 (M305F)</t>
  </si>
  <si>
    <t>Placa de Carga SAM M30s/M31</t>
  </si>
  <si>
    <t>Placa de Carga SAM M33/M23</t>
  </si>
  <si>
    <t>Placa de Carga SAM M51/M62</t>
  </si>
  <si>
    <t>Placa de Carga SAM M53</t>
  </si>
  <si>
    <t>Placa de Carga SAM S10</t>
  </si>
  <si>
    <t>Placa de Carga SAM S10 Lite</t>
  </si>
  <si>
    <t>Placa de Carga SAM S20 FE</t>
  </si>
  <si>
    <t>Placa de Carga Xiaomi Poco M3 Pro/Note 10 5G/Note 10T</t>
  </si>
  <si>
    <t>Placa de Carga Xiaomi Poco M4/Redmi Note 11E</t>
  </si>
  <si>
    <t>Placa de Carga Xiaomi Poco X3/Poco X3 Pro/Poco X3 GT/Poco X3 NFC</t>
  </si>
  <si>
    <t>Placa de Carga Xiaomi Poco X4 Pro 4G e 5G/Note 11 Pro 4G e 5G</t>
  </si>
  <si>
    <t>Placa de Carga Xiaomi Poco X6</t>
  </si>
  <si>
    <t>Placa de Carga Xiaomi Redmi 10/Redmi 10 Prime</t>
  </si>
  <si>
    <t>Placa de Carga Xiaomi Redmi 12</t>
  </si>
  <si>
    <t>Placa de Carga Xiaomi Redmi 12C</t>
  </si>
  <si>
    <t>Placa de Carga Xiaomi Redmi 9</t>
  </si>
  <si>
    <t>Placa de Carga Xiaomi Redmi Note 10/Note 10s 4G</t>
  </si>
  <si>
    <t>Placa de Carga Xiaomi Redmi Note 7/Note 7 Pro</t>
  </si>
  <si>
    <t>Placa de Carga Xiaomi Redmi Note 8</t>
  </si>
  <si>
    <t>Placa de Carga Xiaomi Redmi Note 8 Pro</t>
  </si>
  <si>
    <t>Placa de Carga Xiaomi Redmi Note 9</t>
  </si>
  <si>
    <t>Placa de Carga Xiaomi Redmi S2</t>
  </si>
  <si>
    <t>Tampa SAM Galaxy S9</t>
  </si>
  <si>
    <t xml:space="preserve">Moto G72 incell    = R$ </t>
  </si>
  <si>
    <t xml:space="preserve">Moto G72 original = R$ </t>
  </si>
  <si>
    <t xml:space="preserve">M34 c/aro Nacional = R$ </t>
  </si>
  <si>
    <t>Produto</t>
  </si>
  <si>
    <t>SAM A01 Core com aro original</t>
  </si>
  <si>
    <t>SAM A01 com aro original</t>
  </si>
  <si>
    <t>SAM A02 com aro original</t>
  </si>
  <si>
    <t>SAM A02s com aro original</t>
  </si>
  <si>
    <t>SAM A03 Core com aro original</t>
  </si>
  <si>
    <t>SAM A03 com aro original</t>
  </si>
  <si>
    <t>SAM A03s com aro original</t>
  </si>
  <si>
    <t>SAM A04 com aro original</t>
  </si>
  <si>
    <t>SAM A04E com aro original</t>
  </si>
  <si>
    <t>SAM A04s com aro original</t>
  </si>
  <si>
    <t>SAM A05 com aro original</t>
  </si>
  <si>
    <t>SAM A05s com aro original</t>
  </si>
  <si>
    <t>SAM A10 com aro original</t>
  </si>
  <si>
    <t>SAM A10s com aro original</t>
  </si>
  <si>
    <t>SAM A11 com aro original</t>
  </si>
  <si>
    <t>SAM A12 com aro original</t>
  </si>
  <si>
    <t>SAM A13 4G com aro original</t>
  </si>
  <si>
    <t>SAM A13 5G com aro original</t>
  </si>
  <si>
    <t>SAM A14 4G com aro original</t>
  </si>
  <si>
    <t>SAM A14 5G com aro original</t>
  </si>
  <si>
    <t>SAM A15 com aro original</t>
  </si>
  <si>
    <t>SAM A20 com aro original</t>
  </si>
  <si>
    <t>SAM A20s com aro original</t>
  </si>
  <si>
    <t>SAM A21s com aro original</t>
  </si>
  <si>
    <t>SAM A22 4G com aro original</t>
  </si>
  <si>
    <t>SAM A22 5G com aro original</t>
  </si>
  <si>
    <t>SAM A23 4G com aro original</t>
  </si>
  <si>
    <t>SAM A23 5G com aro original</t>
  </si>
  <si>
    <t>SAM A24 com aro original</t>
  </si>
  <si>
    <t>SAM A30 com aro original</t>
  </si>
  <si>
    <t>SAM A30s com aro original</t>
  </si>
  <si>
    <t>SAM A31 com aro original</t>
  </si>
  <si>
    <t>SAM A32 4G com aro original</t>
  </si>
  <si>
    <t>SAM A32 5G com aro original</t>
  </si>
  <si>
    <t>SAM A33 com aro original</t>
  </si>
  <si>
    <t>SAM A50 com aro original</t>
  </si>
  <si>
    <t>SAM A53 com aro original</t>
  </si>
  <si>
    <t>SAM A54 com aro original</t>
  </si>
  <si>
    <t>SAM A80 com aro original</t>
  </si>
  <si>
    <t>SAM Galaxy S20 FE com aro original</t>
  </si>
  <si>
    <t>SAM M10 com aro original</t>
  </si>
  <si>
    <t>SAM M12 com aro original</t>
  </si>
  <si>
    <t>SAM M13 4G com aro original</t>
  </si>
  <si>
    <t>SAM M14 5G com aro original</t>
  </si>
  <si>
    <t>SAM M20 com aro original</t>
  </si>
  <si>
    <t>SAM M21s com aro original</t>
  </si>
  <si>
    <t>SAM M22 com aro original</t>
  </si>
  <si>
    <t>SAM M30 com aro original</t>
  </si>
  <si>
    <t>SAM M30s com aro original</t>
  </si>
  <si>
    <t>SAM M31 com aro original</t>
  </si>
  <si>
    <t>SAM M32 com aro original</t>
  </si>
  <si>
    <t>SAM M34 com aro original</t>
  </si>
  <si>
    <t>SAM M53 com aro original</t>
  </si>
  <si>
    <t>Moto G04 com aro original</t>
  </si>
  <si>
    <t>Moto G04s com aro original</t>
  </si>
  <si>
    <t>Moto G10 com aro original</t>
  </si>
  <si>
    <t>Moto G100 com aro original</t>
  </si>
  <si>
    <t>Moto G14 com aro original</t>
  </si>
  <si>
    <t>Moto G20 com aro original</t>
  </si>
  <si>
    <t>Moto G22 com aro original</t>
  </si>
  <si>
    <t>Moto G23 com aro original</t>
  </si>
  <si>
    <t>Moto G30 com aro original</t>
  </si>
  <si>
    <t>Moto G31 com aro original</t>
  </si>
  <si>
    <t>Moto G32 com aro original</t>
  </si>
  <si>
    <t>Moto G34 com aro original</t>
  </si>
  <si>
    <t>Moto G4 Plus com aro original</t>
  </si>
  <si>
    <t>Moto G41 com aro original</t>
  </si>
  <si>
    <t>Moto G42 com aro original</t>
  </si>
  <si>
    <t>Moto G50 4G com aro original</t>
  </si>
  <si>
    <t>Moto G50 5G com aro original</t>
  </si>
  <si>
    <t>Moto G52 com aro original</t>
  </si>
  <si>
    <t>Moto G53 com aro original</t>
  </si>
  <si>
    <t>Moto G54 com aro original</t>
  </si>
  <si>
    <t>Moto G6 com aro original</t>
  </si>
  <si>
    <t>Moto G6 Play com aro original</t>
  </si>
  <si>
    <t>Moto G60 com aro original</t>
  </si>
  <si>
    <t>Moto G60s com aro original</t>
  </si>
  <si>
    <t>Moto G62 com aro original</t>
  </si>
  <si>
    <t>Moto G7 Play com aro original</t>
  </si>
  <si>
    <t>Moto G7 Power com aro original</t>
  </si>
  <si>
    <t>Moto G72 com aro original</t>
  </si>
  <si>
    <t>Moto G73 com aro original</t>
  </si>
  <si>
    <t>Moto G8 com aro original</t>
  </si>
  <si>
    <t>Moto G8 Play com aro original</t>
  </si>
  <si>
    <t>Moto G8 Plus com aro original</t>
  </si>
  <si>
    <t>Moto G8 Power Lite com aro original</t>
  </si>
  <si>
    <t>Moto G8 Power com aro original</t>
  </si>
  <si>
    <t>Moto G82 com aro original</t>
  </si>
  <si>
    <t>Moto G84 com aro original</t>
  </si>
  <si>
    <t>Moto G9 Play com aro original</t>
  </si>
  <si>
    <t>Moto G9 Plus com aro original</t>
  </si>
  <si>
    <t>Moto G9 Power com aro original</t>
  </si>
  <si>
    <t>Moto One Fusion com aro original</t>
  </si>
  <si>
    <t>Moto One Macro com aro original</t>
  </si>
  <si>
    <t>Moto One com aro original</t>
  </si>
  <si>
    <t>Moto One Vision com aro original</t>
  </si>
  <si>
    <t>Moto E13 com aro original</t>
  </si>
  <si>
    <t>Moto E20 com aro original</t>
  </si>
  <si>
    <t>Moto E22 com aro original</t>
  </si>
  <si>
    <t>Moto E30 com aro original</t>
  </si>
  <si>
    <t>Moto E32 com aro original</t>
  </si>
  <si>
    <t>Moto E40 com aro original</t>
  </si>
  <si>
    <t>Moto E6 Play com aro original</t>
  </si>
  <si>
    <t>Moto E6 Plus com aro original</t>
  </si>
  <si>
    <t>Moto E6i com aro original</t>
  </si>
  <si>
    <t>Moto E6s com aro original</t>
  </si>
  <si>
    <t>Moto E7 com aro original</t>
  </si>
  <si>
    <t>Moto E7 Plus com aro original</t>
  </si>
  <si>
    <t>Moto E7 Power com aro original</t>
  </si>
  <si>
    <t>Moto Edge 20 Lite com aro original</t>
  </si>
  <si>
    <t>LG K10 2017 com aro original</t>
  </si>
  <si>
    <t>LG K11 Plus com aro original</t>
  </si>
  <si>
    <t>LG K12 Max com aro original</t>
  </si>
  <si>
    <t>LG K12 com aro original</t>
  </si>
  <si>
    <t>LG K12 Prime com aro original</t>
  </si>
  <si>
    <t>LG K22 com aro original</t>
  </si>
  <si>
    <t>LG K40s com aro original</t>
  </si>
  <si>
    <t>LG K41s com aro original</t>
  </si>
  <si>
    <t>LG K42 com aro original</t>
  </si>
  <si>
    <t>LG K50s com aro original</t>
  </si>
  <si>
    <t>LG K51s com aro original</t>
  </si>
  <si>
    <t>LG K52 com aro original</t>
  </si>
  <si>
    <t>LG K61 com aro original</t>
  </si>
  <si>
    <t>LG K62 com aro original</t>
  </si>
  <si>
    <t>LG K62 Plus com aro original</t>
  </si>
  <si>
    <t>LG K8 2017 com aro original</t>
  </si>
  <si>
    <t>LG K8 Plus com aro original</t>
  </si>
  <si>
    <t>LG K9 com aro original</t>
  </si>
  <si>
    <t>Redmi Note 7 com aro original</t>
  </si>
  <si>
    <t>Redmi Note 7 Pro com aro original</t>
  </si>
  <si>
    <t>Redmi Note 8 com aro original</t>
  </si>
  <si>
    <t>Redmi Note 9 com aro original</t>
  </si>
  <si>
    <t>Redmi Note 9 Pro com aro original</t>
  </si>
  <si>
    <t>Redmi Note 9s com aro original</t>
  </si>
  <si>
    <t>Redmi Note 10 4G com aro original</t>
  </si>
  <si>
    <t>Redmi Note 10 pro Max com aro original</t>
  </si>
  <si>
    <t>Redmi Note 10 Pro com aro original</t>
  </si>
  <si>
    <t>Redmi Note 10s 4G com aro original</t>
  </si>
  <si>
    <t>Redmi Note 11 Pro com aro original</t>
  </si>
  <si>
    <t>Redmi Note 12 4G com aro original</t>
  </si>
  <si>
    <t>Redmi Note 12 5G com aro original</t>
  </si>
  <si>
    <t>Redmi Note 12 Pro 4G com aro original</t>
  </si>
  <si>
    <t>Redmi Note 12 Pro 5G com aro original</t>
  </si>
  <si>
    <t>Redmi Note 13 4G com aro original</t>
  </si>
  <si>
    <t>Redmi Note 13 5G com aro original</t>
  </si>
  <si>
    <t>Redmi 9 com aro original</t>
  </si>
  <si>
    <t>Redmi 9A com aro original</t>
  </si>
  <si>
    <t>Redmi 9C com aro original</t>
  </si>
  <si>
    <t>Redmi 9T com aro original</t>
  </si>
  <si>
    <t>Redmi 10 com aro original</t>
  </si>
  <si>
    <t>Redmi 10 Prime com aro original</t>
  </si>
  <si>
    <t>Redmi 10A com aro original</t>
  </si>
  <si>
    <t>Redmi 10C com aro original</t>
  </si>
  <si>
    <t>Redmi 12 com aro original</t>
  </si>
  <si>
    <t>Redmi 12C com aro original</t>
  </si>
  <si>
    <t>Redmi 13 com aro original</t>
  </si>
  <si>
    <t>Redmi 13C com aro original</t>
  </si>
  <si>
    <t>Redmi 14C com aro original</t>
  </si>
  <si>
    <t>Poco M3 com aro original</t>
  </si>
  <si>
    <t>Poco M4 com aro original</t>
  </si>
  <si>
    <t>Poco M4 Pro com aro original</t>
  </si>
  <si>
    <t>Poco M5 com aro original</t>
  </si>
  <si>
    <t>Poco X3 com aro original</t>
  </si>
  <si>
    <t>Poco X3 Pro com aro original</t>
  </si>
  <si>
    <t>Poco X4 Pro com aro original</t>
  </si>
  <si>
    <t>SAM A01 Core sem aro original</t>
  </si>
  <si>
    <t>SAM A01 sem aro original</t>
  </si>
  <si>
    <t>SAM A02s sem aro original</t>
  </si>
  <si>
    <t>SAM A03 Core sem aro original</t>
  </si>
  <si>
    <t>SAM A03 sem aro original</t>
  </si>
  <si>
    <t>SAM A03s sem aro original</t>
  </si>
  <si>
    <t>SAM A04 sem aro original</t>
  </si>
  <si>
    <t>SAM A04E sem aro original</t>
  </si>
  <si>
    <t>SAM A04s sem aro original</t>
  </si>
  <si>
    <t>SAM A05 sem aro original</t>
  </si>
  <si>
    <t>SAM A05s sem aro original</t>
  </si>
  <si>
    <t>SAM A10 sem aro original</t>
  </si>
  <si>
    <t>SAM A10s sem aro original</t>
  </si>
  <si>
    <t>SAM A11 sem aro original</t>
  </si>
  <si>
    <t>SAM A12 sem aro original</t>
  </si>
  <si>
    <t>SAM A13 4G sem aro original</t>
  </si>
  <si>
    <t>SAM A13 5G sem aro original</t>
  </si>
  <si>
    <t>SAM A14 4G sem aro original</t>
  </si>
  <si>
    <t>SAM A14 5G sem aro original</t>
  </si>
  <si>
    <t>SAM A15 sem aro original</t>
  </si>
  <si>
    <t>SAM A20 sem aro original</t>
  </si>
  <si>
    <t>SAM A20s sem aro original</t>
  </si>
  <si>
    <t>SAM A21 sem aro original</t>
  </si>
  <si>
    <t>SAM A21s sem aro original</t>
  </si>
  <si>
    <t>SAM A22 5G sem aro original</t>
  </si>
  <si>
    <t>SAM A23 4G sem aro original</t>
  </si>
  <si>
    <t>SAM A23 5G sem aro original</t>
  </si>
  <si>
    <t>SAM A30 sem aro original</t>
  </si>
  <si>
    <t>SAM A30s sem aro original</t>
  </si>
  <si>
    <t>SAM A32 5G sem aro original</t>
  </si>
  <si>
    <t>SAM A50 sem aro original</t>
  </si>
  <si>
    <t>SAM A6 Plus sem aro original</t>
  </si>
  <si>
    <t>SAM A80 sem aro original</t>
  </si>
  <si>
    <t>SAM J4 sem aro original</t>
  </si>
  <si>
    <t>SAM J4 Plus sem aro original</t>
  </si>
  <si>
    <t>SAM J5 Prime sem aro original</t>
  </si>
  <si>
    <t>SAM J6 sem aro original</t>
  </si>
  <si>
    <t>SAM J6 Plus sem aro original</t>
  </si>
  <si>
    <t>SAM J7 Prime 2 sem aro original</t>
  </si>
  <si>
    <t>SAM J7 Prime sem aro original</t>
  </si>
  <si>
    <t>SAM J700 sem aro original</t>
  </si>
  <si>
    <t>SAM J8 sem aro original</t>
  </si>
  <si>
    <t>SAM J8 Plus sem aro original</t>
  </si>
  <si>
    <t>SAM M10 sem aro original</t>
  </si>
  <si>
    <t>SAM M12 sem aro original</t>
  </si>
  <si>
    <t>SAM M13 4G sem aro original</t>
  </si>
  <si>
    <t>SAM M14 5G sem aro original</t>
  </si>
  <si>
    <t>SAM M20 sem aro original</t>
  </si>
  <si>
    <t>SAM M21s sem aro original</t>
  </si>
  <si>
    <t>SAM M22 sem aro original</t>
  </si>
  <si>
    <t>SAM M23 sem aro original</t>
  </si>
  <si>
    <t>SAM M30 sem aro original</t>
  </si>
  <si>
    <t>SAM M30s sem aro original</t>
  </si>
  <si>
    <t>SAM M31 sem aro original</t>
  </si>
  <si>
    <t>SAM M51 sem aro original</t>
  </si>
  <si>
    <t>SAM M62 sem aro original</t>
  </si>
  <si>
    <t>Moto G04 sem aro original</t>
  </si>
  <si>
    <t>Moto G04s sem aro original</t>
  </si>
  <si>
    <t>Moto G10 sem aro original</t>
  </si>
  <si>
    <t>Moto G100 sem aro original</t>
  </si>
  <si>
    <t>Moto G14 sem aro original</t>
  </si>
  <si>
    <t>Moto G20 sem aro original</t>
  </si>
  <si>
    <t>Moto G200 sem aro original</t>
  </si>
  <si>
    <t>Moto G22 sem aro original</t>
  </si>
  <si>
    <t>Moto G23 sem aro original</t>
  </si>
  <si>
    <t>Moto G30 sem aro original</t>
  </si>
  <si>
    <t>Moto G31 sem aro original</t>
  </si>
  <si>
    <t>Moto G32 sem aro original</t>
  </si>
  <si>
    <t>Moto G34 sem aro original</t>
  </si>
  <si>
    <t>Moto G41 sem aro original</t>
  </si>
  <si>
    <t>Moto G42 sem aro original</t>
  </si>
  <si>
    <t>Moto G5 sem aro original</t>
  </si>
  <si>
    <t>Moto G5 Plus sem aro original</t>
  </si>
  <si>
    <t>Moto G50 4G sem aro original</t>
  </si>
  <si>
    <t>Moto G50 5G sem aro original</t>
  </si>
  <si>
    <t>Moto G51 sem aro original</t>
  </si>
  <si>
    <t>Moto G52 sem aro original</t>
  </si>
  <si>
    <t>Moto G53 sem aro original</t>
  </si>
  <si>
    <t>Moto G54 sem aro original</t>
  </si>
  <si>
    <t>Moto G5G Plus sem aro original</t>
  </si>
  <si>
    <t>Moto G5s sem aro original</t>
  </si>
  <si>
    <t>Moto G5s Plus sem aro original</t>
  </si>
  <si>
    <t>Moto G6 sem aro original</t>
  </si>
  <si>
    <t>Moto G6 Play sem aro original</t>
  </si>
  <si>
    <t>Moto G6 Plus sem aro original</t>
  </si>
  <si>
    <t>Moto G60 sem aro original</t>
  </si>
  <si>
    <t>Moto G60s sem aro original</t>
  </si>
  <si>
    <t>Moto G62 sem aro original</t>
  </si>
  <si>
    <t>Moto G7 sem aro original</t>
  </si>
  <si>
    <t>Moto G7 Play sem aro original</t>
  </si>
  <si>
    <t>Moto G7 Plus sem aro original</t>
  </si>
  <si>
    <t>Moto G7 Power sem aro original</t>
  </si>
  <si>
    <t>Moto G71 sem aro original</t>
  </si>
  <si>
    <t>Moto G72 sem aro original</t>
  </si>
  <si>
    <t>Moto G73 sem aro original</t>
  </si>
  <si>
    <t>Moto G8 sem aro original</t>
  </si>
  <si>
    <t>Moto G8 Play sem aro original</t>
  </si>
  <si>
    <t>Moto G8 Plus sem aro original</t>
  </si>
  <si>
    <t>Moto G8 Power Lite sem aro original</t>
  </si>
  <si>
    <t>Moto G8 Power sem aro original</t>
  </si>
  <si>
    <t>Moto G82 sem aro original</t>
  </si>
  <si>
    <t>Moto G9 Play sem aro original</t>
  </si>
  <si>
    <t>Moto G9 Plus sem aro original</t>
  </si>
  <si>
    <t>Moto G9 Power sem aro original</t>
  </si>
  <si>
    <t>Moto One Fusion sem aro original</t>
  </si>
  <si>
    <t>Moto One Fusion Plus sem aro original</t>
  </si>
  <si>
    <t>Moto One Hyper sem aro original</t>
  </si>
  <si>
    <t>Moto One Macro sem aro original</t>
  </si>
  <si>
    <t>Moto One sem aro original</t>
  </si>
  <si>
    <t>Moto One Vision sem aro original</t>
  </si>
  <si>
    <t>Moto One Zoom sem aro original</t>
  </si>
  <si>
    <t>Moto Z Play sem aro original</t>
  </si>
  <si>
    <t>Moto Z Power sem aro original</t>
  </si>
  <si>
    <t>Moto Z2 Play sem aro original</t>
  </si>
  <si>
    <t>Moto Z3 Play sem aro original</t>
  </si>
  <si>
    <t>Moto E13 sem aro original</t>
  </si>
  <si>
    <t>Moto E20 sem aro original</t>
  </si>
  <si>
    <t>Moto E22 sem aro original</t>
  </si>
  <si>
    <t>Moto E30 sem aro original</t>
  </si>
  <si>
    <t>Moto E32 sem aro original</t>
  </si>
  <si>
    <t>Moto E4 sem aro original</t>
  </si>
  <si>
    <t>Moto E4 Plus sem aro original</t>
  </si>
  <si>
    <t>Moto E40 sem aro original</t>
  </si>
  <si>
    <t>Moto E5 sem aro original</t>
  </si>
  <si>
    <t>Moto E5 Play sem aro original</t>
  </si>
  <si>
    <t>Moto E5 Plus sem aro original</t>
  </si>
  <si>
    <t>Moto E6 Play sem aro original</t>
  </si>
  <si>
    <t>Moto E6 Plus sem aro original</t>
  </si>
  <si>
    <t>Moto E6i sem aro original</t>
  </si>
  <si>
    <t>Moto E6s sem aro original</t>
  </si>
  <si>
    <t>Moto E7 sem aro original</t>
  </si>
  <si>
    <t>Moto E7 Plus sem aro original</t>
  </si>
  <si>
    <t>Moto E7 Power sem aro original</t>
  </si>
  <si>
    <t>Moto Edge 20 Lite sem aro original</t>
  </si>
  <si>
    <t>Moto Edge 20 sem aro original</t>
  </si>
  <si>
    <t>Moto Edge 30 Neo sem aro original</t>
  </si>
  <si>
    <t>Moto Edge 30 sem aro original</t>
  </si>
  <si>
    <t>LG K12 Max sem aro original</t>
  </si>
  <si>
    <t>LG K12 sem aro original</t>
  </si>
  <si>
    <t>LG K12 Prime sem aro original</t>
  </si>
  <si>
    <t>LG K22 sem aro original</t>
  </si>
  <si>
    <t>LG K40s sem aro original</t>
  </si>
  <si>
    <t>LG K41s sem aro original</t>
  </si>
  <si>
    <t>LG K42 sem aro original</t>
  </si>
  <si>
    <t>LG K50s sem aro original</t>
  </si>
  <si>
    <t>LG K51 sem aro original</t>
  </si>
  <si>
    <t>LG K51s sem aro original</t>
  </si>
  <si>
    <t>LG K52 sem aro original</t>
  </si>
  <si>
    <t>LG K61 sem aro original</t>
  </si>
  <si>
    <t>LG K62 sem aro original</t>
  </si>
  <si>
    <t>Redmi Note 6 Pro sem aro original</t>
  </si>
  <si>
    <t>Redmi Note 7 sem aro original</t>
  </si>
  <si>
    <t>Redmi Note 7 Pro sem aro original</t>
  </si>
  <si>
    <t>Redmi Note 8 sem aro original</t>
  </si>
  <si>
    <t>Redmi Note 8 Pro sem aro original</t>
  </si>
  <si>
    <t>Redmi Note 8T sem aro original</t>
  </si>
  <si>
    <t>Redmi Note 9 sem aro original</t>
  </si>
  <si>
    <t>Redmi Note 9 Pro sem aro original</t>
  </si>
  <si>
    <t>Redmi Note 9s sem aro original</t>
  </si>
  <si>
    <t>Redmi Note 10 4G sem aro original</t>
  </si>
  <si>
    <t>Redmi Note 10 5G sem aro original</t>
  </si>
  <si>
    <t>Redmi Note 10 pro Max sem aro original</t>
  </si>
  <si>
    <t>Redmi Note 10s 4G sem aro original</t>
  </si>
  <si>
    <t>Redmi Note 11 4G sem aro original</t>
  </si>
  <si>
    <t>Redmi Note 11 5G sem aro original</t>
  </si>
  <si>
    <t>Redmi Note 11 Pro sem aro original</t>
  </si>
  <si>
    <t>Redmi Note 12 sem aro original</t>
  </si>
  <si>
    <t>Redmi Note 12 Pro 4G sem aro original</t>
  </si>
  <si>
    <t>Redmi Note 12 Pro 5G sem aro original</t>
  </si>
  <si>
    <t>Redmi Note 12s sem aro original</t>
  </si>
  <si>
    <t>Redmi Note 13 4G sem aro original</t>
  </si>
  <si>
    <t>Redmi Note 13 5G sem aro original</t>
  </si>
  <si>
    <t>Redmi S2 sem aro original</t>
  </si>
  <si>
    <t>Redmi A1 sem aro original</t>
  </si>
  <si>
    <t>Redmi A1 Plus sem aro original</t>
  </si>
  <si>
    <t>Redmi A2 sem aro original</t>
  </si>
  <si>
    <t>Redmi A2 Plus sem aro original</t>
  </si>
  <si>
    <t>Redmi A3 sem aro original</t>
  </si>
  <si>
    <t>Redmi 7 sem aro original</t>
  </si>
  <si>
    <t>Redmi 7A sem aro original</t>
  </si>
  <si>
    <t>Redmi 8 sem aro original</t>
  </si>
  <si>
    <t>Redmi 8A sem aro original</t>
  </si>
  <si>
    <t>Redmi 9 sem aro original</t>
  </si>
  <si>
    <t>Redmi 9A sem aro original</t>
  </si>
  <si>
    <t>Redmi 9C sem aro original</t>
  </si>
  <si>
    <t>Redmi 9T sem aro original</t>
  </si>
  <si>
    <t>Redmi 10 sem aro original</t>
  </si>
  <si>
    <t>Redmi 10A sem aro original</t>
  </si>
  <si>
    <t>Redmi 10C sem aro original</t>
  </si>
  <si>
    <t>Redmi 11 Prime sem aro original</t>
  </si>
  <si>
    <t>Redmi 12 sem aro original</t>
  </si>
  <si>
    <t>Redmi 12C sem aro original</t>
  </si>
  <si>
    <t>Redmi 13 sem aro original</t>
  </si>
  <si>
    <t>Redmi 13C sem aro original</t>
  </si>
  <si>
    <t>Redmi 14C sem aro original</t>
  </si>
  <si>
    <t>Mi 10T sem aro original</t>
  </si>
  <si>
    <t>Mi 11 Lite sem aro original</t>
  </si>
  <si>
    <t>Mi 8 Lite sem aro original</t>
  </si>
  <si>
    <t>Mi 8 sem aro original</t>
  </si>
  <si>
    <t>Mi 9 Lite sem aro original</t>
  </si>
  <si>
    <t>Mi 9 sem aro original</t>
  </si>
  <si>
    <t>Mi 9 SE sem aro original</t>
  </si>
  <si>
    <t>Mi 9T sem aro original</t>
  </si>
  <si>
    <t>Mi 9T Pro sem aro original</t>
  </si>
  <si>
    <t>Mi A2 Lite sem aro original</t>
  </si>
  <si>
    <t>Mi A2 sem aro original</t>
  </si>
  <si>
    <t>Mi A3 sem aro original</t>
  </si>
  <si>
    <t>Mi Max 2 sem aro original</t>
  </si>
  <si>
    <t>Mi Max 3 sem aro original</t>
  </si>
  <si>
    <t>Poco C40 sem aro original</t>
  </si>
  <si>
    <t>Poco C65 sem aro original</t>
  </si>
  <si>
    <t>Poco M3 sem aro original</t>
  </si>
  <si>
    <t>Poco M3 Pro sem aro original</t>
  </si>
  <si>
    <t>Poco M4 sem aro original</t>
  </si>
  <si>
    <t>Poco M4 Pro 5G sem aro original</t>
  </si>
  <si>
    <t>Poco M4 Pro sem aro original</t>
  </si>
  <si>
    <t>Poco M5s sem aro original</t>
  </si>
  <si>
    <t>Poco M5 sem aro original</t>
  </si>
  <si>
    <t>Poco X3 GT sem aro original</t>
  </si>
  <si>
    <t>Poco X3 sem aro original</t>
  </si>
  <si>
    <t>Poco X3 Pro sem aro original</t>
  </si>
  <si>
    <t>Poco X4 GT sem aro original</t>
  </si>
  <si>
    <t>Poco X4 Pro sem aro original</t>
  </si>
  <si>
    <t>Asus Zenfone 4 Selfie (ZD553KL) sem aro original</t>
  </si>
  <si>
    <t>Asus ZenFone 5 Selfie (ZC600KL) sem aro original</t>
  </si>
  <si>
    <t>Asus Zenfone Max Pro M1 (ZB601KL) sem aro original</t>
  </si>
  <si>
    <t>Asus Zenfone Max Pro M1 (ZB602KL) sem aro original</t>
  </si>
  <si>
    <t>Asus Zenfone Max Pro M2 (ZB631KL) sem aro original</t>
  </si>
  <si>
    <t>Asus Zenfone Max Shot (ZB634KL) sem aro original</t>
  </si>
  <si>
    <t>SAM A24 sem aro incell</t>
  </si>
  <si>
    <t>SAM A25 sem aro incell</t>
  </si>
  <si>
    <t>SAM A30s sem aro incell</t>
  </si>
  <si>
    <t>SAM A33 sem aro incell</t>
  </si>
  <si>
    <t>SAM A54 sem aro incell</t>
  </si>
  <si>
    <t>SAM A70 sem aro incell</t>
  </si>
  <si>
    <t>SAM A72 sem aro incell</t>
  </si>
  <si>
    <t>SAM M21s sem aro incell</t>
  </si>
  <si>
    <t>SAM M22 sem aro incell</t>
  </si>
  <si>
    <t>SAM M30 sem aro incell</t>
  </si>
  <si>
    <t>SAM M30s sem aro incell</t>
  </si>
  <si>
    <t>SAM M31 sem aro incell</t>
  </si>
  <si>
    <t>SAM M34 sem aro incell</t>
  </si>
  <si>
    <t>SAM M52 sem aro incell</t>
  </si>
  <si>
    <t>Moto G41 sem aro incell</t>
  </si>
  <si>
    <t>Moto G42 sem aro incell</t>
  </si>
  <si>
    <t>Moto G52 sem aro incell</t>
  </si>
  <si>
    <t>Moto G71 sem aro incell</t>
  </si>
  <si>
    <t>Moto G72 sem aro incell</t>
  </si>
  <si>
    <t>Moto G82 sem aro incell</t>
  </si>
  <si>
    <t>Moto G84 sem aro incell</t>
  </si>
  <si>
    <t>Moto Edge 30 sem aro incell</t>
  </si>
  <si>
    <t>Redmi Note 10 4G sem aro incell</t>
  </si>
  <si>
    <t>Redmi Note 10 Pro sem aro incell</t>
  </si>
  <si>
    <t>Redmi Note 10 pro Max sem aro incell</t>
  </si>
  <si>
    <t>Redmi Note 10s 4G sem aro incell</t>
  </si>
  <si>
    <t>Redmi Note 11 4G sem aro incell</t>
  </si>
  <si>
    <t>Redmi Note 11 Pro sem aro incell</t>
  </si>
  <si>
    <t>Redmi Note 12 sem aro incell</t>
  </si>
  <si>
    <t>Redmi Note 12 Pro 5G sem aro incell</t>
  </si>
  <si>
    <t>Redmi Note 12s sem aro incell</t>
  </si>
  <si>
    <t>Redmi Note 13 4G sem aro incell</t>
  </si>
  <si>
    <t>Redmi Note 13 5G sem aro incell</t>
  </si>
  <si>
    <t>Mi 11 Lite sem aro incell</t>
  </si>
  <si>
    <t>Mi 8 sem aro incell</t>
  </si>
  <si>
    <t>Mi 9 sem aro incell</t>
  </si>
  <si>
    <t>Mi 9 Lite sem aro incell</t>
  </si>
  <si>
    <t>Mi 9 SE sem aro incell</t>
  </si>
  <si>
    <t>Mi 9T sem aro incell</t>
  </si>
  <si>
    <t>Mi 9T Pro sem aro incell</t>
  </si>
  <si>
    <t>Mi A3 sem aro incell</t>
  </si>
  <si>
    <t>Poco M4 Pro sem aro incell</t>
  </si>
  <si>
    <t>Poco M5s sem aro incell</t>
  </si>
  <si>
    <t>Poco X4 Pro sem aro incell</t>
  </si>
  <si>
    <t>SAM A15 com aro incell</t>
  </si>
  <si>
    <t>SAM A24 com aro incell</t>
  </si>
  <si>
    <t>SAM A25 com aro incell</t>
  </si>
  <si>
    <t>SAM A33 com aro incell</t>
  </si>
  <si>
    <t>SAM A52 4G com aro incell</t>
  </si>
  <si>
    <t>SAM A52 5G com aro incell</t>
  </si>
  <si>
    <t>SAM A53 com aro incell</t>
  </si>
  <si>
    <t>SAM A54 com aro incell</t>
  </si>
  <si>
    <t>SAM A70 com aro incell</t>
  </si>
  <si>
    <t>SAM A71 com aro incell</t>
  </si>
  <si>
    <t>SAM A72 com aro incell</t>
  </si>
  <si>
    <t>SAM A73 com aro incell</t>
  </si>
  <si>
    <t>SAM M21s com aro incell</t>
  </si>
  <si>
    <t>SAM M22 com aro incell</t>
  </si>
  <si>
    <t>SAM M30 com aro incell</t>
  </si>
  <si>
    <t>SAM M30s com aro incell</t>
  </si>
  <si>
    <t>SAM M31 com aro incell</t>
  </si>
  <si>
    <t>SAM M32 com aro incell</t>
  </si>
  <si>
    <t>SAM M34 com aro incell</t>
  </si>
  <si>
    <t>SAM M52 com aro incell</t>
  </si>
  <si>
    <t>SAM M53 com aro incell</t>
  </si>
  <si>
    <t>SAM M62 com aro incell</t>
  </si>
  <si>
    <t>Moto G31 com aro incell</t>
  </si>
  <si>
    <t>Moto G41 com aro incell</t>
  </si>
  <si>
    <t>Moto G42 com aro incell</t>
  </si>
  <si>
    <t>Moto G52 com aro incell</t>
  </si>
  <si>
    <t>Moto G72 com aro incell</t>
  </si>
  <si>
    <t>Moto G82 com aro incell</t>
  </si>
  <si>
    <t>Moto G84 com aro incell</t>
  </si>
  <si>
    <t>Redmi Note 10 4G com aro incell</t>
  </si>
  <si>
    <t>Redmi Note 10s 4G com aro incell</t>
  </si>
  <si>
    <t>Redmi Note 12 4G com aro incell</t>
  </si>
  <si>
    <t>Redmi Note 12 5G com aro incell</t>
  </si>
  <si>
    <t>Redmi Note 12 Pro 4G com aro incell</t>
  </si>
  <si>
    <t>Redmi Note 12 Pro 5G com aro incell</t>
  </si>
  <si>
    <t>Redmi Note 13 4G com aro incell</t>
  </si>
  <si>
    <t>Redmi Note 13 5G com aro incell</t>
  </si>
  <si>
    <t>Poco M4 Pro com aro incell</t>
  </si>
  <si>
    <t>Poco M5s com aro incell</t>
  </si>
  <si>
    <t>SAM A01 Core com aro Nacional</t>
  </si>
  <si>
    <t>SAM A01 com aro Nacional</t>
  </si>
  <si>
    <t>SAM A02 com aro Nacional</t>
  </si>
  <si>
    <t>SAM A02s com aro Nacional</t>
  </si>
  <si>
    <t>SAM A03 Core com aro Nacional</t>
  </si>
  <si>
    <t>SAM A03 com aro Nacional</t>
  </si>
  <si>
    <t>SAM A03s com aro Nacional</t>
  </si>
  <si>
    <t>SAM A04 com aro Nacional</t>
  </si>
  <si>
    <t>SAM A04E com aro Nacional</t>
  </si>
  <si>
    <t>SAM A04s com aro Nacional</t>
  </si>
  <si>
    <t>SAM A10 com aro Nacional</t>
  </si>
  <si>
    <t>SAM A10s com aro Nacional</t>
  </si>
  <si>
    <t>SAM A11 com aro Nacional</t>
  </si>
  <si>
    <t>SAM A12 com aro Nacional</t>
  </si>
  <si>
    <t>SAM A13 4G com aro Nacional</t>
  </si>
  <si>
    <t>SAM A13 5G com aro Nacional</t>
  </si>
  <si>
    <t>SAM A14 5G com aro Nacional</t>
  </si>
  <si>
    <t>SAM A15 com aro Nacional</t>
  </si>
  <si>
    <t>SAM A20s com aro Nacional</t>
  </si>
  <si>
    <t>SAM A21s com aro Nacional</t>
  </si>
  <si>
    <t>SAM A23 4G com aro Nacional</t>
  </si>
  <si>
    <t>SAM A23 5G com aro Nacional</t>
  </si>
  <si>
    <t>SAM A32 5G com aro Nacional</t>
  </si>
  <si>
    <t>SAM A33 com aro Nacional</t>
  </si>
  <si>
    <t>SAM A34 com aro Nacional</t>
  </si>
  <si>
    <t>SAM A35 com aro Nacional</t>
  </si>
  <si>
    <t>SAM M12 com aro Nacional</t>
  </si>
  <si>
    <t>SAM M13 4G com aro Nacional</t>
  </si>
  <si>
    <t>SAM M23 com aro Nacional</t>
  </si>
  <si>
    <t>SAM M34 com aro Nacional</t>
  </si>
  <si>
    <t>SAM M52 com aro Nacional</t>
  </si>
  <si>
    <t>SAM M53 com aro Nacional</t>
  </si>
  <si>
    <t>Moto G04 com aro Nacional</t>
  </si>
  <si>
    <t>Moto G10 com aro Nacional</t>
  </si>
  <si>
    <t>Moto G14 com aro Nacional</t>
  </si>
  <si>
    <t>Moto G20 com aro Nacional</t>
  </si>
  <si>
    <t>Moto G200 com aro Nacional</t>
  </si>
  <si>
    <t>Moto G22 com aro Nacional</t>
  </si>
  <si>
    <t>Moto G23 com aro Nacional</t>
  </si>
  <si>
    <t>Moto G30 com aro Nacional</t>
  </si>
  <si>
    <t>Moto G31 com aro Nacional</t>
  </si>
  <si>
    <t>Moto G32 com aro Nacional</t>
  </si>
  <si>
    <t>Moto G34 com aro Nacional</t>
  </si>
  <si>
    <t>Moto G41 com aro Nacional</t>
  </si>
  <si>
    <t>Moto G42 com aro Nacional</t>
  </si>
  <si>
    <t>Moto G52 com aro Nacional</t>
  </si>
  <si>
    <t>Moto G53 com aro Nacional</t>
  </si>
  <si>
    <t>Moto G54 com aro Nacional</t>
  </si>
  <si>
    <t>Moto G60 com aro Nacional</t>
  </si>
  <si>
    <t>Moto G60s com aro Nacional</t>
  </si>
  <si>
    <t>Moto G7 Play com aro Nacional</t>
  </si>
  <si>
    <t>Moto G72 com aro Nacional</t>
  </si>
  <si>
    <t>Moto G73 com aro Nacional</t>
  </si>
  <si>
    <t>Moto G8 Play com aro Nacional</t>
  </si>
  <si>
    <t>Moto G8 Power Lite com aro Nacional</t>
  </si>
  <si>
    <t>Moto G82 com aro Nacional</t>
  </si>
  <si>
    <t>Moto G9 Play com aro Nacional</t>
  </si>
  <si>
    <t>Moto G9 Plus com aro Nacional</t>
  </si>
  <si>
    <t>Moto G9 Power com aro Nacional</t>
  </si>
  <si>
    <t>Moto One Fusion com aro Nacional</t>
  </si>
  <si>
    <t>Moto One Fusion Plus com aro Nacional</t>
  </si>
  <si>
    <t>Moto E13 com aro Nacional</t>
  </si>
  <si>
    <t>Moto E20 com aro Nacional</t>
  </si>
  <si>
    <t>Moto E22 com aro Nacional</t>
  </si>
  <si>
    <t>Moto E30 com aro Nacional</t>
  </si>
  <si>
    <t>Moto E32 com aro Nacional</t>
  </si>
  <si>
    <t>Moto E40 com aro Nacional</t>
  </si>
  <si>
    <t>Moto E7 com aro Nacional</t>
  </si>
  <si>
    <t>Moto E7 Plus com aro Nacional</t>
  </si>
  <si>
    <t>Moto E7 Power com aro Nacional</t>
  </si>
  <si>
    <t>Moto Edge 20 Lite com aro Nacional</t>
  </si>
  <si>
    <t>Moto Edge Plus com aro Nacional</t>
  </si>
  <si>
    <t>LG K41s com aro Nacional</t>
  </si>
  <si>
    <t>LG K62 com aro Nacional</t>
  </si>
  <si>
    <t>LG K62 Plus com aro Nacional</t>
  </si>
  <si>
    <t>Redmi Note 7 com aro Nacional</t>
  </si>
  <si>
    <t>Redmi Note 7 Pro com aro Nacional</t>
  </si>
  <si>
    <t>Redmi Note 8 com aro Nacional</t>
  </si>
  <si>
    <t>Redmi Note 8 Pro com aro Nacional</t>
  </si>
  <si>
    <t>Redmi Note 9 com aro Nacional</t>
  </si>
  <si>
    <t>Redmi Note 9 Pro com aro Nacional</t>
  </si>
  <si>
    <t>Redmi Note 9s com aro Nacional</t>
  </si>
  <si>
    <t>Redmi Note 12 4G com aro Nacional</t>
  </si>
  <si>
    <t>Redmi Note 12 Pro 5G com aro Nacional</t>
  </si>
  <si>
    <t>Redmi 9A com aro Nacional</t>
  </si>
  <si>
    <t>Redmi 9C com aro Nacional</t>
  </si>
  <si>
    <t>Redmi 10 com aro Nacional</t>
  </si>
  <si>
    <t>Redmi 10 Prime com aro Nacional</t>
  </si>
  <si>
    <t>Redmi 12 com aro Nacional</t>
  </si>
  <si>
    <t>Redmi 13C com aro Nacional</t>
  </si>
  <si>
    <t>Poco M4 com aro Nacional</t>
  </si>
  <si>
    <t>Poco M5 com aro Nacional</t>
  </si>
  <si>
    <t>SAM J530 sem aro original</t>
  </si>
  <si>
    <t>SAM J5 Pro sem aro original</t>
  </si>
  <si>
    <t>SAM J510 sem aro incell</t>
  </si>
  <si>
    <t>SAM J5 Metal sem aro incell</t>
  </si>
  <si>
    <t>SAM A20 com aro incell</t>
  </si>
  <si>
    <t>SAM A22 4G com aro incell</t>
  </si>
  <si>
    <t>SAM A5 2016 sem aro incell</t>
  </si>
  <si>
    <t>SAM A510 sem aro incell</t>
  </si>
  <si>
    <t>SAM A5 2016 sem aro original</t>
  </si>
  <si>
    <t>SAM A510 sem aro original</t>
  </si>
  <si>
    <t>SAM A5 2017 sem aro incell</t>
  </si>
  <si>
    <t>SAM A520 sem aro incell</t>
  </si>
  <si>
    <t>SAM A5 2017 sem aro original</t>
  </si>
  <si>
    <t>SAM A520 sem aro original</t>
  </si>
  <si>
    <t>SAM A50 com aro incell</t>
  </si>
  <si>
    <t>Redmi Note 11 4G com aro incell</t>
  </si>
  <si>
    <t>Redmi Note 11 4G com aro original</t>
  </si>
  <si>
    <t>A20 - incell c/aro</t>
  </si>
  <si>
    <t xml:space="preserve">A20 - incell c/aro = R$ </t>
  </si>
  <si>
    <t>SAM J400 sem aro original</t>
  </si>
  <si>
    <t>SAM J400 original sem aro</t>
  </si>
  <si>
    <t>SAM J3 sem aro incell premium</t>
  </si>
  <si>
    <t>SAM J3 incell sem aro premium</t>
  </si>
  <si>
    <t>SAM J4 sem aro incell premium</t>
  </si>
  <si>
    <t>SAM J4 incell sem aro premium</t>
  </si>
  <si>
    <t>SAM J400 sem aro incell premium</t>
  </si>
  <si>
    <t>SAM J400 incell sem aro premium</t>
  </si>
  <si>
    <t>SAM J5 sem aro incell premium</t>
  </si>
  <si>
    <t>SAM J500 sem aro incell premium</t>
  </si>
  <si>
    <t>SAM J530 sem aro incell premium</t>
  </si>
  <si>
    <t>SAM J5 Pro sem aro incell premium</t>
  </si>
  <si>
    <t>SAM J6 sem aro incell premium</t>
  </si>
  <si>
    <t>SAM J700 sem aro incell premium</t>
  </si>
  <si>
    <t>SAM J710 Metal sem aro incell premium</t>
  </si>
  <si>
    <t>SAM J730 Pro sem aro incell premium</t>
  </si>
  <si>
    <t>SAM J8 sem aro incell premium</t>
  </si>
  <si>
    <t>SAM J4 Core sem aro original</t>
  </si>
  <si>
    <t>SAM J4+ sem aro original</t>
  </si>
  <si>
    <t>SAM J4 Plus original sem aro</t>
  </si>
  <si>
    <t xml:space="preserve">SAM J4 Core original sem aro </t>
  </si>
  <si>
    <t>SAM J4+ original sem aro</t>
  </si>
  <si>
    <t>SAM J6 Core sem aro original</t>
  </si>
  <si>
    <t>SAM J6+ sem aro original</t>
  </si>
  <si>
    <t>SAM J6 Plus original sem aro</t>
  </si>
  <si>
    <t xml:space="preserve">SAM J6 Core original sem aro </t>
  </si>
  <si>
    <t>SAM J6+ original sem aro</t>
  </si>
  <si>
    <t>A22 4G - incell c/aro</t>
  </si>
  <si>
    <t xml:space="preserve">A22 4G - incell c/aro = R$  </t>
  </si>
  <si>
    <t>SAM A30 com aro incell</t>
  </si>
  <si>
    <t xml:space="preserve">A30 - incell c/aro = R$ </t>
  </si>
  <si>
    <t xml:space="preserve">A30 - original c/aro = R$ </t>
  </si>
  <si>
    <t>A30s - incell c/aro</t>
  </si>
  <si>
    <t xml:space="preserve">A30s - incell c/aro = R$ </t>
  </si>
  <si>
    <t>SAM A30s com aro incell</t>
  </si>
  <si>
    <t>A31 - incell c/aro</t>
  </si>
  <si>
    <t xml:space="preserve">A31 - incell c/aro = R$  </t>
  </si>
  <si>
    <t xml:space="preserve">A31 - original c/aro    = R$ </t>
  </si>
  <si>
    <t>SAM A31 com aro incell</t>
  </si>
  <si>
    <t>A32 4G - incell c/aro</t>
  </si>
  <si>
    <t xml:space="preserve">A32 4G - incell c/aro = R$ </t>
  </si>
  <si>
    <t>SAM A32 4G com aro incell</t>
  </si>
  <si>
    <t xml:space="preserve">A50 - incell c/aro = R$ </t>
  </si>
  <si>
    <t>SAM A34 com aro original (Tela Grande)</t>
  </si>
  <si>
    <t>SAM A34 com aro original (Tela Pequena)</t>
  </si>
  <si>
    <t>Redmi Note 10 Pro 5G sem aro original (Flex Reto)</t>
  </si>
  <si>
    <t>Redmi Note 11s 4G com aro original</t>
  </si>
  <si>
    <t>Redmi Note 11s 4G com aro incell</t>
  </si>
  <si>
    <t>Redmi Note 11s 4G sem aro original</t>
  </si>
  <si>
    <t>Redmi Note 11s 4G sem aro incell</t>
  </si>
  <si>
    <t>SAM A01 Nacional com aro</t>
  </si>
  <si>
    <t>SAM A01 Core Nacional com aro</t>
  </si>
  <si>
    <t>SAM A02 Nacional com aro</t>
  </si>
  <si>
    <t>SAM A02s Nacional com aro</t>
  </si>
  <si>
    <t>SAM A03 Core Nacional com aro</t>
  </si>
  <si>
    <t>SAM A03 Nacional com aro</t>
  </si>
  <si>
    <t>SAM A03s Nacional com aro</t>
  </si>
  <si>
    <t>SAM A04 Nacional com aro</t>
  </si>
  <si>
    <t>SAM A04E Nacional com aro</t>
  </si>
  <si>
    <t>SAM A04s Nacional com aro</t>
  </si>
  <si>
    <t>SAM A10 Nacional com aro</t>
  </si>
  <si>
    <t>SAM A10s Nacional com aro</t>
  </si>
  <si>
    <t>SAM A11 Nacional com aro</t>
  </si>
  <si>
    <t>SAM A12 Nacional com aro</t>
  </si>
  <si>
    <t>SAM A13 4G Nacional com aro</t>
  </si>
  <si>
    <t>SAM A13 5G Nacional com aro</t>
  </si>
  <si>
    <t>SAM A14 5G Nacional com aro</t>
  </si>
  <si>
    <t>SAM A15 Nacional com aro</t>
  </si>
  <si>
    <t>SAM A20s Nacional com aro</t>
  </si>
  <si>
    <t>SAM A21s Nacional com aro</t>
  </si>
  <si>
    <t>SAM A23 4G Nacional com aro</t>
  </si>
  <si>
    <t>SAM A23 5G Nacional com aro</t>
  </si>
  <si>
    <t>SAM A32 5G Nacional com aro</t>
  </si>
  <si>
    <t>SAM A33 Nacional com aro</t>
  </si>
  <si>
    <t>SAM A34 Nacional com aro</t>
  </si>
  <si>
    <t>SAM A35 Nacional com aro</t>
  </si>
  <si>
    <t>SAM M12 Nacional com aro</t>
  </si>
  <si>
    <t>SAM M13 4G Nacional com aro</t>
  </si>
  <si>
    <t>SAM M23 Nacional com aro</t>
  </si>
  <si>
    <t>SAM M34 Nacional com aro</t>
  </si>
  <si>
    <t>SAM M52 Nacional com aro</t>
  </si>
  <si>
    <t>SAM M53 Nacional com aro</t>
  </si>
  <si>
    <t>SAM M62 com aro original (Tela Pequena)</t>
  </si>
  <si>
    <t>Moto G04 Nacional com aro</t>
  </si>
  <si>
    <t>Moto G10 Nacional com aro</t>
  </si>
  <si>
    <t>Moto G14 Nacional com aro</t>
  </si>
  <si>
    <t>Moto G20 Nacional com aro</t>
  </si>
  <si>
    <t>Moto G200 Nacional com aro</t>
  </si>
  <si>
    <t>Moto G22 Nacional com aro</t>
  </si>
  <si>
    <t>Moto G23 Nacional com aro</t>
  </si>
  <si>
    <t>Moto G30 Nacional com aro</t>
  </si>
  <si>
    <t>Moto G31 Nacional com aro</t>
  </si>
  <si>
    <t>Moto G32 Nacional com aro</t>
  </si>
  <si>
    <t>Moto G34 Nacional com aro</t>
  </si>
  <si>
    <t>Moto G41 Nacional com aro</t>
  </si>
  <si>
    <t>Moto G42 Nacional com aro</t>
  </si>
  <si>
    <t>Moto G52 Nacional com aro</t>
  </si>
  <si>
    <t>Moto G53 Nacional com aro</t>
  </si>
  <si>
    <t>Moto G54 Nacional com aro</t>
  </si>
  <si>
    <t>Moto G60 Nacional com aro</t>
  </si>
  <si>
    <t>Moto G60s Nacional com aro</t>
  </si>
  <si>
    <t>Moto G7 Play Nacional com aro</t>
  </si>
  <si>
    <t>Moto G72 Nacional com aro</t>
  </si>
  <si>
    <t>Moto G73 Nacional com aro</t>
  </si>
  <si>
    <t>Moto G8 Play Nacional com aro</t>
  </si>
  <si>
    <t>Moto G8 Power Lite Nacional com aro</t>
  </si>
  <si>
    <t>Moto G82 Nacional com aro</t>
  </si>
  <si>
    <t>Moto G9 Play Nacional com aro</t>
  </si>
  <si>
    <t>Moto G9 Plus Nacional com aro</t>
  </si>
  <si>
    <t>Moto G9 Power Nacional com aro</t>
  </si>
  <si>
    <t>Moto One Fusion Nacional com aro</t>
  </si>
  <si>
    <t>Moto One Fusion Plus Nacional com aro</t>
  </si>
  <si>
    <t>Moto E13 Nacional com aro</t>
  </si>
  <si>
    <t>Moto E20 Nacional com aro</t>
  </si>
  <si>
    <t>Moto E22 Nacional com aro</t>
  </si>
  <si>
    <t>Moto E30 Nacional com aro</t>
  </si>
  <si>
    <t>Moto E32 Nacional com aro</t>
  </si>
  <si>
    <t>Moto E40 Nacional com aro</t>
  </si>
  <si>
    <t>Moto E7 Nacional com aro</t>
  </si>
  <si>
    <t>Moto E7 Plus Nacional com aro</t>
  </si>
  <si>
    <t>Moto E7 Power Nacional com aro</t>
  </si>
  <si>
    <t>Moto Edge 20 Lite Nacional com aro</t>
  </si>
  <si>
    <t>Moto Edge Plus Nacional com aro</t>
  </si>
  <si>
    <t>LG K41s Nacional com aro</t>
  </si>
  <si>
    <t>LG K62 Nacional com aro</t>
  </si>
  <si>
    <t>LG K62 Plus Nacional com aro</t>
  </si>
  <si>
    <t>Redmi Note 7 Nacional com aro</t>
  </si>
  <si>
    <t>Redmi Note 7 Pro Nacional com aro</t>
  </si>
  <si>
    <t>Redmi Note 8 Nacional com aro</t>
  </si>
  <si>
    <t>Redmi Note 8 Pro Nacional com aro</t>
  </si>
  <si>
    <t>Redmi Note 9 Nacional com aro</t>
  </si>
  <si>
    <t>Redmi Note 9 Pro Nacional com aro</t>
  </si>
  <si>
    <t>Redmi Note 9s Nacional com aro</t>
  </si>
  <si>
    <t>Redmi Note 12 4G Nacional com aro</t>
  </si>
  <si>
    <t>Redmi Note 12 Pro 5G Nacional com aro</t>
  </si>
  <si>
    <t>Poco M5 Nacional com aro</t>
  </si>
  <si>
    <t>Poco M4 Nacional com aro</t>
  </si>
  <si>
    <t>Redmi 13C Nacional com aro</t>
  </si>
  <si>
    <t>Redmi 12 Nacional com aro</t>
  </si>
  <si>
    <t>Redmi 10 Prime Nacional com aro</t>
  </si>
  <si>
    <t>Redmi 10 Nacional com aro</t>
  </si>
  <si>
    <t>Redmi 9C Nacional com aro</t>
  </si>
  <si>
    <t>Redmi 9A Nacional com aro</t>
  </si>
  <si>
    <t>SAM A01 original com aro</t>
  </si>
  <si>
    <t>SAM A01 Core original com aro</t>
  </si>
  <si>
    <t>SAM A02 original com aro</t>
  </si>
  <si>
    <t>SAM A02s original com aro</t>
  </si>
  <si>
    <t>SAM A03 Core original com aro</t>
  </si>
  <si>
    <t>SAM A03 original com aro</t>
  </si>
  <si>
    <t>SAM A03s original com aro</t>
  </si>
  <si>
    <t>SAM A04 original com aro</t>
  </si>
  <si>
    <t>SAM A04E original com aro</t>
  </si>
  <si>
    <t>SAM A04s original com aro</t>
  </si>
  <si>
    <t>SAM A05 original com aro</t>
  </si>
  <si>
    <t>SAM A05s original com aro</t>
  </si>
  <si>
    <t>SAM A10 original com aro</t>
  </si>
  <si>
    <t>SAM A10s original com aro</t>
  </si>
  <si>
    <t>SAM A11 original com aro</t>
  </si>
  <si>
    <t>SAM A12 original com aro</t>
  </si>
  <si>
    <t>SAM A13 4G original com aro</t>
  </si>
  <si>
    <t>SAM A13 5G original com aro</t>
  </si>
  <si>
    <t>SAM A14 4G original com aro</t>
  </si>
  <si>
    <t>SAM A14 5G original com aro</t>
  </si>
  <si>
    <t>SAM A15 original com aro</t>
  </si>
  <si>
    <t>SAM A20 original com aro</t>
  </si>
  <si>
    <t>SAM A20s original com aro</t>
  </si>
  <si>
    <t>SAM A21s original com aro</t>
  </si>
  <si>
    <t>SAM A22 4G original com aro</t>
  </si>
  <si>
    <t>SAM A22 5G original com aro</t>
  </si>
  <si>
    <t>SAM A23 4G original com aro</t>
  </si>
  <si>
    <t>SAM A23 5G original com aro</t>
  </si>
  <si>
    <t>SAM A24 original com aro</t>
  </si>
  <si>
    <t>SAM A30 original com aro</t>
  </si>
  <si>
    <t>SAM A30s original com aro</t>
  </si>
  <si>
    <t>SAM A31 original com aro</t>
  </si>
  <si>
    <t>SAM A32 4G original com aro</t>
  </si>
  <si>
    <t>SAM A32 5G original com aro</t>
  </si>
  <si>
    <t>SAM A33 original com aro</t>
  </si>
  <si>
    <t>SAM A34 original com aro (Tela Grande)</t>
  </si>
  <si>
    <t>SAM A34 original com aro (Tela Pequena)</t>
  </si>
  <si>
    <t>SAM A50 original com aro</t>
  </si>
  <si>
    <t>SAM A53 original com aro</t>
  </si>
  <si>
    <t>SAM A54 original com aro</t>
  </si>
  <si>
    <t>SAM A7 2018 (A750) original com aro</t>
  </si>
  <si>
    <t>SAM A80 original com aro</t>
  </si>
  <si>
    <t>SAM Galaxy S20 FE original com aro</t>
  </si>
  <si>
    <t>SAM M10 original com aro</t>
  </si>
  <si>
    <t>SAM M12 original com aro</t>
  </si>
  <si>
    <t>SAM M13 4G original com aro</t>
  </si>
  <si>
    <t>SAM M14 5G original com aro</t>
  </si>
  <si>
    <t>SAM M20 original com aro</t>
  </si>
  <si>
    <t>SAM M21s original com aro</t>
  </si>
  <si>
    <t>SAM M22 original com aro</t>
  </si>
  <si>
    <t>SAM M30 original com aro</t>
  </si>
  <si>
    <t>SAM M30s original com aro</t>
  </si>
  <si>
    <t>SAM M31 original com aro</t>
  </si>
  <si>
    <t>SAM M32 original com aro</t>
  </si>
  <si>
    <t>SAM M34 original com aro</t>
  </si>
  <si>
    <t>SAM M53 original com aro</t>
  </si>
  <si>
    <t>SAM M62 original com aro (Tela Pequena)</t>
  </si>
  <si>
    <t>Moto G04 original com aro</t>
  </si>
  <si>
    <t>Moto G04s original com aro</t>
  </si>
  <si>
    <t>Moto G10 original com aro</t>
  </si>
  <si>
    <t>Moto G100 original com aro</t>
  </si>
  <si>
    <t>Moto G14 original com aro</t>
  </si>
  <si>
    <t>Moto G20 original com aro</t>
  </si>
  <si>
    <t>Moto G22 original com aro</t>
  </si>
  <si>
    <t>Moto G23 original com aro</t>
  </si>
  <si>
    <t>Moto G30 original com aro</t>
  </si>
  <si>
    <t>Moto G31 original com aro</t>
  </si>
  <si>
    <t>Moto G32 original com aro</t>
  </si>
  <si>
    <t>Moto G34 original com aro</t>
  </si>
  <si>
    <t>Moto G4 Plus original com aro</t>
  </si>
  <si>
    <t>Moto G41 original com aro</t>
  </si>
  <si>
    <t>Moto G42 original com aro</t>
  </si>
  <si>
    <t>Moto G50 4G original com aro</t>
  </si>
  <si>
    <t>Moto G50 5G original com aro</t>
  </si>
  <si>
    <t>Moto G52 original com aro</t>
  </si>
  <si>
    <t>Moto G53 original com aro</t>
  </si>
  <si>
    <t>Moto G54 original com aro</t>
  </si>
  <si>
    <t>Moto G6 original com aro</t>
  </si>
  <si>
    <t>Moto G6 Play original com aro</t>
  </si>
  <si>
    <t>Moto G60 original com aro</t>
  </si>
  <si>
    <t>Moto G60s original com aro</t>
  </si>
  <si>
    <t>Moto G62 original com aro</t>
  </si>
  <si>
    <t>Moto G7 Play original com aro</t>
  </si>
  <si>
    <t>Moto G7 Power original com aro</t>
  </si>
  <si>
    <t>Moto G72 original com aro</t>
  </si>
  <si>
    <t>Moto G73 original com aro</t>
  </si>
  <si>
    <t>Moto G8 original com aro</t>
  </si>
  <si>
    <t>Moto G8 Play original com aro</t>
  </si>
  <si>
    <t>Moto G8 Plus original com aro</t>
  </si>
  <si>
    <t>Moto G8 Power Lite original com aro</t>
  </si>
  <si>
    <t>Moto G8 Power original com aro</t>
  </si>
  <si>
    <t>Moto G82 original com aro</t>
  </si>
  <si>
    <t>Moto G84 original com aro</t>
  </si>
  <si>
    <t>Moto G9 Play original com aro</t>
  </si>
  <si>
    <t>Moto G9 Plus original com aro</t>
  </si>
  <si>
    <t>Moto G9 Power original com aro</t>
  </si>
  <si>
    <t>Moto One original com aro</t>
  </si>
  <si>
    <t>Moto One Fusion original com aro</t>
  </si>
  <si>
    <t>Moto One Macro original com aro</t>
  </si>
  <si>
    <t>Moto One Vision original com aro</t>
  </si>
  <si>
    <t>Moto E13 original com aro</t>
  </si>
  <si>
    <t>Moto E20 original com aro</t>
  </si>
  <si>
    <t>Moto E22 original com aro</t>
  </si>
  <si>
    <t>Moto E30 original com aro</t>
  </si>
  <si>
    <t>Moto E32 original com aro</t>
  </si>
  <si>
    <t>Moto E40 original com aro</t>
  </si>
  <si>
    <t>Moto E6 Play original com aro</t>
  </si>
  <si>
    <t>Moto E6 Plus original com aro</t>
  </si>
  <si>
    <t>Moto E6i original com aro</t>
  </si>
  <si>
    <t>Moto E6s original com aro</t>
  </si>
  <si>
    <t>Moto E7 original com aro</t>
  </si>
  <si>
    <t>Moto E7 Plus original com aro</t>
  </si>
  <si>
    <t>Moto E7 Power original com aro</t>
  </si>
  <si>
    <t>Moto Edge 20 Lite original com aro</t>
  </si>
  <si>
    <t>LG K10 2017 original com aro</t>
  </si>
  <si>
    <t>LG K11 Plus original com aro</t>
  </si>
  <si>
    <t>LG K12 Max original com aro</t>
  </si>
  <si>
    <t>LG K12 original com aro</t>
  </si>
  <si>
    <t>LG K12 plus original com aro</t>
  </si>
  <si>
    <t>LG K12 Prime original com aro</t>
  </si>
  <si>
    <t>LG K22 original com aro</t>
  </si>
  <si>
    <t>LG K22 plus original com aro</t>
  </si>
  <si>
    <t>LG K40s original com aro</t>
  </si>
  <si>
    <t>LG K41s original com aro</t>
  </si>
  <si>
    <t>LG K42 original com aro</t>
  </si>
  <si>
    <t>LG K50s original com aro</t>
  </si>
  <si>
    <t>LG K51s original com aro</t>
  </si>
  <si>
    <t>LG K52 original com aro</t>
  </si>
  <si>
    <t>LG K61 original com aro</t>
  </si>
  <si>
    <t>LG K62 original com aro</t>
  </si>
  <si>
    <t>LG K62 Plus original com aro</t>
  </si>
  <si>
    <t>LG K8 2017 original com aro</t>
  </si>
  <si>
    <t>LG K8 Plus original com aro</t>
  </si>
  <si>
    <t>LG K9 original com aro</t>
  </si>
  <si>
    <t>Redmi Note 7 original com aro</t>
  </si>
  <si>
    <t>Redmi Note 7 Pro original com aro</t>
  </si>
  <si>
    <t>Redmi Note 8 original com aro</t>
  </si>
  <si>
    <t>Redmi Note 9 original com aro</t>
  </si>
  <si>
    <t>Redmi Note 9 Pro original com aro</t>
  </si>
  <si>
    <t>Redmi Note 9s original com aro</t>
  </si>
  <si>
    <t>Redmi Note 10 4G original com aro</t>
  </si>
  <si>
    <t>Redmi Note 10s 4G original com aro</t>
  </si>
  <si>
    <t>Redmi Note 10 Pro original com aro</t>
  </si>
  <si>
    <t>Redmi Note 10 pro Max original com aro</t>
  </si>
  <si>
    <t>Redmi Note 11 4G original com aro</t>
  </si>
  <si>
    <t>Redmi Note 11s 4G original com aro</t>
  </si>
  <si>
    <t>Redmi Note 11 Pro original com aro</t>
  </si>
  <si>
    <t>Redmi Note 12 4G original com aro</t>
  </si>
  <si>
    <t>Redmi Note 12 5G original com aro</t>
  </si>
  <si>
    <t>Redmi Note 12 Pro 4G original com aro</t>
  </si>
  <si>
    <t>Redmi Note 12 Pro 5G original com aro</t>
  </si>
  <si>
    <t>Redmi Note 13 4G original com aro</t>
  </si>
  <si>
    <t>Redmi Note 13 5G original com aro</t>
  </si>
  <si>
    <t>Redmi 9 original com aro</t>
  </si>
  <si>
    <t>Redmi 9A original com aro</t>
  </si>
  <si>
    <t>Redmi 9C original com aro</t>
  </si>
  <si>
    <t>Redmi 9T original com aro</t>
  </si>
  <si>
    <t>Redmi 10 original com aro</t>
  </si>
  <si>
    <t>Redmi 10 Prime original com aro</t>
  </si>
  <si>
    <t>Redmi 10A original com aro</t>
  </si>
  <si>
    <t>Redmi 10C original com aro</t>
  </si>
  <si>
    <t>Redmi 12 original com aro</t>
  </si>
  <si>
    <t>Redmi 12C original com aro</t>
  </si>
  <si>
    <t>Redmi 13 original com aro</t>
  </si>
  <si>
    <t>Redmi 13C original com aro</t>
  </si>
  <si>
    <t>Redmi 14C original com aro</t>
  </si>
  <si>
    <t>Poco M3 original com aro</t>
  </si>
  <si>
    <t>Poco M4 original com aro</t>
  </si>
  <si>
    <t>Poco M4 Pro original com aro</t>
  </si>
  <si>
    <t>Poco M5 original com aro</t>
  </si>
  <si>
    <t>Poco X3 original com aro</t>
  </si>
  <si>
    <t>Poco X3 Pro original com aro</t>
  </si>
  <si>
    <t>Poco X4 Pro original com aro</t>
  </si>
  <si>
    <t>SAM A15 incell com aro</t>
  </si>
  <si>
    <t>SAM A20 incell com aro</t>
  </si>
  <si>
    <t>SAM A22 4G incell com aro</t>
  </si>
  <si>
    <t>SAM A24 incell com aro</t>
  </si>
  <si>
    <t>SAM A25 incell com aro</t>
  </si>
  <si>
    <t>SAM A30 incell com aro</t>
  </si>
  <si>
    <t>SAM A30s incell com aro</t>
  </si>
  <si>
    <t>SAM A31 incell com aro</t>
  </si>
  <si>
    <t>SAM A32 4G incell com aro</t>
  </si>
  <si>
    <t>SAM A33 incell com aro</t>
  </si>
  <si>
    <t>SAM A50 incell com aro</t>
  </si>
  <si>
    <t>SAM A52 4G incell com aro</t>
  </si>
  <si>
    <t>SAM A52 5G incell com aro</t>
  </si>
  <si>
    <t>SAM A53 incell com aro</t>
  </si>
  <si>
    <t>SAM A54 incell com aro</t>
  </si>
  <si>
    <t>SAM A7 2018 (A750) incell com aro</t>
  </si>
  <si>
    <t>SAM A70 incell com aro</t>
  </si>
  <si>
    <t>SAM A71 incell com aro</t>
  </si>
  <si>
    <t>SAM A72 incell com aro</t>
  </si>
  <si>
    <t>SAM A73 incell com aro</t>
  </si>
  <si>
    <t>SAM M21s incell com aro</t>
  </si>
  <si>
    <t>SAM M22 incell com aro</t>
  </si>
  <si>
    <t>SAM M30 incell com aro</t>
  </si>
  <si>
    <t>SAM M30s incell com aro</t>
  </si>
  <si>
    <t>SAM M31 incell com aro</t>
  </si>
  <si>
    <t>SAM M32 incell com aro</t>
  </si>
  <si>
    <t>SAM M34 incell com aro</t>
  </si>
  <si>
    <t>SAM M52 incell com aro</t>
  </si>
  <si>
    <t>SAM M53 incell com aro</t>
  </si>
  <si>
    <t>SAM M62 incell com aro</t>
  </si>
  <si>
    <t>Moto G31 incell com aro</t>
  </si>
  <si>
    <t>Moto G41 incell com aro</t>
  </si>
  <si>
    <t>Moto G42 incell com aro</t>
  </si>
  <si>
    <t>Moto G52 incell com aro</t>
  </si>
  <si>
    <t>Moto G72 incell com aro</t>
  </si>
  <si>
    <t>Moto G82 incell com aro</t>
  </si>
  <si>
    <t>Moto G84 incell com aro</t>
  </si>
  <si>
    <t>Redmi Note 10 4G incell com aro</t>
  </si>
  <si>
    <t>Redmi Note 10s 4G incell com aro</t>
  </si>
  <si>
    <t>Redmi Note 11 4G incell com aro</t>
  </si>
  <si>
    <t>Redmi Note 11s 4G incell com aro</t>
  </si>
  <si>
    <t>Redmi Note 12 4G incell com aro</t>
  </si>
  <si>
    <t>Redmi Note 12 5G incell com aro</t>
  </si>
  <si>
    <t>Redmi Note 12 Pro 4G incell com aro</t>
  </si>
  <si>
    <t>Redmi Note 12 Pro 5G incell com aro</t>
  </si>
  <si>
    <t>Redmi Note 13 4G incell com aro</t>
  </si>
  <si>
    <t>Redmi Note 13 5G incell com aro</t>
  </si>
  <si>
    <t>Poco M4 Pro incell com aro</t>
  </si>
  <si>
    <t>Poco M5s incell com aro</t>
  </si>
  <si>
    <t>SAM A24 incell sem aro</t>
  </si>
  <si>
    <t>SAM A25 incell sem aro</t>
  </si>
  <si>
    <t>SAM A30s incell sem aro</t>
  </si>
  <si>
    <t>SAM A33 incell sem aro</t>
  </si>
  <si>
    <t>SAM A5 2016 incell sem aro</t>
  </si>
  <si>
    <t>SAM A510 incell sem aro</t>
  </si>
  <si>
    <t>SAM A5 2017 incell sem aro</t>
  </si>
  <si>
    <t>SAM A520 incell sem aro</t>
  </si>
  <si>
    <t>SAM A54 incell sem aro</t>
  </si>
  <si>
    <t>SAM A7 2016 (A710) incell sem aro</t>
  </si>
  <si>
    <t>SAM A7 2017 (A720) incell sem aro</t>
  </si>
  <si>
    <t>SAM A7 2018 (A750) incell sem aro</t>
  </si>
  <si>
    <t>SAM A70 incell sem aro</t>
  </si>
  <si>
    <t>SAM A72 incell sem aro</t>
  </si>
  <si>
    <t>SAM A8 2018 (A530) incell sem aro</t>
  </si>
  <si>
    <t>SAM A8 Plus (A730) incell sem aro</t>
  </si>
  <si>
    <t>SAM J5 incell sem aro premium</t>
  </si>
  <si>
    <t>SAM J500 incell sem aro premium</t>
  </si>
  <si>
    <t>SAM J510 incell sem aro</t>
  </si>
  <si>
    <t>SAM J5 Metal incell sem aro</t>
  </si>
  <si>
    <t>SAM J530 incell sem aro premium</t>
  </si>
  <si>
    <t>SAM J5 Pro incell sem aro premium</t>
  </si>
  <si>
    <t>SAM J6 incell sem aro premium</t>
  </si>
  <si>
    <t>SAM J700 incell sem aro premium</t>
  </si>
  <si>
    <t>SAM J701 Neo incell sem aro premium</t>
  </si>
  <si>
    <t>SAM J710 Metal incell sem aro premium</t>
  </si>
  <si>
    <t>SAM J730 Pro incell sem aro premium</t>
  </si>
  <si>
    <t>SAM J8 incell sem aro premium</t>
  </si>
  <si>
    <t>SAM M21s incell sem aro</t>
  </si>
  <si>
    <t>SAM M22 incell sem aro</t>
  </si>
  <si>
    <t>SAM M30 incell sem aro</t>
  </si>
  <si>
    <t>SAM M30s incell sem aro</t>
  </si>
  <si>
    <t>SAM M31 incell sem aro</t>
  </si>
  <si>
    <t>SAM M34 incell sem aro</t>
  </si>
  <si>
    <t>SAM M52 incell sem aro</t>
  </si>
  <si>
    <t>Moto G41 incell sem aro</t>
  </si>
  <si>
    <t>Moto G42 incell sem aro</t>
  </si>
  <si>
    <t>Moto G52 incell sem aro</t>
  </si>
  <si>
    <t>Moto G71 incell sem aro</t>
  </si>
  <si>
    <t>Moto G72 incell sem aro</t>
  </si>
  <si>
    <t>Moto G82 incell sem aro</t>
  </si>
  <si>
    <t>Moto G84 incell sem aro</t>
  </si>
  <si>
    <t>Moto Edge 30 incell sem aro</t>
  </si>
  <si>
    <t>Mi 11 Lite incell sem aro</t>
  </si>
  <si>
    <t>Mi 8 incell sem aro</t>
  </si>
  <si>
    <t>Mi 9 incell sem aro</t>
  </si>
  <si>
    <t>Mi 9 Lite incell sem aro</t>
  </si>
  <si>
    <t>Mi 9 SE incell sem aro</t>
  </si>
  <si>
    <t>Mi 9T incell sem aro</t>
  </si>
  <si>
    <t>Mi 9T Pro incell sem aro</t>
  </si>
  <si>
    <t>Mi A3 incell sem aro</t>
  </si>
  <si>
    <t>Redmi Note 10 4G incell sem aro</t>
  </si>
  <si>
    <t>Redmi Note 10s 4G incell sem aro</t>
  </si>
  <si>
    <t>Redmi Note 10 Pro incell sem aro</t>
  </si>
  <si>
    <t>Redmi Note 10 pro Max incell sem aro</t>
  </si>
  <si>
    <t>Redmi Note 11 4G incell sem aro</t>
  </si>
  <si>
    <t>Redmi Note 11s 4G incell sem aro</t>
  </si>
  <si>
    <t>Redmi Note 11 Pro incell sem aro</t>
  </si>
  <si>
    <t>Redmi Note 12 incell sem aro</t>
  </si>
  <si>
    <t>Redmi Note 12 Pro 5G incell sem aro</t>
  </si>
  <si>
    <t>Redmi Note 12s incell sem aro</t>
  </si>
  <si>
    <t>Redmi Note 13 4G incell sem aro</t>
  </si>
  <si>
    <t>Redmi Note 13 5G incell sem aro</t>
  </si>
  <si>
    <t>Redmi Note Poco X5 Pro incell sem aro</t>
  </si>
  <si>
    <t>Poco M4 Pro incell sem aro</t>
  </si>
  <si>
    <t>Poco M5s incell sem aro</t>
  </si>
  <si>
    <t>Poco X4 Pro incell sem aro</t>
  </si>
  <si>
    <t>SAM A15 com aro OLED</t>
  </si>
  <si>
    <t xml:space="preserve">SAM A15 OLED com aro </t>
  </si>
  <si>
    <t>SAM A15 sem aro OLED</t>
  </si>
  <si>
    <t>SAM A20 com aro OLED</t>
  </si>
  <si>
    <t>SAM A20 sem aro OLED</t>
  </si>
  <si>
    <t>SAM A15 OLED sem aro</t>
  </si>
  <si>
    <t>SAM A20 OLED com aro</t>
  </si>
  <si>
    <t>SAM A20 OLED sem aro</t>
  </si>
  <si>
    <t>SAM A22 4G com aro OLED</t>
  </si>
  <si>
    <t>SAM A22 4G OLED com aro</t>
  </si>
  <si>
    <t>SAM A24 com aro OLED</t>
  </si>
  <si>
    <t>SAM A24 OLED com aro</t>
  </si>
  <si>
    <t>SAM A30 com aro OLED</t>
  </si>
  <si>
    <t>SAM A30 OLED com aro</t>
  </si>
  <si>
    <t>SAM A30 sem aro OLED</t>
  </si>
  <si>
    <t>SAM A30 OLED sem aro</t>
  </si>
  <si>
    <t xml:space="preserve"> </t>
  </si>
  <si>
    <t>SAM A30s OLED com aro</t>
  </si>
  <si>
    <t>SAM A30s com aro OLED</t>
  </si>
  <si>
    <t>SAM A30s sem aro OLED</t>
  </si>
  <si>
    <t>SAM A30s OLED sem aro</t>
  </si>
  <si>
    <t>SAM A31 com aro OLED</t>
  </si>
  <si>
    <t>SAM A31 OLED com aro</t>
  </si>
  <si>
    <t>SAM A32 4G com aro OLED</t>
  </si>
  <si>
    <t>SAM A32 4G OLED com aro</t>
  </si>
  <si>
    <t>SAM A33 OLED com aro</t>
  </si>
  <si>
    <t>SAM A33 com aro OLED</t>
  </si>
  <si>
    <t>SAM A34 com aro OLED (Tela Grande)</t>
  </si>
  <si>
    <t>SAM A34 OLED com aro (Tela Grande)</t>
  </si>
  <si>
    <t>SAM A34 OLED com aro (Tela Pequena)</t>
  </si>
  <si>
    <t>SAM A34 com aro OLED (Tela Pequena)</t>
  </si>
  <si>
    <t>SAM A50 com aro OLED</t>
  </si>
  <si>
    <t>SAM A50 OLED com aro</t>
  </si>
  <si>
    <t>SAM A50 sem aro OLED</t>
  </si>
  <si>
    <t>SAM A50 OLED sem aro</t>
  </si>
  <si>
    <t>SAM A51 com aro original (Tela Grande)</t>
  </si>
  <si>
    <t>SAM A51 com aro original (Tela Pequena)</t>
  </si>
  <si>
    <t>A52 4G com aro incell</t>
  </si>
  <si>
    <t>A52 5G com aro incell</t>
  </si>
  <si>
    <t xml:space="preserve">SAM A52s com aro original </t>
  </si>
  <si>
    <t xml:space="preserve">SAM A52s com aro OLED </t>
  </si>
  <si>
    <t xml:space="preserve">SAM A52s OLED com aro </t>
  </si>
  <si>
    <t>SAM A53 com aro OLED</t>
  </si>
  <si>
    <t>SAM A53 OLED com aro</t>
  </si>
  <si>
    <t>SAM A54 com aro OLED</t>
  </si>
  <si>
    <t>SAM A54 OLED com aro</t>
  </si>
  <si>
    <t>SAM A6 Plus sem aro OLED</t>
  </si>
  <si>
    <t>SAM A6 Plus OLED sem aro</t>
  </si>
  <si>
    <t>SAM A7 2016 sem aro incell</t>
  </si>
  <si>
    <t>SAM A710 sem aro incell</t>
  </si>
  <si>
    <t>SAM A7 2016 sem aro original</t>
  </si>
  <si>
    <t>SAM A710 sem aro original</t>
  </si>
  <si>
    <t>SAM A720 sem aro incell</t>
  </si>
  <si>
    <t>SAM A7 2017 sem aro original</t>
  </si>
  <si>
    <t>SAM A720 sem aro original</t>
  </si>
  <si>
    <t>SAM A7 2018 com aro incell</t>
  </si>
  <si>
    <t>SAM A750 com aro incell</t>
  </si>
  <si>
    <t>SAM A7 2018 sem aro incell</t>
  </si>
  <si>
    <t>SAM A750 sem aro incell</t>
  </si>
  <si>
    <t>SAM A750 com aro original</t>
  </si>
  <si>
    <t>SAM A7 2018 com aro original</t>
  </si>
  <si>
    <t>SAM A7 2016 sem aro OLED</t>
  </si>
  <si>
    <t>SAM A6 Plus original sem aro</t>
  </si>
  <si>
    <t>SAM A7 2016 original sem aro</t>
  </si>
  <si>
    <t>SAM A7 2016 OLED sem aro</t>
  </si>
  <si>
    <t>SAM A710 original sem aro</t>
  </si>
  <si>
    <t>SAM A710 OLED sem aro</t>
  </si>
  <si>
    <t>SAM A710 sem aro OLED</t>
  </si>
  <si>
    <t>SAM A7 2017 sem aro incell</t>
  </si>
  <si>
    <t>SAM A7 2017 incell sem aro</t>
  </si>
  <si>
    <t>SAM A720 incell sem aro</t>
  </si>
  <si>
    <t>SAM A7 2016 incell sem aro</t>
  </si>
  <si>
    <t>SAM A710 incell sem aro</t>
  </si>
  <si>
    <t>SAM A7 2017 original sem aro</t>
  </si>
  <si>
    <t>SAM A7 2017 OLED sem aro</t>
  </si>
  <si>
    <t>SAM A7 2017 sem aro OLED</t>
  </si>
  <si>
    <t>SAM A7 2018 incell com aro</t>
  </si>
  <si>
    <t>SAM A750 incell com aro</t>
  </si>
  <si>
    <t xml:space="preserve">SAM A7 2018 incell sem aro </t>
  </si>
  <si>
    <t xml:space="preserve">SAM A750 incell sem aro </t>
  </si>
  <si>
    <t>SAM A7 2018 original com aro</t>
  </si>
  <si>
    <t>SAM A7 2018 com aro OLED</t>
  </si>
  <si>
    <t>SAM A7 2018 OLED com aro</t>
  </si>
  <si>
    <t>SAM A750 original com aro</t>
  </si>
  <si>
    <t>SAM A750 com aro OLED</t>
  </si>
  <si>
    <t>SAM A750 OLED com aro</t>
  </si>
  <si>
    <t>SAM A7 2018 sem aro original</t>
  </si>
  <si>
    <t>SAM A7 2018 original sem aro</t>
  </si>
  <si>
    <t>SAM A7 2018 sem aro OLED</t>
  </si>
  <si>
    <t>SAM A7 2018 OLED sem aro</t>
  </si>
  <si>
    <t>SAM A750 sem aro original</t>
  </si>
  <si>
    <t>SAM A750 original sem aro</t>
  </si>
  <si>
    <t>SAM A750 sem aro OLED</t>
  </si>
  <si>
    <t>SAM A750 OLED sem aro</t>
  </si>
  <si>
    <t xml:space="preserve">A21s - orig    = R$ </t>
  </si>
  <si>
    <t>SAM A5 2016 original sem aro</t>
  </si>
  <si>
    <t>SAM A5 2016 sem aro OLED</t>
  </si>
  <si>
    <t>SAM A5 2016 OLED sem aro</t>
  </si>
  <si>
    <t>SAM A510 original sem aro</t>
  </si>
  <si>
    <t>SAM A510 sem aro OLED</t>
  </si>
  <si>
    <t>SAM A510 OLED sem aro</t>
  </si>
  <si>
    <t>SAM A70 com aro original (Tela Grande)</t>
  </si>
  <si>
    <t>SAM A70 com aro original (Tela Pequena)</t>
  </si>
  <si>
    <t>SAM A70 original com aro (Tela Grande)</t>
  </si>
  <si>
    <t>SAM A70 original com aro (Tela Pequena)</t>
  </si>
  <si>
    <t>SAM A70 com aro OLED (Tela Grande)</t>
  </si>
  <si>
    <t>SAM A70 OLED com aro (Tela Grande)</t>
  </si>
  <si>
    <t>SAM A70 com aro OLED (Tela Pequena)</t>
  </si>
  <si>
    <t>SAM A70 OLED com aro (Tela Pequena)</t>
  </si>
  <si>
    <t>SAM A71 com aro original (Tela Grande)</t>
  </si>
  <si>
    <t>SAM A71 com aro original (Tela Pequena)</t>
  </si>
  <si>
    <t>SAM A71 com aro OLED (Tela Grande)</t>
  </si>
  <si>
    <t>SAM A71 OLED com aro (Tela Grande)</t>
  </si>
  <si>
    <t>SAM A71 com aro OLED (Tela Pequena)</t>
  </si>
  <si>
    <t>SAM A71 OLED com aro (Tela Pequena)</t>
  </si>
  <si>
    <t>SAM A72 com aro original (Tela Grande)</t>
  </si>
  <si>
    <t>SAM A72 com aro OLED (Tela Grande)</t>
  </si>
  <si>
    <t>SAM A72 OLED com aro (Tela Grande)</t>
  </si>
  <si>
    <t>SAM A72 com aro original (Tela Pequena)</t>
  </si>
  <si>
    <t>SAM A72 com aro OLED (Tela Pequena)</t>
  </si>
  <si>
    <t>SAM A72 OLED com aro (Tela Pequena)</t>
  </si>
  <si>
    <t xml:space="preserve">SAM A73 com aro original (Tela Grande) </t>
  </si>
  <si>
    <t xml:space="preserve">SAM A73 com aro OLED (Tela Grande) </t>
  </si>
  <si>
    <t xml:space="preserve">SAM A73 OLED com aro (Tela Grande) </t>
  </si>
  <si>
    <t xml:space="preserve">SAM A73 com aro original (Tela Pequena) </t>
  </si>
  <si>
    <t xml:space="preserve">SAM A73 com aro OLED (Tela Pequena) </t>
  </si>
  <si>
    <t xml:space="preserve">SAM A73 OLED com aro (Tela Pequena) </t>
  </si>
  <si>
    <t>SAM A8 2018 sem aro incell</t>
  </si>
  <si>
    <t>SAM A8 2018 incell sem aro</t>
  </si>
  <si>
    <t>SAM A530 sem aro incell</t>
  </si>
  <si>
    <t>SAM A530 incell sem aro</t>
  </si>
  <si>
    <t>SAM A8 2018 sem aro original</t>
  </si>
  <si>
    <t>SAM A8 2018 original sem aro</t>
  </si>
  <si>
    <t>SAM A8 2018 sem aro OLED</t>
  </si>
  <si>
    <t>SAM A8 2018 OLED sem aro</t>
  </si>
  <si>
    <t>SAM A530 sem aro original</t>
  </si>
  <si>
    <t>SAM A530 original sem aro</t>
  </si>
  <si>
    <t>SAM A530 sem aro OLED</t>
  </si>
  <si>
    <t>SAM A530 OLED sem aro</t>
  </si>
  <si>
    <t>SAM A8 Plus sem aro incell</t>
  </si>
  <si>
    <t>SAM A8 Plus incell sem aro</t>
  </si>
  <si>
    <t>SAM A730 sem aro incell</t>
  </si>
  <si>
    <t>SAM A730 incell sem aro</t>
  </si>
  <si>
    <t>SAM A8 Plus sem aro original</t>
  </si>
  <si>
    <t>SAM A8 Plus original sem aro</t>
  </si>
  <si>
    <t>SAM A8 Plus sem aro OLED</t>
  </si>
  <si>
    <t>SAM A8 Plus OLED sem aro</t>
  </si>
  <si>
    <t>SAM A730 sem aro original</t>
  </si>
  <si>
    <t>SAM A730 original sem aro</t>
  </si>
  <si>
    <t>SAM A730 sem aro OLED</t>
  </si>
  <si>
    <t>SAM A730 OLED sem aro</t>
  </si>
  <si>
    <t xml:space="preserve">SAM A80 original sem aro </t>
  </si>
  <si>
    <t>SAM A80 sem aro OLED</t>
  </si>
  <si>
    <t xml:space="preserve">SAM A80 OLED sem aro </t>
  </si>
  <si>
    <t>SAM A01 original sem aro</t>
  </si>
  <si>
    <t>SAM A01 Core original sem aro</t>
  </si>
  <si>
    <t>SAM A02 original sem aro</t>
  </si>
  <si>
    <t>SAM A02s original sem aro</t>
  </si>
  <si>
    <t>SAM A03 Core original sem aro</t>
  </si>
  <si>
    <t>SAM A03 original sem aro</t>
  </si>
  <si>
    <t>SAM A03s original sem aro</t>
  </si>
  <si>
    <t>SAM A04 original sem aro</t>
  </si>
  <si>
    <t>SAM A04E original sem aro</t>
  </si>
  <si>
    <t>SAM A04s original sem aro</t>
  </si>
  <si>
    <t>SAM A05 original sem aro</t>
  </si>
  <si>
    <t>SAM A05s original sem aro</t>
  </si>
  <si>
    <t>SAM A10 original sem aro</t>
  </si>
  <si>
    <t>SAM A10s original sem aro</t>
  </si>
  <si>
    <t>SAM A11 original sem aro</t>
  </si>
  <si>
    <t>SAM A12 original sem aro</t>
  </si>
  <si>
    <t>SAM A13 4G original sem aro</t>
  </si>
  <si>
    <t>SAM A13 5G original sem aro</t>
  </si>
  <si>
    <t>SAM A14 4G original sem aro</t>
  </si>
  <si>
    <t>SAM A14 5G original sem aro</t>
  </si>
  <si>
    <t>SAM A15 original sem aro</t>
  </si>
  <si>
    <t>SAM A20 original sem aro</t>
  </si>
  <si>
    <t>SAM A20s original sem aro</t>
  </si>
  <si>
    <t>SAM A21 original sem aro</t>
  </si>
  <si>
    <t>SAM A21s original sem aro</t>
  </si>
  <si>
    <t>SAM A22 5G original sem aro</t>
  </si>
  <si>
    <t>SAM A23 4G original sem aro</t>
  </si>
  <si>
    <t>SAM A23 5G original sem aro</t>
  </si>
  <si>
    <t>SAM A30 original sem aro</t>
  </si>
  <si>
    <t>SAM A30s original sem aro</t>
  </si>
  <si>
    <t>SAM A32 5G original sem aro</t>
  </si>
  <si>
    <t>SAM A5 2017 original sem aro</t>
  </si>
  <si>
    <t>SAM A520 original sem aro</t>
  </si>
  <si>
    <t>SAM A50 original sem aro</t>
  </si>
  <si>
    <t>SAM A7 2016 (A710) original sem aro</t>
  </si>
  <si>
    <t>SAM A7 2017 (A720) original sem aro</t>
  </si>
  <si>
    <t>SAM A7 2018 (A750) original sem aro</t>
  </si>
  <si>
    <t>SAM A8 2018 (A530) original sem aro</t>
  </si>
  <si>
    <t>SAM A8 Plus (A730) original sem aro</t>
  </si>
  <si>
    <t>SAM A80 original sem aro</t>
  </si>
  <si>
    <t>SAM A9 2018 (A920) original sem aro</t>
  </si>
  <si>
    <t>SAM J4 Core original sem aro</t>
  </si>
  <si>
    <t>SAM J5 Prime original sem aro</t>
  </si>
  <si>
    <t>SAM J530 original sem aro</t>
  </si>
  <si>
    <t>SAM J5 Pro original sem aro</t>
  </si>
  <si>
    <t>SAM J6 original sem aro</t>
  </si>
  <si>
    <t>SAM J6 Core original sem aro</t>
  </si>
  <si>
    <t>SAM J7 Prime 2 original sem aro</t>
  </si>
  <si>
    <t>SAM J7 Prime original sem aro</t>
  </si>
  <si>
    <t>SAM J700 original sem aro</t>
  </si>
  <si>
    <t>SAM J701 Neo original sem aro</t>
  </si>
  <si>
    <t>SAM J710 Metal original sem aro</t>
  </si>
  <si>
    <t>SAM J730 Pro original sem aro</t>
  </si>
  <si>
    <t>SAM J8 original sem aro</t>
  </si>
  <si>
    <t>SAM J8 Plus original sem aro</t>
  </si>
  <si>
    <t>SAM M10 original sem aro</t>
  </si>
  <si>
    <t>SAM M12 original sem aro</t>
  </si>
  <si>
    <t>SAM M13 4G original sem aro</t>
  </si>
  <si>
    <t>SAM M14 5G original sem aro</t>
  </si>
  <si>
    <t>SAM M20 original sem aro</t>
  </si>
  <si>
    <t>SAM M21s original sem aro</t>
  </si>
  <si>
    <t>SAM M22 original sem aro</t>
  </si>
  <si>
    <t>SAM M23 original sem aro</t>
  </si>
  <si>
    <t>SAM M30 original sem aro</t>
  </si>
  <si>
    <t>SAM M30s original sem aro</t>
  </si>
  <si>
    <t>SAM M31 original sem aro</t>
  </si>
  <si>
    <t>SAM M51 original sem aro</t>
  </si>
  <si>
    <t>SAM M62 original sem aro</t>
  </si>
  <si>
    <t>Moto G04 original sem aro</t>
  </si>
  <si>
    <t>Moto G04s original sem aro</t>
  </si>
  <si>
    <t>Moto G10 original sem aro</t>
  </si>
  <si>
    <t>Moto G100 original sem aro</t>
  </si>
  <si>
    <t>Moto G14 original sem aro</t>
  </si>
  <si>
    <t>Moto G20 original sem aro</t>
  </si>
  <si>
    <t>Moto G200 original sem aro</t>
  </si>
  <si>
    <t>Moto G22 original sem aro</t>
  </si>
  <si>
    <t>Moto G23 original sem aro</t>
  </si>
  <si>
    <t>Moto G30 original sem aro</t>
  </si>
  <si>
    <t>Moto G31 original sem aro</t>
  </si>
  <si>
    <t>Moto G32 original sem aro</t>
  </si>
  <si>
    <t>Moto G34 original sem aro</t>
  </si>
  <si>
    <t>Moto G41 original sem aro</t>
  </si>
  <si>
    <t>Moto G42 original sem aro</t>
  </si>
  <si>
    <t>Moto G5 original sem aro</t>
  </si>
  <si>
    <t>Moto G5 Plus original sem aro</t>
  </si>
  <si>
    <t>Moto G50 4G original sem aro</t>
  </si>
  <si>
    <t>Moto G50 5G original sem aro</t>
  </si>
  <si>
    <t>Moto G51 original sem aro</t>
  </si>
  <si>
    <t>Moto G52 original sem aro</t>
  </si>
  <si>
    <t>Moto G53 original sem aro</t>
  </si>
  <si>
    <t>Moto G54 original sem aro</t>
  </si>
  <si>
    <t>Moto G5G Plus original sem aro</t>
  </si>
  <si>
    <t>Moto G5s original sem aro</t>
  </si>
  <si>
    <t>Moto G5s Plus original sem aro</t>
  </si>
  <si>
    <t>Moto G6 original sem aro</t>
  </si>
  <si>
    <t>Moto G6 Play original sem aro</t>
  </si>
  <si>
    <t>Moto G6 Plus original sem aro</t>
  </si>
  <si>
    <t>Moto G60 original sem aro</t>
  </si>
  <si>
    <t>Moto G60s original sem aro</t>
  </si>
  <si>
    <t>Moto G62 original sem aro</t>
  </si>
  <si>
    <t>Moto G7 original sem aro</t>
  </si>
  <si>
    <t>Moto G7 Play original sem aro</t>
  </si>
  <si>
    <t>Moto G7 Plus original sem aro</t>
  </si>
  <si>
    <t>Moto G7 Power original sem aro</t>
  </si>
  <si>
    <t>Moto G71 original sem aro</t>
  </si>
  <si>
    <t>Moto G72 original sem aro</t>
  </si>
  <si>
    <t>Moto G73 original sem aro</t>
  </si>
  <si>
    <t>Moto G8 original sem aro</t>
  </si>
  <si>
    <t>Moto G8 Play original sem aro</t>
  </si>
  <si>
    <t>Moto G8 Plus original sem aro</t>
  </si>
  <si>
    <t>Moto G8 Power Lite original sem aro</t>
  </si>
  <si>
    <t>Moto G8 Power original sem aro</t>
  </si>
  <si>
    <t>Moto G82 original sem aro</t>
  </si>
  <si>
    <t>Moto G9 Play original sem aro</t>
  </si>
  <si>
    <t>Moto G9 Plus original sem aro</t>
  </si>
  <si>
    <t>Moto G9 Power original sem aro</t>
  </si>
  <si>
    <t>Moto One original sem aro</t>
  </si>
  <si>
    <t>Moto One Fusion original sem aro</t>
  </si>
  <si>
    <t>Moto One Fusion Plus original sem aro</t>
  </si>
  <si>
    <t>Moto One Hyper original sem aro</t>
  </si>
  <si>
    <t>Moto One Macro original sem aro</t>
  </si>
  <si>
    <t>Moto One Vision original sem aro</t>
  </si>
  <si>
    <t>Moto One Zoom original sem aro</t>
  </si>
  <si>
    <t>Moto Z Play original sem aro</t>
  </si>
  <si>
    <t>Moto Z Power original sem aro</t>
  </si>
  <si>
    <t>Moto Z2 Play original sem aro</t>
  </si>
  <si>
    <t>Moto Z3 Play original sem aro</t>
  </si>
  <si>
    <t>Moto E13 original sem aro</t>
  </si>
  <si>
    <t>Moto E20 original sem aro</t>
  </si>
  <si>
    <t>Moto E22 original sem aro</t>
  </si>
  <si>
    <t>Moto E30 original sem aro</t>
  </si>
  <si>
    <t>Moto E32 original sem aro</t>
  </si>
  <si>
    <t>Moto E4 original sem aro</t>
  </si>
  <si>
    <t>Moto E4 Plus original sem aro</t>
  </si>
  <si>
    <t>Moto E40 original sem aro</t>
  </si>
  <si>
    <t>Moto E5 original sem aro</t>
  </si>
  <si>
    <t>Moto E5 Play original sem aro</t>
  </si>
  <si>
    <t>Moto E5 Plus original sem aro</t>
  </si>
  <si>
    <t>Moto E6 Play original sem aro</t>
  </si>
  <si>
    <t>Moto E6 Plus original sem aro</t>
  </si>
  <si>
    <t>Moto E6i original sem aro</t>
  </si>
  <si>
    <t>Moto E6s original sem aro</t>
  </si>
  <si>
    <t>Moto E7 original sem aro</t>
  </si>
  <si>
    <t>Moto E7 Plus original sem aro</t>
  </si>
  <si>
    <t>Moto E7 Power original sem aro</t>
  </si>
  <si>
    <t>Moto Edge 20 Lite original sem aro</t>
  </si>
  <si>
    <t>Moto Edge 20 original sem aro</t>
  </si>
  <si>
    <t>Moto Edge 30 original sem aro</t>
  </si>
  <si>
    <t>Moto Edge 30 Neo original sem aro</t>
  </si>
  <si>
    <t>LG K12 Max original sem aro</t>
  </si>
  <si>
    <t>LG K12 original sem aro</t>
  </si>
  <si>
    <t>LG K12 plus original sem aro</t>
  </si>
  <si>
    <t>LG K12 Prime original sem aro</t>
  </si>
  <si>
    <t>LG K22 original sem aro</t>
  </si>
  <si>
    <t>LG K22 plus original sem aro</t>
  </si>
  <si>
    <t>LG K40s original sem aro</t>
  </si>
  <si>
    <t>LG K41s original sem aro</t>
  </si>
  <si>
    <t>LG K42 original sem aro</t>
  </si>
  <si>
    <t>LG K50s original sem aro</t>
  </si>
  <si>
    <t>LG K51 original sem aro</t>
  </si>
  <si>
    <t>LG K51s original sem aro</t>
  </si>
  <si>
    <t>LG K52 original sem aro</t>
  </si>
  <si>
    <t>LG K61 original sem aro</t>
  </si>
  <si>
    <t>LG K62 original sem aro</t>
  </si>
  <si>
    <t>Mi 10T original sem aro</t>
  </si>
  <si>
    <t>Mi 11 Lite original sem aro</t>
  </si>
  <si>
    <t>Mi 8 Lite original sem aro</t>
  </si>
  <si>
    <t>Mi 8 original sem aro</t>
  </si>
  <si>
    <t>Mi 9 Lite original sem aro</t>
  </si>
  <si>
    <t>Mi 9 original sem aro</t>
  </si>
  <si>
    <t>Mi 9 SE original sem aro</t>
  </si>
  <si>
    <t>Mi 9T original sem aro</t>
  </si>
  <si>
    <t>Mi 9T Pro original sem aro</t>
  </si>
  <si>
    <t>Mi A2 Lite original sem aro</t>
  </si>
  <si>
    <t>Mi A2 original sem aro</t>
  </si>
  <si>
    <t>Mi A3 original sem aro</t>
  </si>
  <si>
    <t>Mi Max 2 original sem aro</t>
  </si>
  <si>
    <t>Mi Max 3 original sem aro</t>
  </si>
  <si>
    <t>Redmi Note 6 Pro original sem aro</t>
  </si>
  <si>
    <t>Redmi Note 7 original sem aro</t>
  </si>
  <si>
    <t>Redmi Note 7 Pro original sem aro</t>
  </si>
  <si>
    <t>Redmi Note 8 original sem aro</t>
  </si>
  <si>
    <t>Redmi Note 8 Pro original sem aro</t>
  </si>
  <si>
    <t>Redmi Note 8T original sem aro</t>
  </si>
  <si>
    <t>Redmi Note 9 original sem aro</t>
  </si>
  <si>
    <t>Redmi Note 9 Pro original sem aro</t>
  </si>
  <si>
    <t>Redmi Note 9s original sem aro</t>
  </si>
  <si>
    <t>Redmi Note 10 4G original sem aro</t>
  </si>
  <si>
    <t>Redmi Note 10s 4G original sem aro</t>
  </si>
  <si>
    <t>Redmi Note 10 5G original sem aro</t>
  </si>
  <si>
    <t>Redmi Note 10 Pro 5G original sem aro (Flex Reto)</t>
  </si>
  <si>
    <t>Redmi Note 10 pro Max original sem aro</t>
  </si>
  <si>
    <t>Redmi Note 11 4G original sem aro</t>
  </si>
  <si>
    <t>Redmi Note 11s 4G original sem aro</t>
  </si>
  <si>
    <t>Redmi Note 11 5G original sem aro</t>
  </si>
  <si>
    <t>Redmi Note 11 Pro original sem aro</t>
  </si>
  <si>
    <t>Redmi Note 12 original sem aro</t>
  </si>
  <si>
    <t>Redmi Note 12 Pro 4G original sem aro</t>
  </si>
  <si>
    <t>Redmi Note 12 Pro 5G original sem aro</t>
  </si>
  <si>
    <t>Redmi Note 12s original sem aro</t>
  </si>
  <si>
    <t>Redmi Note 13 4G original sem aro</t>
  </si>
  <si>
    <t>Redmi Note 13 5G original sem aro</t>
  </si>
  <si>
    <t>Redmi Note Poco X5 Pro original sem aro</t>
  </si>
  <si>
    <t>Redmi S2 original sem aro</t>
  </si>
  <si>
    <t>Redmi A1 original sem aro</t>
  </si>
  <si>
    <t>Redmi A1 Plus original sem aro</t>
  </si>
  <si>
    <t>Redmi A2 original sem aro</t>
  </si>
  <si>
    <t>Redmi A2 Plus original sem aro</t>
  </si>
  <si>
    <t>Redmi A3 original sem aro</t>
  </si>
  <si>
    <t>Redmi 7 original sem aro</t>
  </si>
  <si>
    <t>Redmi 7A original sem aro</t>
  </si>
  <si>
    <t>Redmi 8 original sem aro</t>
  </si>
  <si>
    <t>Redmi 8A original sem aro</t>
  </si>
  <si>
    <t>Redmi 9 original sem aro</t>
  </si>
  <si>
    <t>Redmi 9A original sem aro</t>
  </si>
  <si>
    <t>Redmi 9C original sem aro</t>
  </si>
  <si>
    <t>Redmi 9T original sem aro</t>
  </si>
  <si>
    <t>Redmi 10 original sem aro</t>
  </si>
  <si>
    <t>Redmi 10 prime original sem aro</t>
  </si>
  <si>
    <t>Redmi 10A original sem aro</t>
  </si>
  <si>
    <t>Redmi 10C original sem aro</t>
  </si>
  <si>
    <t>Redmi 11 Prime original sem aro</t>
  </si>
  <si>
    <t>Redmi 12 original sem aro</t>
  </si>
  <si>
    <t>Redmi 12C original sem aro</t>
  </si>
  <si>
    <t>Redmi 13 original sem aro</t>
  </si>
  <si>
    <t>Redmi 13C original sem aro</t>
  </si>
  <si>
    <t>Redmi 14C original sem aro</t>
  </si>
  <si>
    <t>Poco C40 original sem aro</t>
  </si>
  <si>
    <t>Poco C65 original sem aro</t>
  </si>
  <si>
    <t>Poco M3 original sem aro</t>
  </si>
  <si>
    <t>Poco M3 Pro original sem aro</t>
  </si>
  <si>
    <t>Poco M4 original sem aro</t>
  </si>
  <si>
    <t>Poco M4 Pro 5G original sem aro</t>
  </si>
  <si>
    <t>Poco M4 Pro original sem aro</t>
  </si>
  <si>
    <t>Poco M5s original sem aro</t>
  </si>
  <si>
    <t>Poco M5 original sem aro</t>
  </si>
  <si>
    <t>Poco X3 GT original sem aro</t>
  </si>
  <si>
    <t>Poco X3 original sem aro</t>
  </si>
  <si>
    <t>Poco X3 Pro original sem aro</t>
  </si>
  <si>
    <t>Poco X4 GT original sem aro</t>
  </si>
  <si>
    <t>Poco X4 Pro original sem aro</t>
  </si>
  <si>
    <t>Asus Zenfone 4 Selfie (ZD553KL) original sem aro</t>
  </si>
  <si>
    <t>Asus ZenFone 5 Selfie (ZC600KL) original sem aro</t>
  </si>
  <si>
    <t>Asus Zenfone Max Pro M1 (ZB601KL) original sem aro</t>
  </si>
  <si>
    <t>Asus Zenfone Max Pro M1 (ZB602KL) original sem aro</t>
  </si>
  <si>
    <t>Asus Zenfone Max Pro M2 (ZB631KL) original sem aro</t>
  </si>
  <si>
    <t>Asus Zenfone Max Shot (ZB634KL) original sem aro</t>
  </si>
  <si>
    <t>SAM A9 2018 sem aro original</t>
  </si>
  <si>
    <t>SAM A9 2018 original sem aro</t>
  </si>
  <si>
    <t>SAM A9 2018 sem aro OLED</t>
  </si>
  <si>
    <t>SAM A9 2018 OLED sem aro</t>
  </si>
  <si>
    <t>SAM A920 sem aro original</t>
  </si>
  <si>
    <t>SAM A920 original sem aro</t>
  </si>
  <si>
    <t>SAM A920 sem aro OLED</t>
  </si>
  <si>
    <t>SAM A920 OLED sem aro</t>
  </si>
  <si>
    <t>SAM J4 OLED sem aro</t>
  </si>
  <si>
    <t>SAM J4 sem aro OLED</t>
  </si>
  <si>
    <t>SAM J700 sem aro OLED</t>
  </si>
  <si>
    <t>SAM J700 OLED sem aro</t>
  </si>
  <si>
    <t>SAM J7 Neo sem aro incell premium</t>
  </si>
  <si>
    <t>SAM J7 Neo incell sem aro premium</t>
  </si>
  <si>
    <t>SAM J701 sem aro incell premium</t>
  </si>
  <si>
    <t>SAM J701 incell sem aro premium</t>
  </si>
  <si>
    <t>SAM J7 Neo sem aro original</t>
  </si>
  <si>
    <t>SAM J7 Neo sem aro OLED</t>
  </si>
  <si>
    <t>SAM J7 Neo OLED sem aro</t>
  </si>
  <si>
    <t>SAM J701 sem aro OLED</t>
  </si>
  <si>
    <t>SAM J7 Neo original sem aro</t>
  </si>
  <si>
    <t>SAM J701 sem aro original</t>
  </si>
  <si>
    <t>SAM J701 original sem aro</t>
  </si>
  <si>
    <t xml:space="preserve">SAM J701 OLED sem aro </t>
  </si>
  <si>
    <t>SAM J7 Metal sem aro original</t>
  </si>
  <si>
    <t>SAM J7 Metal original sem aro</t>
  </si>
  <si>
    <t>SAM J7 Metal sem aro OLED</t>
  </si>
  <si>
    <t>SAM J7 Metal OLED sem aro</t>
  </si>
  <si>
    <t>SAM J710 sem aro original</t>
  </si>
  <si>
    <t>SAM J710 original sem aro</t>
  </si>
  <si>
    <t>SAM J710 sem aro OLED</t>
  </si>
  <si>
    <t>SAM J710 OLED sem aro</t>
  </si>
  <si>
    <t>SAM J7 Pro sem aro original</t>
  </si>
  <si>
    <t>SAM J7 Pro original sem aro</t>
  </si>
  <si>
    <t>SAM J7 Pro sem aro OLED</t>
  </si>
  <si>
    <t>SAM J7 Pro OLED sem aro</t>
  </si>
  <si>
    <t>SAM J730 sem aro original</t>
  </si>
  <si>
    <t>SAM J730 original sem aro</t>
  </si>
  <si>
    <t>SAM J730 sem aro OLED</t>
  </si>
  <si>
    <t>SAM J730 OLED sem aro</t>
  </si>
  <si>
    <t>SAM J8 sem aro OLED</t>
  </si>
  <si>
    <t>SAM J8 OLED sem aro</t>
  </si>
  <si>
    <t>SAM M21s com aro OLED</t>
  </si>
  <si>
    <t>SAM M21s OLED com aro</t>
  </si>
  <si>
    <t>SAM M21s sem aro OLED</t>
  </si>
  <si>
    <t>SAM M21s OLED sem aro</t>
  </si>
  <si>
    <t>SAM M22 com aro OLED</t>
  </si>
  <si>
    <t>SAM M22 OLED com aro</t>
  </si>
  <si>
    <t>SAM M22 sem aro OLED</t>
  </si>
  <si>
    <t>SAM M22 OLED sem aro</t>
  </si>
  <si>
    <t>SAM M30 com aro OLED</t>
  </si>
  <si>
    <t>SAM M30 OLED com aro</t>
  </si>
  <si>
    <t>SAM M30 sem aro OLED</t>
  </si>
  <si>
    <t>SAM M30 OLED sem aro</t>
  </si>
  <si>
    <t>SAM M30s com aro OLED</t>
  </si>
  <si>
    <t>SAM M30s OLED com aro</t>
  </si>
  <si>
    <t>SAM M31 com aro OLED</t>
  </si>
  <si>
    <t>SAM M31 OLED com aro</t>
  </si>
  <si>
    <t>SAM M31 sem aro OLED</t>
  </si>
  <si>
    <t>SAM M31 OLED sem aro</t>
  </si>
  <si>
    <t>SAM M32 com aro OLED</t>
  </si>
  <si>
    <t>SAM M32 OLED com aro</t>
  </si>
  <si>
    <t>SAM M34 com aro OLED</t>
  </si>
  <si>
    <t>SAM M34 OLED com aro</t>
  </si>
  <si>
    <t>SAM M51 com aro original (Tela Grande)</t>
  </si>
  <si>
    <t>SAM M51 original com aro (Tela Grande)</t>
  </si>
  <si>
    <t>SAM M51 com aro OLED (Tela Grande)</t>
  </si>
  <si>
    <t>SAM M51 OLED com aro (Tela Grande)</t>
  </si>
  <si>
    <t xml:space="preserve">SAM M51 com aro original (Tela Pequena) </t>
  </si>
  <si>
    <t xml:space="preserve">SAM M51 original com aro (Tela Pequena) </t>
  </si>
  <si>
    <t xml:space="preserve">SAM M51 com aro OLED (Tela Pequena) </t>
  </si>
  <si>
    <t xml:space="preserve">SAM M51 OLED com aro (Tela Pequena) </t>
  </si>
  <si>
    <t>SAM M51 sem aro OLED</t>
  </si>
  <si>
    <t>SAM M51 OLED sem aro</t>
  </si>
  <si>
    <t>SAM M52 com aro original (Tela Grande)</t>
  </si>
  <si>
    <t>SAM M52 original com aro (Tela Grande)</t>
  </si>
  <si>
    <t>SAM M52 com aro OLED (Tela Grande)</t>
  </si>
  <si>
    <t>SAM M52 OLED com aro (Tela Grande)</t>
  </si>
  <si>
    <t>SAM M52 com aro original (Tela Pequena)</t>
  </si>
  <si>
    <t>SAM M52 original com aro (Tela Pequena)</t>
  </si>
  <si>
    <t>SAM M52 com aro OLED (Tela Pequena)</t>
  </si>
  <si>
    <t>SAM M52 OLED com aro (Tela Pequena)</t>
  </si>
  <si>
    <t>SAM M53 com aro OLED</t>
  </si>
  <si>
    <t>SAM M53 OLED com aro</t>
  </si>
  <si>
    <t>SAM M62 com aro original (Tela Grande)</t>
  </si>
  <si>
    <t>SAM M62 original com aro (Tela Grande)</t>
  </si>
  <si>
    <t>SAM M62 com aro OLED (Tela Grande)</t>
  </si>
  <si>
    <t>SAM M62 OLED com aro (Tela Grande)</t>
  </si>
  <si>
    <t>SAM M62 com aro OLED (Tela Pequena)</t>
  </si>
  <si>
    <t>SAM M62 OLED com aro (Tela Pequena)</t>
  </si>
  <si>
    <t>SAM M62 sem aro OLED</t>
  </si>
  <si>
    <t>SAM M62 OLED sem aro</t>
  </si>
  <si>
    <t>iPhone X OLED</t>
  </si>
  <si>
    <t>iPhone XS OLED</t>
  </si>
  <si>
    <t>iPhone XR OLED</t>
  </si>
  <si>
    <t>Moto G31 com aro OLED</t>
  </si>
  <si>
    <t>Moto G31 OLED com aro</t>
  </si>
  <si>
    <t>Moto G31 sem aro OLED</t>
  </si>
  <si>
    <t>Moto G31 OLED sem aro</t>
  </si>
  <si>
    <t>Moto G41 com aro OLED</t>
  </si>
  <si>
    <t>Moto G41 OLED com aro</t>
  </si>
  <si>
    <t>Moto G41 sem aro OLED</t>
  </si>
  <si>
    <t>Moto G41 OLED sem aro</t>
  </si>
  <si>
    <t>Moto G42 com aro OLED</t>
  </si>
  <si>
    <t>Moto G42 OLED com aro</t>
  </si>
  <si>
    <t>Moto G42 sem aro OLED</t>
  </si>
  <si>
    <t>Moto G42 OLED sem aro</t>
  </si>
  <si>
    <t>Moto G52 com aro OELD</t>
  </si>
  <si>
    <t>Moto G52 OLED com aro</t>
  </si>
  <si>
    <t>Moto G52 sem aro OLED</t>
  </si>
  <si>
    <t>Moto G52 OLED sem aro</t>
  </si>
  <si>
    <t>Moto G5G sem aro original</t>
  </si>
  <si>
    <t>Moto G5G original sem aro</t>
  </si>
  <si>
    <t>Moto G71 sem aro OLED</t>
  </si>
  <si>
    <t>Moto G71 OLED sem aro</t>
  </si>
  <si>
    <t>Moto G72 com aro OLED</t>
  </si>
  <si>
    <t>Moto G72 OLED com aro</t>
  </si>
  <si>
    <t>Moto G72 sem aro OLED</t>
  </si>
  <si>
    <t>Moto G72 OLED sem aro</t>
  </si>
  <si>
    <t>Moto G82 com aro OLED</t>
  </si>
  <si>
    <t>Moto G82 OLED com aro</t>
  </si>
  <si>
    <t>Moto G82 sem aro OLED</t>
  </si>
  <si>
    <t>Moto G82 OLED sem aro</t>
  </si>
  <si>
    <t>Moto G84 com aro OLED</t>
  </si>
  <si>
    <t>Moto G84 OLED com aro</t>
  </si>
  <si>
    <t>Moto One Zoom sem aro OLED</t>
  </si>
  <si>
    <t>Moto One Zoom OLED sem aro</t>
  </si>
  <si>
    <t>Moto Z Play sem aro OLED</t>
  </si>
  <si>
    <t>Moto Z Play OLED sem aro</t>
  </si>
  <si>
    <t>Moto Z Power sem aro OLED</t>
  </si>
  <si>
    <t>Moto Z Power OLED sem aro</t>
  </si>
  <si>
    <t>Moto Z2 Play sem aro OLED</t>
  </si>
  <si>
    <t>Moto Z2 Play OLED sem aro</t>
  </si>
  <si>
    <t>Moto Z3 Play sem aro OLED</t>
  </si>
  <si>
    <t>Moto Z3 Play OLED sem aro</t>
  </si>
  <si>
    <t>Moto Edge 20 Lite com aro OLED</t>
  </si>
  <si>
    <t>Moto Edge 20 Lite OLED com aro</t>
  </si>
  <si>
    <t>Moto Edge 20 Lite sem aro OLED</t>
  </si>
  <si>
    <t>Moto Edge 20 Lite OLED sem aro</t>
  </si>
  <si>
    <t>Moto Edge 20 sem aro OLED</t>
  </si>
  <si>
    <t>Moto Edge 20 OLED sem aro</t>
  </si>
  <si>
    <t>Moto Edge 30 sem aro OLED</t>
  </si>
  <si>
    <t>Moto Edge 30 OLED sem aro</t>
  </si>
  <si>
    <t>Moto Edge 30 Neo sem aro OLED</t>
  </si>
  <si>
    <t>Moto Edge 30 Neo OLED sem aro</t>
  </si>
  <si>
    <t>Mi 11 Lite sem aro OLED</t>
  </si>
  <si>
    <t>Mi 11 Lite OLED sem aro</t>
  </si>
  <si>
    <t>Mi 8 sem aro OLED</t>
  </si>
  <si>
    <t>Mi 8 OLED sem aro</t>
  </si>
  <si>
    <t>Mi 9 Lite sem aro OLED</t>
  </si>
  <si>
    <t>Mi 9 Lite OLED sem aro</t>
  </si>
  <si>
    <t>Mi 9 sem aro OLED</t>
  </si>
  <si>
    <t>Mi 9 OLED sem aro</t>
  </si>
  <si>
    <t>Mi 9 SE sem aro OLED</t>
  </si>
  <si>
    <t>Mi 9 SE OLED sem aro</t>
  </si>
  <si>
    <t>Mi 9T sem aro OLED</t>
  </si>
  <si>
    <t>Mi 9T OLED sem aro</t>
  </si>
  <si>
    <t>Mi 9T Pro sem aro OLED</t>
  </si>
  <si>
    <t>Mi 9T Pro OLED sem aro</t>
  </si>
  <si>
    <t>Mi A3 sem aro OLED</t>
  </si>
  <si>
    <t>Mi A3 OLED sem aro</t>
  </si>
  <si>
    <t>Redmi Note 10 4G com aro OLED</t>
  </si>
  <si>
    <t>Redmi Note 10 4G OLED com aro</t>
  </si>
  <si>
    <t>Redmi Note 10 4G sem aro OLED</t>
  </si>
  <si>
    <t>Redmi Note 10 4G OLED sem aro</t>
  </si>
  <si>
    <t>Redmi Note 10s 4G com aro OLED</t>
  </si>
  <si>
    <t>Redmi Note 10s 4G OLED com aro</t>
  </si>
  <si>
    <t>Redmi Note 10s 4G sem aro OLED</t>
  </si>
  <si>
    <t>Redmi Note 10s 4G OLED sem aro</t>
  </si>
  <si>
    <t>Redmi Note 10 Pro com aro OLED</t>
  </si>
  <si>
    <t>Redmi Note 10 Pro OLED com aro</t>
  </si>
  <si>
    <t>Redmi Note 10 pro Max sem aro OLED</t>
  </si>
  <si>
    <t>Redmi Note 10 pro Max OLED sem aro</t>
  </si>
  <si>
    <t>Redmi Note 10 pro Max com aro OLED</t>
  </si>
  <si>
    <t>Redmi Note 10 pro Max OLED com aro</t>
  </si>
  <si>
    <t>Redmi Note 11 4G com aro OLED</t>
  </si>
  <si>
    <t>Redmi Note 11 4G OLED com aro</t>
  </si>
  <si>
    <t>Redmi Note 11 4G sem aro OLED</t>
  </si>
  <si>
    <t>Redmi Note 11 4G OLED sem aro</t>
  </si>
  <si>
    <t>Redmi Note 11s 4G com aro OLED</t>
  </si>
  <si>
    <t>Redmi Note 11s 4G OLED com aro</t>
  </si>
  <si>
    <t>Redmi Note 11s 4G sem aro OLED</t>
  </si>
  <si>
    <t>Redmi Note 11s 4G OLED sem aro</t>
  </si>
  <si>
    <t>Redmi Note 11 Pro sem aro OLED</t>
  </si>
  <si>
    <t>Redmi Note 11 Pro OLED sem aro</t>
  </si>
  <si>
    <t>Redmi Note 11 Pro com aro OLED</t>
  </si>
  <si>
    <t>Redmi Note 11 Pro OLED com aro</t>
  </si>
  <si>
    <t>Redmi Note 12 sem aro OLED</t>
  </si>
  <si>
    <t>Redmi Note 12 OLED sem aro</t>
  </si>
  <si>
    <t>Redmi Note 12 4G com aro OLED</t>
  </si>
  <si>
    <t>Redmi Note 12 4G OLED com aro</t>
  </si>
  <si>
    <t>Redmi Note 12 5G com aro OLED</t>
  </si>
  <si>
    <t>Redmi Note 12 5G OLED com aro</t>
  </si>
  <si>
    <t>Redmi Note 12 Pro 4G com aro OLED</t>
  </si>
  <si>
    <t>Redmi Note 12 Pro 4G OLED com aro</t>
  </si>
  <si>
    <t>Redmi Note 12 Pro 4G sem aro OLED</t>
  </si>
  <si>
    <t>Redmi Note 12 Pro 4G OLED sem aro</t>
  </si>
  <si>
    <t>Redmi Note 12 Pro 5G com aro OLED</t>
  </si>
  <si>
    <t>Redmi Note 12 Pro 5G OLED com aro</t>
  </si>
  <si>
    <t>Redmi Note 12 Pro 5G sem aro OLED</t>
  </si>
  <si>
    <t>Redmi Note 12 Pro 5G OLED sem aro</t>
  </si>
  <si>
    <t>Redmi Note 12s sem aro OLED</t>
  </si>
  <si>
    <t>Redmi Note 12s OLED sem aro</t>
  </si>
  <si>
    <t>Redmi Note 13 4G com aro OLED</t>
  </si>
  <si>
    <t>Redmi Note 13 4G OLED com aro</t>
  </si>
  <si>
    <t>Redmi Note 13 4G sem aro OLED</t>
  </si>
  <si>
    <t>Redmi Note 13 4G OLED sem aro</t>
  </si>
  <si>
    <t>Redmi Note 13 5G com aro OLED</t>
  </si>
  <si>
    <t>Redmi Note 13 5G OLED com aro</t>
  </si>
  <si>
    <t>Redmi Note 13 5G sem aro OLED</t>
  </si>
  <si>
    <t>Redmi Note 13 5G OLED sem aro</t>
  </si>
  <si>
    <t>Poco M4 Pro com aro OLED</t>
  </si>
  <si>
    <t>Poco M4 Pro OLED com aro</t>
  </si>
  <si>
    <t>Poco M4 Pro sem aro OLED</t>
  </si>
  <si>
    <t>Poco M4 Pro OLED sem aro</t>
  </si>
  <si>
    <t>Poco M5s sem aro OLED</t>
  </si>
  <si>
    <t>Poco M5s OLED sem aro</t>
  </si>
  <si>
    <t>Poco X4 Pro com aro OLED</t>
  </si>
  <si>
    <t>Poco X4 Pro OLED com aro</t>
  </si>
  <si>
    <t>Poco X4 Pro sem aro OLED</t>
  </si>
  <si>
    <t>Poco X4 Pro OLED sem aro</t>
  </si>
  <si>
    <t>iPhone XS Max VIVID OLED</t>
  </si>
  <si>
    <t>iPhone X VIVID OLED</t>
  </si>
  <si>
    <t>iPhone XS VIVID OLED</t>
  </si>
  <si>
    <t>SAM M51 original com aro (Tela Pequena)</t>
  </si>
  <si>
    <t>SAM A51 original com aro (Tela Grande)</t>
  </si>
  <si>
    <t xml:space="preserve">SAM A51 original com aro (Tela Pequena) </t>
  </si>
  <si>
    <t>SAM A52 5G original com aro</t>
  </si>
  <si>
    <t>SAM A52s original com aro</t>
  </si>
  <si>
    <t>SAM A52 4G original com aro</t>
  </si>
  <si>
    <t>SAM A52 5G OLED com aro</t>
  </si>
  <si>
    <t>SAM A52 5G com aro OLED</t>
  </si>
  <si>
    <t>SAM A52 5G com aro original</t>
  </si>
  <si>
    <t>SAM A52 4G OLED com aro</t>
  </si>
  <si>
    <t>SAM A52 4G com aro OLED</t>
  </si>
  <si>
    <t>SAM A52 4G com aro original</t>
  </si>
  <si>
    <t>A52 5G OLED com aro</t>
  </si>
  <si>
    <t>A52 5G com aro OLED</t>
  </si>
  <si>
    <t>A52 5G com aro original</t>
  </si>
  <si>
    <t>A52 4G OLED com aro</t>
  </si>
  <si>
    <t>A52 4G com aro OLED</t>
  </si>
  <si>
    <t>A52 4G com aro original</t>
  </si>
  <si>
    <t>COMPONENTES</t>
  </si>
  <si>
    <t>Bateria C11P1706</t>
  </si>
  <si>
    <t>Moto G31 sem aro incell</t>
  </si>
  <si>
    <t>Moto G31 incell sem aro</t>
  </si>
  <si>
    <t>LG K11+ com aro original</t>
  </si>
  <si>
    <t>LG K12 Plus sem aro original</t>
  </si>
  <si>
    <t>LG K12 Plus com aro original</t>
  </si>
  <si>
    <t>LG K12+ sem aro original</t>
  </si>
  <si>
    <t>LG K12+ com aro original</t>
  </si>
  <si>
    <t>LG K12+ original sem aro</t>
  </si>
  <si>
    <t>LG K12+ original com aro</t>
  </si>
  <si>
    <t>LG K22 Plus com aro original</t>
  </si>
  <si>
    <t>LG K22 Plus sem aro original</t>
  </si>
  <si>
    <t>LG K22+ com aro original</t>
  </si>
  <si>
    <t>LG K22+ original com aro</t>
  </si>
  <si>
    <t>LG K22+ sem aro original</t>
  </si>
  <si>
    <t>LG K22+ original sem aro</t>
  </si>
  <si>
    <t>K42/K52/K62/K62 Plus</t>
  </si>
  <si>
    <t xml:space="preserve">K62 Plus        = R$ </t>
  </si>
  <si>
    <t>LG K62 Plus sem aro original</t>
  </si>
  <si>
    <t>LG K62 Plus original sem aro</t>
  </si>
  <si>
    <t>LG K8+ com aro original</t>
  </si>
  <si>
    <t>LG K8+ original com aro</t>
  </si>
  <si>
    <t>Redmi Note 12 Pro Plus sem aro incell</t>
  </si>
  <si>
    <t>Redmi Note 12 Pro Plus sem aro original</t>
  </si>
  <si>
    <t>Redmi Note 12 Pro Plus sem aro OLED</t>
  </si>
  <si>
    <t>Redmi Note 12 Pro Plus OLED sem aro</t>
  </si>
  <si>
    <t>Poco C3 sem aro original</t>
  </si>
  <si>
    <t>Poco X5 Pro sem aro incell</t>
  </si>
  <si>
    <t>Poco X5 Pro OLED sem aro</t>
  </si>
  <si>
    <t>Poco X5 Pro sem aro original</t>
  </si>
  <si>
    <t>Poco X5 Pro sem aro OLED</t>
  </si>
  <si>
    <t>Redmi 10 Prime sem aro original</t>
  </si>
  <si>
    <t>Bateria LG K11 Plus (BL-T36)</t>
  </si>
  <si>
    <t>Bateria LG K11+ (BL-T36)</t>
  </si>
  <si>
    <t>Bateria LG K12 (BL-T39)</t>
  </si>
  <si>
    <t>Bateria LG K12 Plus (BL-T39)</t>
  </si>
  <si>
    <t>Bateria LG G7 ThinQ (BL-T39)</t>
  </si>
  <si>
    <t>Bateria LG K12+ (BL-T39)</t>
  </si>
  <si>
    <t>Bateria LG K40s (BL-T44)</t>
  </si>
  <si>
    <t>Bateria LG K12 Prime (BL-T44)</t>
  </si>
  <si>
    <t>Bateria LG K12 Max (BL-T44)</t>
  </si>
  <si>
    <t>Bateria LG Q60 (BL-T44)</t>
  </si>
  <si>
    <t>Bateria LG K41s (BL-T49)</t>
  </si>
  <si>
    <t>Bateria LG K51s (BL-T49)</t>
  </si>
  <si>
    <t>Bateria LG K61 (BL-T49)</t>
  </si>
  <si>
    <t>Bateria LG K52 (BL-T51)</t>
  </si>
  <si>
    <t>Bateria LG K62 (BL-T51)</t>
  </si>
  <si>
    <t>Bateria LG K62 Plus (BL-T51)</t>
  </si>
  <si>
    <t>Bateria LG Q6 Plus (BL-T33)</t>
  </si>
  <si>
    <t>Bateria Moto E20 (NT40)</t>
  </si>
  <si>
    <t>Bateria Moto E30 (NT40)</t>
  </si>
  <si>
    <t>Bateria Moto E5 (BL270)</t>
  </si>
  <si>
    <t>Bateria Moto G6 Play (BL270)</t>
  </si>
  <si>
    <t>Bateria Moto E6s (KS40)</t>
  </si>
  <si>
    <t>Bateria Moto E6i (KS40)</t>
  </si>
  <si>
    <t>Bateria Moto G04 (QF50)</t>
  </si>
  <si>
    <t>Bateria Moto G04s (QF50)</t>
  </si>
  <si>
    <t>Bateria Moto G24 (QF50)</t>
  </si>
  <si>
    <t>Bateria Moto G34 (QF50)</t>
  </si>
  <si>
    <t>Bateria Moto G13 (NH50)</t>
  </si>
  <si>
    <t>Bateria Moto G22 (NH50)</t>
  </si>
  <si>
    <t>Bateria Moto G53 (NH50)</t>
  </si>
  <si>
    <t>Bateria Moto E13 (NH50)</t>
  </si>
  <si>
    <t>Bateria Moto E32 (NH50)</t>
  </si>
  <si>
    <t>Bateria Moto G14 (PC50)</t>
  </si>
  <si>
    <t>Bateria Moto G54 (PC50)</t>
  </si>
  <si>
    <t>Bateria Moto G41 (NC50)</t>
  </si>
  <si>
    <t>Bateria Moto G32 (NC50)</t>
  </si>
  <si>
    <t>Bateria Moto G4 (GA40)</t>
  </si>
  <si>
    <t>Bateria Moto G4 Plus (GA40)</t>
  </si>
  <si>
    <t>Bateria Moto G5 (GK40)</t>
  </si>
  <si>
    <t>Bateria Moto G4 Play (GK40)</t>
  </si>
  <si>
    <t>Bateria Moto E4 (GK40)</t>
  </si>
  <si>
    <t>Bateria Moto G52 (NE50)</t>
  </si>
  <si>
    <t>Bateria Moto G82 (NE50)</t>
  </si>
  <si>
    <t>Bateria Moto G5G Plus (LZ50)</t>
  </si>
  <si>
    <t>Bateria Moto G 5G Plus (LZ50)</t>
  </si>
  <si>
    <t>Bateria Moto G100 (LZ50)</t>
  </si>
  <si>
    <t>Bateria Moto G 5G (MK50)</t>
  </si>
  <si>
    <t>Bateria Moto G6 (HG30)</t>
  </si>
  <si>
    <t>Bateria Moto G5s (HG30)</t>
  </si>
  <si>
    <t>Bateria Moto G5s Plus (HG30)</t>
  </si>
  <si>
    <t>Bateria Moto G3 (FC40)</t>
  </si>
  <si>
    <t>Bateria Moto G8 (KG40)</t>
  </si>
  <si>
    <t>Bateria Moto G8 Play (KG40)</t>
  </si>
  <si>
    <t>Bateria Moto One Macro (KG40)</t>
  </si>
  <si>
    <t>Bateria Moto E7 (KG40)</t>
  </si>
  <si>
    <t>Bateria Moto G7 Play (JE40)</t>
  </si>
  <si>
    <t>Bateria Moto One (JE40)</t>
  </si>
  <si>
    <t>Bateria Moto G7 Power (JK50)</t>
  </si>
  <si>
    <t>Bateria Moto G8 Power Lite (JK50)</t>
  </si>
  <si>
    <t>Bateria Moto G9 Play (JK50)</t>
  </si>
  <si>
    <t>Bateria Moto E7 Plus (JK50)</t>
  </si>
  <si>
    <t>Bateria Moto E7 Power (JK50)</t>
  </si>
  <si>
    <t>Bateria Moto E40 (JK50)</t>
  </si>
  <si>
    <t>Bateria Moto G10 (JK50)</t>
  </si>
  <si>
    <t>Bateria Moto G20 (JK50)</t>
  </si>
  <si>
    <t>Bateria Moto G30 (JK50)</t>
  </si>
  <si>
    <t>Bateria Moto G31 (JK50)</t>
  </si>
  <si>
    <t>Bateria Moto One Fusion (JK50)</t>
  </si>
  <si>
    <t>Bateria Moto G9 Power (MC50)</t>
  </si>
  <si>
    <t>Bateria Moto G60 (MC50)</t>
  </si>
  <si>
    <t>Bateria Moto G60 (Gold-917)</t>
  </si>
  <si>
    <t>Bateria Moto One Action (KR40)</t>
  </si>
  <si>
    <t>Bateria Moto One Vision (KR40)</t>
  </si>
  <si>
    <t>Bateria Moto Z Force (GV30)</t>
  </si>
  <si>
    <t>Bateria Moto Z Power (GV30)</t>
  </si>
  <si>
    <t>Bateria Moto Z Play (GL40)</t>
  </si>
  <si>
    <t>Bateria Moto One Hyper (KG50)</t>
  </si>
  <si>
    <t>Bateria Moto G9 Plus (MG50)</t>
  </si>
  <si>
    <t>Bateria Moto E5 Play (JE30)</t>
  </si>
  <si>
    <t>Bateria Moto E5 Plus (HE50)</t>
  </si>
  <si>
    <t>Bateria Moto G50 (MS50)</t>
  </si>
  <si>
    <t>Bateria Moto E4 Plus (HE50)</t>
  </si>
  <si>
    <t>Bateria Moto C (HC40)</t>
  </si>
  <si>
    <t>Bateria Moto Z2 Force (HD40)</t>
  </si>
  <si>
    <t>Bateria Moto Z2 Play (HZ40)</t>
  </si>
  <si>
    <t>Bateria SAM A02 (EB-BA217)</t>
  </si>
  <si>
    <t>Bateria SAM A04s (EB-BA217)</t>
  </si>
  <si>
    <t>Bateria SAM A12 (EB-BA217)</t>
  </si>
  <si>
    <t>Bateria SAM A13 4G (EB-BA217)</t>
  </si>
  <si>
    <t>Bateria SAM A21s (EB-BA217)</t>
  </si>
  <si>
    <t>Bateria SAM M12 (EB-BA217)</t>
  </si>
  <si>
    <t>Bateria SAM A02s (HQ-50S)</t>
  </si>
  <si>
    <t>Bateria SAM A03s (HQ-50S)</t>
  </si>
  <si>
    <t>Bateria SAM A03 (HQ-50S)</t>
  </si>
  <si>
    <t>Bateria SAM A04 (HQ-50S)</t>
  </si>
  <si>
    <t>Bateria SAM A04E (HQ-50S)</t>
  </si>
  <si>
    <t>Bateria SAM A10 (EB-BA750)</t>
  </si>
  <si>
    <t>Bateria SAM M10 (EB-BA750)</t>
  </si>
  <si>
    <t>Bateria SAM A7 2018 (EB-BA750)</t>
  </si>
  <si>
    <t>Bateria SAM A750 (EB-BA750)</t>
  </si>
  <si>
    <t>Bateria SAM A10s (SCUD-WT-N6)</t>
  </si>
  <si>
    <t>Bateria SAM A11 (SCUD-WT-N6)</t>
  </si>
  <si>
    <t>Bateria SAM A20s (SCUD-WT-N6)</t>
  </si>
  <si>
    <t>Bateria SAM A21 (SCUD-WT-N6)</t>
  </si>
  <si>
    <t>Bateria SAM A13 5G (BA316/BA136)</t>
  </si>
  <si>
    <t>Bateria SAM M13 4G (BA316/BA136)</t>
  </si>
  <si>
    <t>Bateria SAM M13 5G (BA316/BA136)</t>
  </si>
  <si>
    <t>Bateria SAM A20 (EB-BA505ABU)</t>
  </si>
  <si>
    <t>Bateria SAM J5 (BG530)</t>
  </si>
  <si>
    <t>Bateria SAM J3 (BG530)</t>
  </si>
  <si>
    <t>Bateria SAM J2 Core (BG530)</t>
  </si>
  <si>
    <t>Bateria SAM J2 Prime (BG530)</t>
  </si>
  <si>
    <t>Bateria SAM J2 Pro (BG530)</t>
  </si>
  <si>
    <t>Bateria SAM Gran Prime (BG530)</t>
  </si>
  <si>
    <t>Bateria SAM J260 (BG530)</t>
  </si>
  <si>
    <t>Bateria SAM M33</t>
  </si>
  <si>
    <t>Bateria SAM M52</t>
  </si>
  <si>
    <t>Bateria SAM M53</t>
  </si>
  <si>
    <t>Bateria SAM M51 (BM415)</t>
  </si>
  <si>
    <t>Bateria SAM M62 (BM415)</t>
  </si>
  <si>
    <t>Bateria LG K22 (BL-M03)</t>
  </si>
  <si>
    <t>Bateria LG K22 Plus (BL-M03)</t>
  </si>
  <si>
    <t>Bateria LG K4 (BL-45F1F)</t>
  </si>
  <si>
    <t>Bateria LG K7 (BL-45F1F)</t>
  </si>
  <si>
    <t>Bateria LG K8 (BL-45F1F)</t>
  </si>
  <si>
    <t>Bateria LG K9 (BL-45F1F)</t>
  </si>
  <si>
    <t>Bateria A01 Core (BA013A)</t>
  </si>
  <si>
    <t>Bateria Gran Prime (BG530)</t>
  </si>
  <si>
    <t>Moto G13 sem aro original</t>
  </si>
  <si>
    <t>Moto G13 com aro original</t>
  </si>
  <si>
    <t>Moto G13 com aro Nacional</t>
  </si>
  <si>
    <t>Moto G13 Nacional com aro</t>
  </si>
  <si>
    <t>Moto G13 original sem aro</t>
  </si>
  <si>
    <t>Moto G13 original com aro</t>
  </si>
  <si>
    <t>Tampa SAM Galaxy Note 10 Pro</t>
  </si>
  <si>
    <t>Tampa Traseira SAM Galaxy S9</t>
  </si>
  <si>
    <t>Tampa Traseira SAM Galaxy Note 10 Pro</t>
  </si>
  <si>
    <t>Tampa Galaxy S9</t>
  </si>
  <si>
    <t>Tampa Galaxy Note 10 Pro</t>
  </si>
  <si>
    <t>Tampa Traseira Galaxy S9</t>
  </si>
  <si>
    <t>Tampa Traseira Galaxy Note 10 Pro</t>
  </si>
  <si>
    <t>Redmi Note 10 sem aro incell (4G)</t>
  </si>
  <si>
    <t>Redmi Note 10 com aro original (4G)</t>
  </si>
  <si>
    <t>Redmi Note 10 com aro OLED (4G)</t>
  </si>
  <si>
    <t>Redmi Note 10 OLED com aro (4G)</t>
  </si>
  <si>
    <t>Redmi Note 10 com aro incell (4G)</t>
  </si>
  <si>
    <t>Redmi Note 10 sem aro original (4G)</t>
  </si>
  <si>
    <t>Redmi Note 10 sem aro OLED (4G)</t>
  </si>
  <si>
    <t>Redmi Note 10 OLED sem aro (4G)</t>
  </si>
  <si>
    <t>Redmi Note 10s sem aro incell (4G)</t>
  </si>
  <si>
    <t>Redmi Note 10s com aro original (4G)</t>
  </si>
  <si>
    <t>Redmi Note 10s com aro OLED (4G)</t>
  </si>
  <si>
    <t>Redmi Note 10s OLED com aro (4G)</t>
  </si>
  <si>
    <t>Redmi Note 10s com aro incell (4G)</t>
  </si>
  <si>
    <t>Redmi Note 10s sem aro original (4G)</t>
  </si>
  <si>
    <t>Redmi Note 10s sem aro OLED (4G)</t>
  </si>
  <si>
    <t>Redmi Note 10s OLED sem aro (4G)</t>
  </si>
  <si>
    <t>Redmi Note 11 com aro original (4G)</t>
  </si>
  <si>
    <t>Redmi Note 11 sem aro incell (4G)</t>
  </si>
  <si>
    <t>Redmi Note 11 com aro OLED (4G)</t>
  </si>
  <si>
    <t>Redmi Note 11 OLED com aro (4G)</t>
  </si>
  <si>
    <t>Redmi Note 11 com aro incell (4G)</t>
  </si>
  <si>
    <t>Redmi Note 11 sem aro original (4G)</t>
  </si>
  <si>
    <t>Redmi Note 11 sem aro OLED (4G)</t>
  </si>
  <si>
    <t>Redmi Note 11s sem aro incell (4G)</t>
  </si>
  <si>
    <t>Redmi Note 11s com aro original (4G)</t>
  </si>
  <si>
    <t>Redmi Note 11s com aro OLED (4G)</t>
  </si>
  <si>
    <t>Redmi Note 11s OLED com aro (4G)</t>
  </si>
  <si>
    <t>Redmi Note 11s com aro incell (4G)</t>
  </si>
  <si>
    <t>Redmi Note 11s sem aro original (4G)</t>
  </si>
  <si>
    <t>Redmi Note 11s sem aro OLED (4G)</t>
  </si>
  <si>
    <t>Redmi Note 11s OLED sem aro (4G)</t>
  </si>
  <si>
    <t>Conector Asus Zenfone Max Shot</t>
  </si>
  <si>
    <t>Conector Moto E6 Play</t>
  </si>
  <si>
    <t>Conector Moto E7 Plus</t>
  </si>
  <si>
    <t>Conector Moto E6 Plus</t>
  </si>
  <si>
    <t>Conector LG K4 2017</t>
  </si>
  <si>
    <t>Conector LG K10 2016</t>
  </si>
  <si>
    <t>Conector LG K10</t>
  </si>
  <si>
    <t>Conector LG K4 2016</t>
  </si>
  <si>
    <t>Conector LG K5</t>
  </si>
  <si>
    <t>Conector LG K7</t>
  </si>
  <si>
    <t>Conector LG K8</t>
  </si>
  <si>
    <t>Conector LG K10 2017</t>
  </si>
  <si>
    <t>Conector LG K8 2017</t>
  </si>
  <si>
    <t>Conector LG K10 Power</t>
  </si>
  <si>
    <t>Conector LG K11</t>
  </si>
  <si>
    <t>Conector LG K11 Plus</t>
  </si>
  <si>
    <t>Conector LG K12</t>
  </si>
  <si>
    <t>Conector SAM A01</t>
  </si>
  <si>
    <t>Conector SAM A03</t>
  </si>
  <si>
    <t>Conector SAM A03 Core</t>
  </si>
  <si>
    <t>Conector K12 Plus</t>
  </si>
  <si>
    <t>Conector LG K12 Prime</t>
  </si>
  <si>
    <t>Conector LG K22</t>
  </si>
  <si>
    <t>Conector LG K40</t>
  </si>
  <si>
    <t>Conector LG K50</t>
  </si>
  <si>
    <t>Conector LG K12 Max</t>
  </si>
  <si>
    <t>Conector LG K40s</t>
  </si>
  <si>
    <t>Conector Xiaomi Redmi 9i</t>
  </si>
  <si>
    <t>Conector Xiaomi Redmi 9A</t>
  </si>
  <si>
    <t>Conector LG K50s</t>
  </si>
  <si>
    <t>Conector LG K51s</t>
  </si>
  <si>
    <t>Conector LG K9</t>
  </si>
  <si>
    <t>Conector T290</t>
  </si>
  <si>
    <t>Conector T295</t>
  </si>
  <si>
    <t>Conector Moto E30</t>
  </si>
  <si>
    <t>Conector Moto E7</t>
  </si>
  <si>
    <t>Conector Moto E7 Power</t>
  </si>
  <si>
    <t>Conector Moto E20</t>
  </si>
  <si>
    <t>Conector Moto E40</t>
  </si>
  <si>
    <t>Conector Moto E32</t>
  </si>
  <si>
    <t>Conector Moto G50 5G</t>
  </si>
  <si>
    <t>Conector SAM A04</t>
  </si>
  <si>
    <t>Conector SAM A20S</t>
  </si>
  <si>
    <t>Conector SAM A22 5G</t>
  </si>
  <si>
    <t>Conector LG K41s</t>
  </si>
  <si>
    <t>Conector LG K61</t>
  </si>
  <si>
    <t>Conector Moto G4 Play</t>
  </si>
  <si>
    <t>Conector Moto G8 Power Lite</t>
  </si>
  <si>
    <t>Conector Moto G5</t>
  </si>
  <si>
    <t>Conector Moto E6s</t>
  </si>
  <si>
    <t>Conector Moto E6i</t>
  </si>
  <si>
    <t>Conector Moto E4 Plus</t>
  </si>
  <si>
    <t>Conector Moto E4</t>
  </si>
  <si>
    <t>Conector LG K8 Plus</t>
  </si>
  <si>
    <t>Conector Moto G4</t>
  </si>
  <si>
    <t>Conector Moto G4 Plus</t>
  </si>
  <si>
    <t>Conector Moto G5 Plus</t>
  </si>
  <si>
    <t>Conector Moto G5s Plus</t>
  </si>
  <si>
    <t>Conector Moto E5</t>
  </si>
  <si>
    <t>Conector Moto G6 Play</t>
  </si>
  <si>
    <t>Conector Moto C</t>
  </si>
  <si>
    <t>Conector Moto G6</t>
  </si>
  <si>
    <t>Conector Moto G6 Plus</t>
  </si>
  <si>
    <t>Conector Moto One</t>
  </si>
  <si>
    <t>Conector Moto G7 Power</t>
  </si>
  <si>
    <t>Conector Moto G8 Power</t>
  </si>
  <si>
    <t>Conector Moto G8 Play</t>
  </si>
  <si>
    <t>Conector Moto G9 Power</t>
  </si>
  <si>
    <t>Conector Moto G9 Play</t>
  </si>
  <si>
    <t>Conector Moto G9 Plus</t>
  </si>
  <si>
    <t>Conector Moto G10</t>
  </si>
  <si>
    <t>Conector Moto G20</t>
  </si>
  <si>
    <t>Conector Moto G22</t>
  </si>
  <si>
    <t>Conector Moto G30</t>
  </si>
  <si>
    <t>Conector Moto G32</t>
  </si>
  <si>
    <t>Conector Moto G50</t>
  </si>
  <si>
    <t>Conector Moto G62</t>
  </si>
  <si>
    <t>Conector Moto E13</t>
  </si>
  <si>
    <t>Conector Moto One Fusion Plus</t>
  </si>
  <si>
    <t>Conector Moto G7</t>
  </si>
  <si>
    <t>Conector Moto G7 Plus</t>
  </si>
  <si>
    <t>Conector Moto G8 Plus</t>
  </si>
  <si>
    <t>Conector Moto G5G</t>
  </si>
  <si>
    <t>Conector Moto G 5G</t>
  </si>
  <si>
    <t>Conector Moto G100</t>
  </si>
  <si>
    <t>Conector Moto G200</t>
  </si>
  <si>
    <t>Conector LG K62 Plus</t>
  </si>
  <si>
    <t>Conector LG K42</t>
  </si>
  <si>
    <t>Conector LG K52</t>
  </si>
  <si>
    <t>Conector LG K62</t>
  </si>
  <si>
    <t>Conector Moto G8</t>
  </si>
  <si>
    <t>Conector Moto G7 Play</t>
  </si>
  <si>
    <t>Conector Moto G31</t>
  </si>
  <si>
    <t>Conector Moto G60</t>
  </si>
  <si>
    <t>Conector SAM A03s</t>
  </si>
  <si>
    <t>Conector SAM A02s</t>
  </si>
  <si>
    <t>Conector SAM A11</t>
  </si>
  <si>
    <t>Conector SAM A10s</t>
  </si>
  <si>
    <t>Conector SAM M23</t>
  </si>
  <si>
    <t>Conector SAM A12</t>
  </si>
  <si>
    <t>Conector SAM A20</t>
  </si>
  <si>
    <t>Conector SAM A21s</t>
  </si>
  <si>
    <t>Conector SAM A22 4G</t>
  </si>
  <si>
    <t>Conector SAM A30</t>
  </si>
  <si>
    <t>Conector SAM A30s</t>
  </si>
  <si>
    <t>Conector SAM A31</t>
  </si>
  <si>
    <t>Conector SAM A32</t>
  </si>
  <si>
    <t>Conector SAM A32 4G</t>
  </si>
  <si>
    <t>Conector SAM A50</t>
  </si>
  <si>
    <t>Conector SAM A51</t>
  </si>
  <si>
    <t>Conector SAM A60</t>
  </si>
  <si>
    <t>Conector SAM A70</t>
  </si>
  <si>
    <t>Conector SAM A70s</t>
  </si>
  <si>
    <t>Conector SAM A71</t>
  </si>
  <si>
    <t>Conector SAM A80</t>
  </si>
  <si>
    <t>Conector SAM A90</t>
  </si>
  <si>
    <t>Conector SAM M20</t>
  </si>
  <si>
    <t>Conector SAM M30</t>
  </si>
  <si>
    <t>Conector SAM A9 2018</t>
  </si>
  <si>
    <t>Conector SAM A920</t>
  </si>
  <si>
    <t>Conector SAM J4 Plus</t>
  </si>
  <si>
    <t>Conector SAM A01 Core</t>
  </si>
  <si>
    <t>Conector SAM A02</t>
  </si>
  <si>
    <t>Conector SAM A10</t>
  </si>
  <si>
    <t>Conector SAM A7 2018</t>
  </si>
  <si>
    <t>Conector SAM A750</t>
  </si>
  <si>
    <t>Conector SAM J1</t>
  </si>
  <si>
    <t>Conector SAM J2</t>
  </si>
  <si>
    <t>Conector SAM J2 Pro</t>
  </si>
  <si>
    <t>Conector SAM J3</t>
  </si>
  <si>
    <t>Conector SAM J4</t>
  </si>
  <si>
    <t>Conector SAM J4 Core</t>
  </si>
  <si>
    <t>Conector SAM J6</t>
  </si>
  <si>
    <t>Conector SAM J6 Plus</t>
  </si>
  <si>
    <t>Conector SAM J5</t>
  </si>
  <si>
    <t>Conector SAM J5 Prime</t>
  </si>
  <si>
    <t>Conector SAM J5 Pro</t>
  </si>
  <si>
    <t>Conector SAM J7 Prime</t>
  </si>
  <si>
    <t>Conector SAM J7 Pro</t>
  </si>
  <si>
    <t>Conector SAM J8</t>
  </si>
  <si>
    <t>Conector SAM M10</t>
  </si>
  <si>
    <t>Conector SAM J400</t>
  </si>
  <si>
    <t>Conector SAM J600</t>
  </si>
  <si>
    <t>Conector SAM J530</t>
  </si>
  <si>
    <t>Conector SAM J730</t>
  </si>
  <si>
    <t>Conector SAM J800</t>
  </si>
  <si>
    <t>Conector SAM J7 Metal</t>
  </si>
  <si>
    <t>Conector SAM J710</t>
  </si>
  <si>
    <t>Conector SAM J5 Metal</t>
  </si>
  <si>
    <t>Conector SAM J510</t>
  </si>
  <si>
    <t>Conector SAM J2 Prime</t>
  </si>
  <si>
    <t>Conector SAM J7</t>
  </si>
  <si>
    <t>Conector SAM Gran Prime</t>
  </si>
  <si>
    <t>Conector SAM G531</t>
  </si>
  <si>
    <t>Conector SAM G530</t>
  </si>
  <si>
    <t>Conector Zenfone Max Shot</t>
  </si>
  <si>
    <t>Conector G8</t>
  </si>
  <si>
    <t>Conector E6 Play</t>
  </si>
  <si>
    <t>Conector E7 Plus</t>
  </si>
  <si>
    <t>Conector E6 Plus</t>
  </si>
  <si>
    <t>Conector E30</t>
  </si>
  <si>
    <t>Conector E7</t>
  </si>
  <si>
    <t>Conector E7 Power</t>
  </si>
  <si>
    <t>Conector E20</t>
  </si>
  <si>
    <t>Conector E40</t>
  </si>
  <si>
    <t>Conector E32</t>
  </si>
  <si>
    <t>Conector G50 5G</t>
  </si>
  <si>
    <t>Conector G4 Play</t>
  </si>
  <si>
    <t>Conector G8 Power Lite</t>
  </si>
  <si>
    <t>Conector G5</t>
  </si>
  <si>
    <t>Conector E6s</t>
  </si>
  <si>
    <t>Conector E6i</t>
  </si>
  <si>
    <t>Conector E4</t>
  </si>
  <si>
    <t>Conector E4 Plus</t>
  </si>
  <si>
    <t>Conector G4</t>
  </si>
  <si>
    <t>Conector G4 Plus</t>
  </si>
  <si>
    <t>Conector G5 Plus</t>
  </si>
  <si>
    <t>Conector G5s</t>
  </si>
  <si>
    <t>Conector G5s Plus</t>
  </si>
  <si>
    <t>Conector E5</t>
  </si>
  <si>
    <t>Conector G6</t>
  </si>
  <si>
    <t>Conector G6 Play</t>
  </si>
  <si>
    <t>Conector C</t>
  </si>
  <si>
    <t>Conector G6 Plus</t>
  </si>
  <si>
    <t>Conector One</t>
  </si>
  <si>
    <t>Conector G7</t>
  </si>
  <si>
    <t>Conector G7 Power</t>
  </si>
  <si>
    <t>Conector G8 Power</t>
  </si>
  <si>
    <t>Conector G8 Play</t>
  </si>
  <si>
    <t>Conector G9 Power</t>
  </si>
  <si>
    <t>Conector G9 Play</t>
  </si>
  <si>
    <t>Conector G9 Plus</t>
  </si>
  <si>
    <t>Conector G10</t>
  </si>
  <si>
    <t>Conector G20</t>
  </si>
  <si>
    <t>Conector G22</t>
  </si>
  <si>
    <t>Conector G30</t>
  </si>
  <si>
    <t>Conector G32</t>
  </si>
  <si>
    <t>Conector G50</t>
  </si>
  <si>
    <t>Conector G62</t>
  </si>
  <si>
    <t>Conector E13</t>
  </si>
  <si>
    <t>Conector One Fusion Plus</t>
  </si>
  <si>
    <t>Conector G7 Plus</t>
  </si>
  <si>
    <t>Conector G8 Plus</t>
  </si>
  <si>
    <t>Conector G5G</t>
  </si>
  <si>
    <t>Conector G 5G</t>
  </si>
  <si>
    <t>Conector G100</t>
  </si>
  <si>
    <t>Conector G200</t>
  </si>
  <si>
    <t>Conector G7 Play</t>
  </si>
  <si>
    <t>Conector G31</t>
  </si>
  <si>
    <t>Conector G60</t>
  </si>
  <si>
    <t>Conector One Fusion</t>
  </si>
  <si>
    <t>Conector Z3 Play</t>
  </si>
  <si>
    <t>Conector A01</t>
  </si>
  <si>
    <t>Conector A03</t>
  </si>
  <si>
    <t>Conector A03 Core</t>
  </si>
  <si>
    <t>Conector A04</t>
  </si>
  <si>
    <t>Conector A20S</t>
  </si>
  <si>
    <t>Conector A22 5G</t>
  </si>
  <si>
    <t>Conector A03s</t>
  </si>
  <si>
    <t>Conector A02s</t>
  </si>
  <si>
    <t>Conector A11</t>
  </si>
  <si>
    <t>Conector A04E</t>
  </si>
  <si>
    <t>Conector A10s</t>
  </si>
  <si>
    <t>Conector A34</t>
  </si>
  <si>
    <t>Conector M23</t>
  </si>
  <si>
    <t>Conector A12</t>
  </si>
  <si>
    <t>Conector A20</t>
  </si>
  <si>
    <t>Conector A21s</t>
  </si>
  <si>
    <t>Conector A22 4G</t>
  </si>
  <si>
    <t>Conector A30</t>
  </si>
  <si>
    <t>Conector A30s</t>
  </si>
  <si>
    <t>Conector A31</t>
  </si>
  <si>
    <t>Conector A32</t>
  </si>
  <si>
    <t>Conector A32 4G</t>
  </si>
  <si>
    <t>Conector A50</t>
  </si>
  <si>
    <t>Conector A51</t>
  </si>
  <si>
    <t>Conector A60</t>
  </si>
  <si>
    <t>Conector A70</t>
  </si>
  <si>
    <t>Conector A70s</t>
  </si>
  <si>
    <t>Conector A71</t>
  </si>
  <si>
    <t>Conector A80</t>
  </si>
  <si>
    <t>Conector A90</t>
  </si>
  <si>
    <t>Conector M20</t>
  </si>
  <si>
    <t>Conector M30</t>
  </si>
  <si>
    <t>Conector A9 2018</t>
  </si>
  <si>
    <t>Conector A920</t>
  </si>
  <si>
    <t>Conector Galaxy S10</t>
  </si>
  <si>
    <t>Conector J4</t>
  </si>
  <si>
    <t>Conector J400</t>
  </si>
  <si>
    <t>Conector J4 Plus</t>
  </si>
  <si>
    <t>Conector A01 Core</t>
  </si>
  <si>
    <t>Conector A02</t>
  </si>
  <si>
    <t>Conector A10</t>
  </si>
  <si>
    <t>Conector A7 2018</t>
  </si>
  <si>
    <t>Conector A750</t>
  </si>
  <si>
    <t>Conector J1</t>
  </si>
  <si>
    <t>Conector J2</t>
  </si>
  <si>
    <t>Conector J2 Pro</t>
  </si>
  <si>
    <t>Conector J3</t>
  </si>
  <si>
    <t>Conector J4 Core</t>
  </si>
  <si>
    <t>Conector J6</t>
  </si>
  <si>
    <t>Conector J600</t>
  </si>
  <si>
    <t>Conector J6 Plus</t>
  </si>
  <si>
    <t>Conector J5</t>
  </si>
  <si>
    <t>Conector J5 Prime</t>
  </si>
  <si>
    <t>Conector J5 Pro</t>
  </si>
  <si>
    <t>Conector J530</t>
  </si>
  <si>
    <t>Conector J7 Prime</t>
  </si>
  <si>
    <t>Conector J7 Pro</t>
  </si>
  <si>
    <t>Conector J730</t>
  </si>
  <si>
    <t>Conector J8</t>
  </si>
  <si>
    <t>Conector J800</t>
  </si>
  <si>
    <t>Conector M10</t>
  </si>
  <si>
    <t>Conector J7 Metal</t>
  </si>
  <si>
    <t>Conector J710</t>
  </si>
  <si>
    <t>Conector J5 Metal</t>
  </si>
  <si>
    <t>Conector J510</t>
  </si>
  <si>
    <t>Conector J2 Prime</t>
  </si>
  <si>
    <t>Conector J7</t>
  </si>
  <si>
    <t>Conector Gran Prime</t>
  </si>
  <si>
    <t>Conector G531</t>
  </si>
  <si>
    <t>Conector G530</t>
  </si>
  <si>
    <t>Conector K4 2017</t>
  </si>
  <si>
    <t>Conector K10 2016</t>
  </si>
  <si>
    <t>Conector K10</t>
  </si>
  <si>
    <t>Conector K4 2016</t>
  </si>
  <si>
    <t>Conector K5</t>
  </si>
  <si>
    <t>Conector K7</t>
  </si>
  <si>
    <t>Conector K8</t>
  </si>
  <si>
    <t>Conector K10 2017</t>
  </si>
  <si>
    <t>Conector K8 2017</t>
  </si>
  <si>
    <t>Conector K10 Power</t>
  </si>
  <si>
    <t>Conector K11</t>
  </si>
  <si>
    <t>Conector K11 Plus</t>
  </si>
  <si>
    <t>Conector K12</t>
  </si>
  <si>
    <t>Conector K12 Prime</t>
  </si>
  <si>
    <t>Conector K22</t>
  </si>
  <si>
    <t>Conector K40</t>
  </si>
  <si>
    <t>Conector K50</t>
  </si>
  <si>
    <t>Conector K12 Max</t>
  </si>
  <si>
    <t>Conector K40s</t>
  </si>
  <si>
    <t>Conector K50s</t>
  </si>
  <si>
    <t>Conector K51s</t>
  </si>
  <si>
    <t>Conector K9</t>
  </si>
  <si>
    <t>Conector K41s</t>
  </si>
  <si>
    <t>Conector K61</t>
  </si>
  <si>
    <t>Conector K8 Plus</t>
  </si>
  <si>
    <t>Conector K62</t>
  </si>
  <si>
    <t>Conector K62 Plus</t>
  </si>
  <si>
    <t>Conector K42</t>
  </si>
  <si>
    <t>Conector K52</t>
  </si>
  <si>
    <t>Conector Redmi 9A</t>
  </si>
  <si>
    <t>Conector Redmi 9i</t>
  </si>
  <si>
    <t>Gaveta de Chip Redmi 7</t>
  </si>
  <si>
    <t>Gaveta K51s</t>
  </si>
  <si>
    <t>Gaveta E5 Play</t>
  </si>
  <si>
    <t>Gaveta G82</t>
  </si>
  <si>
    <t>Gaveta de Chip Xiaomi Redmi Note 10 5G</t>
  </si>
  <si>
    <t>Gaveta de Chip A21</t>
  </si>
  <si>
    <t>Gaveta de Chip A5 2016 (A510)/A7 2016 (A710)</t>
  </si>
  <si>
    <t>Gaveta de Chip J5 Pro (J530)</t>
  </si>
  <si>
    <t>Gaveta de Chip S20 Plus</t>
  </si>
  <si>
    <t>Gaveta de Chip S20 Ultra</t>
  </si>
  <si>
    <t>Gaveta de Chip K11 - Azul</t>
  </si>
  <si>
    <t>Gaveta de Chip K11 - Dourado</t>
  </si>
  <si>
    <t>Gaveta de Chip K11 - Preto</t>
  </si>
  <si>
    <t>Gaveta de Chip K12 - Preto</t>
  </si>
  <si>
    <t>Gaveta de Chip K12 Prime - Preto</t>
  </si>
  <si>
    <t>Gaveta de Chip K22/K22 Plus - Azul</t>
  </si>
  <si>
    <t>Gaveta de Chip K22/K22 Plus - Cinza</t>
  </si>
  <si>
    <t>Gaveta de Chip K22/K22 Plus - Vermelho</t>
  </si>
  <si>
    <t>Gaveta de Chip K40s - Azul</t>
  </si>
  <si>
    <t>Gaveta de Chip K40s - Preto</t>
  </si>
  <si>
    <t>Gaveta de Chip K41s - Preto</t>
  </si>
  <si>
    <t>Gaveta de Chip K41s - Verde</t>
  </si>
  <si>
    <t>Gaveta de Chip K41s - vermelho</t>
  </si>
  <si>
    <t>Gaveta de Chip K42 / K52- Preto</t>
  </si>
  <si>
    <t>Gaveta de Chip K42/ K52 - Cinza</t>
  </si>
  <si>
    <t>Gaveta de Chip K51s</t>
  </si>
  <si>
    <t>Gaveta de Chip K8 Plus - Azul</t>
  </si>
  <si>
    <t>Gaveta de Chip K8 Plus - Cinza</t>
  </si>
  <si>
    <t>Gaveta de Chip K8 Plus - Preto</t>
  </si>
  <si>
    <t>Gaveta de Chip E20 - Azul</t>
  </si>
  <si>
    <t>Gaveta de Chip E20 - Cinza</t>
  </si>
  <si>
    <t>Gaveta de Chip E40 - Azul</t>
  </si>
  <si>
    <t>Gaveta de Chip E40 - Cinza</t>
  </si>
  <si>
    <t>Gaveta de Chip E5 - Dourado</t>
  </si>
  <si>
    <t>Gaveta de Chip E5 - Prata</t>
  </si>
  <si>
    <t>Gaveta de Chip E5 - Preto</t>
  </si>
  <si>
    <t>Gaveta de Chip E5 Play</t>
  </si>
  <si>
    <t>Gaveta de Chip E6 Play - Preto</t>
  </si>
  <si>
    <t>Gaveta de Chip E6i - Preto/Cinza</t>
  </si>
  <si>
    <t>Gaveta de Chip E6i - Vermelho Magenta</t>
  </si>
  <si>
    <t>Gaveta de Chip E7 - Azul</t>
  </si>
  <si>
    <t>Gaveta de Chip E7 - Cinza/Preto</t>
  </si>
  <si>
    <t>Gaveta de Chip E7 - Cobre</t>
  </si>
  <si>
    <t>Gaveta de Chip E7 Plus - Azul</t>
  </si>
  <si>
    <t>Gaveta de Chip E7 Plus - Bronze</t>
  </si>
  <si>
    <t>Gaveta de Chip E7 Power - Azul</t>
  </si>
  <si>
    <t>Gaveta de Chip E7 Power - Vermelho Coral</t>
  </si>
  <si>
    <t>Gaveta de Chip G10/G20/G30 - Azul</t>
  </si>
  <si>
    <t>Gaveta de Chip G10/G20/G30 - Branco/Roxo</t>
  </si>
  <si>
    <t>Gaveta de Chip G10/G20/G30 - Preto/Cinza</t>
  </si>
  <si>
    <t>Gaveta de Chip G10/G20/G30 - Rosa</t>
  </si>
  <si>
    <t>Gaveta de Chip G10/G20/G30 - Verde</t>
  </si>
  <si>
    <t>Gaveta de Chip G22/E32 - Azul Claro</t>
  </si>
  <si>
    <t>Gaveta de Chip G22/E32 - Branco</t>
  </si>
  <si>
    <t>Gaveta de Chip G22/E32 - Cinza/Azul Escuro</t>
  </si>
  <si>
    <t>Gaveta de Chip G22/E32 - Preto</t>
  </si>
  <si>
    <t>Gaveta de Chip G22/E32 - Rosa</t>
  </si>
  <si>
    <t>Gaveta de Chip G23 - Azul Claro</t>
  </si>
  <si>
    <t>Gaveta de Chip G23 - Branco</t>
  </si>
  <si>
    <t>Gaveta de Chip G23 - Preto</t>
  </si>
  <si>
    <t>Gaveta de Chip G31 - Azul</t>
  </si>
  <si>
    <t>Gaveta de Chip G31 - Preto/Cinza</t>
  </si>
  <si>
    <t>Gaveta de Chip G32 - azul</t>
  </si>
  <si>
    <t>Gaveta de Chip G32 - Preto</t>
  </si>
  <si>
    <t>Gaveta de Chip G32 - Rosa</t>
  </si>
  <si>
    <t>Gaveta de Chip G32 - Vermelho</t>
  </si>
  <si>
    <t>Gaveta de Chip G5/G5 Plus - Azul</t>
  </si>
  <si>
    <t>Gaveta de Chip G5/G5 Plus - Preto</t>
  </si>
  <si>
    <t>Gaveta de Chip G50 5g - Azul</t>
  </si>
  <si>
    <t>Gaveta de Chip G50 5G - Verde</t>
  </si>
  <si>
    <t>Gaveta de Chip G52 - Azul</t>
  </si>
  <si>
    <t>Gaveta de Chip G52 - Branco</t>
  </si>
  <si>
    <t>Gaveta de Chip G52 - Preto</t>
  </si>
  <si>
    <t>Gaveta de Chip G5G - Cinza</t>
  </si>
  <si>
    <t>Gaveta de Chip G5G Plus - Azul escuro</t>
  </si>
  <si>
    <t>Gaveta de Chip G5G Plus - Lilas Prisma/Roxo</t>
  </si>
  <si>
    <t>Gaveta de Chip G5G Plus - Preto</t>
  </si>
  <si>
    <t>Gaveta de Chip G6 - azul</t>
  </si>
  <si>
    <t>Gaveta de Chip G6 - Preto</t>
  </si>
  <si>
    <t>Gaveta de Chip G60 - Azul Claro</t>
  </si>
  <si>
    <t>Gaveta de Chip G60 - Champagne</t>
  </si>
  <si>
    <t>Gaveta de Chip G60 - Cinza/Prata</t>
  </si>
  <si>
    <t>Gaveta de Chip G60 - Preto</t>
  </si>
  <si>
    <t>Gaveta de Chip G60s - Azul Escuro</t>
  </si>
  <si>
    <t>Gaveta de Chip G60s - Verde Claro</t>
  </si>
  <si>
    <t>Gaveta de Chip G62 - Cinza</t>
  </si>
  <si>
    <t>Gaveta de Chip G62 - verde</t>
  </si>
  <si>
    <t>Gaveta de Chip G7 Play - Preto</t>
  </si>
  <si>
    <t>Gaveta de Chip G7 Plus/Moto G7 - Azul</t>
  </si>
  <si>
    <t>Gaveta de Chip G7 Plus/Moto G7 - Prata/Branco</t>
  </si>
  <si>
    <t>Gaveta de Chip G7 Plus/Moto G7 - Preto</t>
  </si>
  <si>
    <t>Gaveta de Chip G7 Plus/Moto G7 - Vermelho</t>
  </si>
  <si>
    <t>Gaveta de Chip G7 Power - Azul</t>
  </si>
  <si>
    <t>Gaveta de Chip G7 Power - Lilas</t>
  </si>
  <si>
    <t>Gaveta de Chip G7 Power - Preto</t>
  </si>
  <si>
    <t>Gaveta de Chip G71 - Azul</t>
  </si>
  <si>
    <t>Gaveta de Chip G71 - Preto</t>
  </si>
  <si>
    <t>Gaveta de Chip G71 - Verde</t>
  </si>
  <si>
    <t>Gaveta de Chip G8 - Branco</t>
  </si>
  <si>
    <t>Gaveta de Chip G8 Play/One Macro - Azul Escuro</t>
  </si>
  <si>
    <t>Gaveta de Chip G8 Play/One Macro - Preto</t>
  </si>
  <si>
    <t>Gaveta de Chip G8 Power - Azul</t>
  </si>
  <si>
    <t>Gaveta de Chip G8 Power - Preto</t>
  </si>
  <si>
    <t>Gaveta de Chip G8/G8 Plus - Preto</t>
  </si>
  <si>
    <t>Gaveta de Chip G8/G8 Plus - Vermelho</t>
  </si>
  <si>
    <t>Gaveta de Chip G82</t>
  </si>
  <si>
    <t>Gaveta de Chip G82 - Branco</t>
  </si>
  <si>
    <t>Gaveta de Chip G82 - Preto</t>
  </si>
  <si>
    <t>Gaveta de Chip G9 Play - Azul</t>
  </si>
  <si>
    <t>Gaveta de Chip G9 Play - Rosa</t>
  </si>
  <si>
    <t>Gaveta de Chip G9 Play - Verde</t>
  </si>
  <si>
    <t>Gaveta de Chip 12 - Vermelha</t>
  </si>
  <si>
    <t>Alcool Isopropilico 500ML</t>
  </si>
  <si>
    <t>Alcool Isopropilico 1 Litro</t>
  </si>
  <si>
    <t>Alcool Isopropilico 250ML</t>
  </si>
  <si>
    <t>Campainha Moto E7 Power (Com Tampa)</t>
  </si>
  <si>
    <t>Campainha Moto G30 (Com Tampa)</t>
  </si>
  <si>
    <t>Campainha Moto G9 Plus (Com Tampa)</t>
  </si>
  <si>
    <t>Campainha SAM A03 Core (Com Tampa)</t>
  </si>
  <si>
    <t>Campainha Moto E7 Power (Sem Tampa)</t>
  </si>
  <si>
    <t>Campainha SAM A03 Core (Sem Tampa)</t>
  </si>
  <si>
    <t>Campainha Moto G10 (Com Tampa)</t>
  </si>
  <si>
    <t>Campainha Moto G20 (Com Tampa)</t>
  </si>
  <si>
    <t>Campainha Moto G7 (Com Tampa)</t>
  </si>
  <si>
    <t>Campainha Moto G7 Plus (Com Tampa)</t>
  </si>
  <si>
    <t>Campainha Moto E6i (Sem Tampa)</t>
  </si>
  <si>
    <t>Campainha Moto E6s (Sem Tampa)</t>
  </si>
  <si>
    <t>Campainha Moto G8 Power Lite (Sem Tampa)</t>
  </si>
  <si>
    <t>Campainha Moto G10 (Sem Tampa)</t>
  </si>
  <si>
    <t>Campainha Moto G20 (Sem Tampa)</t>
  </si>
  <si>
    <t>Campainha Moto G22 (Sem Tampa)</t>
  </si>
  <si>
    <t>Campainha Moto G30 (Sem Tampa)</t>
  </si>
  <si>
    <t>Campainha Moto E20 (Sem Tampa)</t>
  </si>
  <si>
    <t>Campainha SAM A32 5G (Sem Tampa)</t>
  </si>
  <si>
    <t>Campainha SAM A10 (Sem Tampa)</t>
  </si>
  <si>
    <t>Campainha SAM A20 (Sem Tampa)</t>
  </si>
  <si>
    <t>Campainha SAM A21s (Sem Tampa)</t>
  </si>
  <si>
    <t>Campainha SAM A22 4G (Sem Tampa)</t>
  </si>
  <si>
    <t>Campainha SAM A30 (Sem Tampa)</t>
  </si>
  <si>
    <t>Campainha SAM A50 (Sem Tampa)</t>
  </si>
  <si>
    <t>Campainha SAM A30s (Sem Tampa)</t>
  </si>
  <si>
    <t>Campainha SAM A31 (Sem Tampa)</t>
  </si>
  <si>
    <t>Campainha SAM A02 (Sem Tampa)</t>
  </si>
  <si>
    <t>Campainha SAM A12 (Sem Tampa)</t>
  </si>
  <si>
    <t>Campainha SAM A32 4G (Sem Tampa)</t>
  </si>
  <si>
    <t>Campainha SAM A13 4G (Sem Tampa)</t>
  </si>
  <si>
    <t>Campainha SAM A13 5G (Sem Tampa)</t>
  </si>
  <si>
    <t>Campainha SAM A23 4G (Sem Tampa)</t>
  </si>
  <si>
    <t>Campainha SAM A23 5G (Sem Tampa)</t>
  </si>
  <si>
    <t>Campainha SAM J4 Plus (Sem Tampa)</t>
  </si>
  <si>
    <t>Campainha SAM A01 Core (Sem Tampa)</t>
  </si>
  <si>
    <t>Campainha SAM M10 (Sem Tampa)</t>
  </si>
  <si>
    <t>Campainha SAM M20 (Sem Tampa)</t>
  </si>
  <si>
    <t>Campainha SAM M21s (Sem Tampa)</t>
  </si>
  <si>
    <t>Campainha SAM M30 (Sem Tampa)</t>
  </si>
  <si>
    <t>Campainha SAM M31 (Sem Tampa)</t>
  </si>
  <si>
    <t>Campainha SAM J4 Core (Sem Tampa)</t>
  </si>
  <si>
    <t>Campainha SAM J4+ (Sem Tampa)</t>
  </si>
  <si>
    <t>Campainha Moto E6s</t>
  </si>
  <si>
    <t>Campainha Moto E6i</t>
  </si>
  <si>
    <t>Campainha Moto G60</t>
  </si>
  <si>
    <t>Campainha Moto G60s</t>
  </si>
  <si>
    <t>Campainha E6i (Sem Tampa)</t>
  </si>
  <si>
    <t>Campainha E6s (Sem Tampa)</t>
  </si>
  <si>
    <t>Campainha G8 Power Lite (Sem Tampa)</t>
  </si>
  <si>
    <t>Campainha G10 (Sem Tampa)</t>
  </si>
  <si>
    <t>Campainha G20 (Sem Tampa)</t>
  </si>
  <si>
    <t>Campainha G22 (Sem Tampa)</t>
  </si>
  <si>
    <t>Campainha G30 (Sem Tampa)</t>
  </si>
  <si>
    <t>Campainha E20 (Sem Tampa)</t>
  </si>
  <si>
    <t>Campainha E7 Power (Sem Tampa)</t>
  </si>
  <si>
    <t>Campainha E7 Power (Com Tampa)</t>
  </si>
  <si>
    <t>Campainha G10 (Com Tampa)</t>
  </si>
  <si>
    <t>Campainha G20 (Com Tampa)</t>
  </si>
  <si>
    <t>Campainha G30 (Com Tampa)</t>
  </si>
  <si>
    <t>Campainha G7 (Com Tampa)</t>
  </si>
  <si>
    <t>Campainha G7 Plus (Com Tampa)</t>
  </si>
  <si>
    <t>Campainha G9 Plus (Com Tampa)</t>
  </si>
  <si>
    <t>Campainha E4 Plus</t>
  </si>
  <si>
    <t>Campainha E6 Plus</t>
  </si>
  <si>
    <t>Campainha E6s</t>
  </si>
  <si>
    <t>Campainha E6i</t>
  </si>
  <si>
    <t>Campainha E7</t>
  </si>
  <si>
    <t>Campainha E7 Plus</t>
  </si>
  <si>
    <t>Campainha G04</t>
  </si>
  <si>
    <t>Campainha G04s</t>
  </si>
  <si>
    <t>Campainha G34</t>
  </si>
  <si>
    <t>Campainha G52</t>
  </si>
  <si>
    <t>Campainha G5s</t>
  </si>
  <si>
    <t>Campainha G5s Plus</t>
  </si>
  <si>
    <t>Campainha G60</t>
  </si>
  <si>
    <t>Campainha G60s</t>
  </si>
  <si>
    <t>Campainha G8</t>
  </si>
  <si>
    <t>Campainha G8 Play</t>
  </si>
  <si>
    <t>Campainha G8 Plus</t>
  </si>
  <si>
    <t>Campainha A03 Core (Sem Tampa)</t>
  </si>
  <si>
    <t>Campainha A32 5G (Sem Tampa)</t>
  </si>
  <si>
    <t>Campainha A10 (Sem Tampa)</t>
  </si>
  <si>
    <t>Campainha A20 (Sem Tampa)</t>
  </si>
  <si>
    <t>Campainha A21s (Sem Tampa)</t>
  </si>
  <si>
    <t>Campainha A22 4G (Sem Tampa)</t>
  </si>
  <si>
    <t>Campainha A30 (Sem Tampa)</t>
  </si>
  <si>
    <t>Campainha A50 (Sem Tampa)</t>
  </si>
  <si>
    <t>Campainha A30s (Sem Tampa)</t>
  </si>
  <si>
    <t>Campainha A31 (Sem Tampa)</t>
  </si>
  <si>
    <t>Campainha A02 (Sem Tampa)</t>
  </si>
  <si>
    <t>Campainha A12 (Sem Tampa)</t>
  </si>
  <si>
    <t>Campainha A32 4G (Sem Tampa)</t>
  </si>
  <si>
    <t>Campainha A13 4G (Sem Tampa)</t>
  </si>
  <si>
    <t>Campainha A13 5G (Sem Tampa)</t>
  </si>
  <si>
    <t>Campainha A23 4G (Sem Tampa)</t>
  </si>
  <si>
    <t>Campainha A23 5G (Sem Tampa)</t>
  </si>
  <si>
    <t>Campainha J4 Core (Sem Tampa)</t>
  </si>
  <si>
    <t>Campainha J4+ (Sem Tampa)</t>
  </si>
  <si>
    <t>Campainha J4 Plus (Sem Tampa)</t>
  </si>
  <si>
    <t>Campainha A01 Core (Sem Tampa)</t>
  </si>
  <si>
    <t>Campainha M10 (Sem Tampa)</t>
  </si>
  <si>
    <t>Campainha M20 (Sem Tampa)</t>
  </si>
  <si>
    <t>Campainha M21s (Sem Tampa)</t>
  </si>
  <si>
    <t>Campainha M30 (Sem Tampa)</t>
  </si>
  <si>
    <t>Campainha M31 (Sem Tampa)</t>
  </si>
  <si>
    <t>Campainha A03 Core (Com Tampa)</t>
  </si>
  <si>
    <t>Campainha XR</t>
  </si>
  <si>
    <t>Auto Falante iPhone XR</t>
  </si>
  <si>
    <t>Auto Falante Moto E4 Plus</t>
  </si>
  <si>
    <t>Auto Falante Moto E6 Plus</t>
  </si>
  <si>
    <t>Auto Falante Moto E6s/E6i</t>
  </si>
  <si>
    <t>Auto Falante Moto E7</t>
  </si>
  <si>
    <t>Auto Falante Moto E7 Plus</t>
  </si>
  <si>
    <t>Auto Falante Moto G04</t>
  </si>
  <si>
    <t>Auto Falante Moto G04s</t>
  </si>
  <si>
    <t>Auto Falante Moto G34</t>
  </si>
  <si>
    <t>Auto Falante Moto G52</t>
  </si>
  <si>
    <t>Auto Falante Moto G5s</t>
  </si>
  <si>
    <t>Auto Falante Moto G5s Plus</t>
  </si>
  <si>
    <t>Auto Falante Moto G60/G60s</t>
  </si>
  <si>
    <t>Auto Falante Moto G8</t>
  </si>
  <si>
    <t>Auto Falante Moto G8 Play</t>
  </si>
  <si>
    <t>Auto Falante Moto G8 Plus</t>
  </si>
  <si>
    <t>Auto Falante Moto G8 Power</t>
  </si>
  <si>
    <t>Auto Falante Moto G9 Play</t>
  </si>
  <si>
    <t>Auto Falante Moto One</t>
  </si>
  <si>
    <t>Auto Falante Moto One Fusion</t>
  </si>
  <si>
    <t>Auto Falante Moto One Fusion Plus</t>
  </si>
  <si>
    <t>Auto Falante Moto Z Play</t>
  </si>
  <si>
    <t>Auto Falante Redmi Note 8 Pro</t>
  </si>
  <si>
    <t>Auto Falante Redmi Note 9 Pro/Note 9s</t>
  </si>
  <si>
    <t>Auto Falante SAM A01</t>
  </si>
  <si>
    <t>Auto Falante SAM A03s/A03/A02s</t>
  </si>
  <si>
    <t>Auto Falante SAM A10s</t>
  </si>
  <si>
    <t>Auto Falante SAM A11</t>
  </si>
  <si>
    <t>Auto Falante SAM A14 4G</t>
  </si>
  <si>
    <t>Auto Falante SAM A14 5G</t>
  </si>
  <si>
    <t>Auto Falante SAM A20s</t>
  </si>
  <si>
    <t>Auto Falante SAM A21</t>
  </si>
  <si>
    <t>Auto Falante SAM A51</t>
  </si>
  <si>
    <t>Auto Falante SAM A53</t>
  </si>
  <si>
    <t>Auto Falante SAM A54</t>
  </si>
  <si>
    <t>Auto Falante SAM A70</t>
  </si>
  <si>
    <t>Auto Falante SAM A71</t>
  </si>
  <si>
    <t>Auto Falante SAM J5 Prime/J7 Prime</t>
  </si>
  <si>
    <t>Auto Falante SAM J5 Pro (J530)</t>
  </si>
  <si>
    <t>Auto Falante SAM J6/SAM J8</t>
  </si>
  <si>
    <t>Auto Falante SAM J7 Pro (J730)</t>
  </si>
  <si>
    <t>Auto Falante SAM J7/SAM J5</t>
  </si>
  <si>
    <t>Auto Falante Xiaomi Mi 8 Lite</t>
  </si>
  <si>
    <t>Auto Falante Xiaomi Redmi 10</t>
  </si>
  <si>
    <t>Auto Falante Xiaomi Redmi 8/Redmi 8A</t>
  </si>
  <si>
    <t>Auto Falante Xiaomi Redmi 9</t>
  </si>
  <si>
    <t>Auto Falante Xiaomi Redmi 9A/Redmi 9C</t>
  </si>
  <si>
    <t>Auto Falante Xiaomi Redmi Note 10 4G/Note 10s 4G/Poco M5s</t>
  </si>
  <si>
    <t>Auto Falante Xiaomi Redmi Note 7</t>
  </si>
  <si>
    <t>Auto Falante Xiaomi Redmi Note 8</t>
  </si>
  <si>
    <t>Auto Falante Xiaomi Redmi Note 9</t>
  </si>
  <si>
    <t>Auto Falante Moto E6i (Sem Tampa)</t>
  </si>
  <si>
    <t>Auto Falante Moto E6s (Sem Tampa)</t>
  </si>
  <si>
    <t>Auto Falante Moto G8 Power Lite (Sem Tampa)</t>
  </si>
  <si>
    <t>Auto Falante Moto G10 (Sem Tampa)</t>
  </si>
  <si>
    <t>Auto Falante Moto G20 (Sem Tampa)</t>
  </si>
  <si>
    <t>Auto Falante Moto G22 (Sem Tampa)</t>
  </si>
  <si>
    <t>Auto Falante Moto G30 (Sem Tampa)</t>
  </si>
  <si>
    <t>Auto Falante Moto E20 (Sem Tampa)</t>
  </si>
  <si>
    <t>Auto Falante Moto E7 Power (Sem Tampa)</t>
  </si>
  <si>
    <t>Auto Falante SAM A03 Core (Sem Tampa)</t>
  </si>
  <si>
    <t>Auto Falante SAM A32 5G (Sem Tampa)</t>
  </si>
  <si>
    <t>Auto Falante SAM A10 (Sem Tampa)</t>
  </si>
  <si>
    <t>Auto Falante SAM A20 (Sem Tampa)</t>
  </si>
  <si>
    <t>Auto Falante SAM A21s (Sem Tampa)</t>
  </si>
  <si>
    <t>Auto Falante SAM A22 4G (Sem Tampa)</t>
  </si>
  <si>
    <t>Auto Falante SAM A30 (Sem Tampa)</t>
  </si>
  <si>
    <t>Auto Falante SAM A50 (Sem Tampa)</t>
  </si>
  <si>
    <t>Auto Falante SAM A30s (Sem Tampa)</t>
  </si>
  <si>
    <t>Auto Falante SAM A31 (Sem Tampa)</t>
  </si>
  <si>
    <t>Auto Falante SAM A02 (Sem Tampa)</t>
  </si>
  <si>
    <t>Auto Falante SAM A12 (Sem Tampa)</t>
  </si>
  <si>
    <t>Auto Falante SAM A32 4G (Sem Tampa)</t>
  </si>
  <si>
    <t>Auto Falante SAM A13 4G (Sem Tampa)</t>
  </si>
  <si>
    <t>Auto Falante SAM A13 5G (Sem Tampa)</t>
  </si>
  <si>
    <t>Auto Falante SAM A23 4G (Sem Tampa)</t>
  </si>
  <si>
    <t>Auto Falante SAM A23 5G (Sem Tampa)</t>
  </si>
  <si>
    <t>Auto Falante SAM J4 Core (Sem Tampa)</t>
  </si>
  <si>
    <t>Auto Falante SAM J4+ (Sem Tampa)</t>
  </si>
  <si>
    <t>Auto Falante SAM J4 Plus (Sem Tampa)</t>
  </si>
  <si>
    <t>Auto Falante SAM A01 Core (Sem Tampa)</t>
  </si>
  <si>
    <t>Auto Falante SAM M10 (Sem Tampa)</t>
  </si>
  <si>
    <t>Auto Falante SAM M20 (Sem Tampa)</t>
  </si>
  <si>
    <t>Auto Falante SAM M21s (Sem Tampa)</t>
  </si>
  <si>
    <t>Auto Falante SAM M30 (Sem Tampa)</t>
  </si>
  <si>
    <t>Auto Falante SAM M31 (Sem Tampa)</t>
  </si>
  <si>
    <t>Auto Falante Moto E7 Power (Com Tampa)</t>
  </si>
  <si>
    <t>Auto Falante Moto G10 (Com Tampa)</t>
  </si>
  <si>
    <t>Auto Falante Moto G20 (Com Tampa)</t>
  </si>
  <si>
    <t>Auto Falante Moto G30 (Com Tampa)</t>
  </si>
  <si>
    <t>Auto Falante Moto G7 (Com Tampa)</t>
  </si>
  <si>
    <t>Auto Falante Moto G7 Plus (Com Tampa)</t>
  </si>
  <si>
    <t>Auto Falante Moto G9 Plus (Com Tampa)</t>
  </si>
  <si>
    <t>Auto Falante SAM A03 Core (Com Tampa)</t>
  </si>
  <si>
    <t>Auto Falante E6i (Sem Tampa)</t>
  </si>
  <si>
    <t>Auto Falante E6s (Sem Tampa)</t>
  </si>
  <si>
    <t>Auto Falante G8 Power Lite (Sem Tampa)</t>
  </si>
  <si>
    <t>Auto Falante G10 (Sem Tampa)</t>
  </si>
  <si>
    <t>Auto Falante G20 (Sem Tampa)</t>
  </si>
  <si>
    <t>Auto Falante G22 (Sem Tampa)</t>
  </si>
  <si>
    <t>Auto Falante G30 (Sem Tampa)</t>
  </si>
  <si>
    <t>Auto Falante E20 (Sem Tampa)</t>
  </si>
  <si>
    <t>Auto Falante E7 Power (Sem Tampa)</t>
  </si>
  <si>
    <t>Auto Falante A03 Core (Sem Tampa)</t>
  </si>
  <si>
    <t>Auto Falante A32 5G (Sem Tampa)</t>
  </si>
  <si>
    <t>Auto Falante A10 (Sem Tampa)</t>
  </si>
  <si>
    <t>Auto Falante A20 (Sem Tampa)</t>
  </si>
  <si>
    <t>Auto Falante A21s (Sem Tampa)</t>
  </si>
  <si>
    <t>Auto Falante A22 4G (Sem Tampa)</t>
  </si>
  <si>
    <t>Auto Falante A30 (Sem Tampa)</t>
  </si>
  <si>
    <t>Auto Falante A50 (Sem Tampa)</t>
  </si>
  <si>
    <t>Auto Falante A30s (Sem Tampa)</t>
  </si>
  <si>
    <t>Auto Falante A31 (Sem Tampa)</t>
  </si>
  <si>
    <t>Auto Falante A02 (Sem Tampa)</t>
  </si>
  <si>
    <t>Auto Falante A12 (Sem Tampa)</t>
  </si>
  <si>
    <t>Auto Falante A32 4G (Sem Tampa)</t>
  </si>
  <si>
    <t>Auto Falante A13 4G (Sem Tampa)</t>
  </si>
  <si>
    <t>Auto Falante A13 5G (Sem Tampa)</t>
  </si>
  <si>
    <t>Auto Falante A23 4G (Sem Tampa)</t>
  </si>
  <si>
    <t>Auto Falante A23 5G (Sem Tampa)</t>
  </si>
  <si>
    <t>Auto Falante J4 Core (Sem Tampa)</t>
  </si>
  <si>
    <t>Auto Falante J4+ (Sem Tampa)</t>
  </si>
  <si>
    <t>Auto Falante J4 Plus (Sem Tampa)</t>
  </si>
  <si>
    <t>Auto Falante A01 Core (Sem Tampa)</t>
  </si>
  <si>
    <t>Auto Falante M10 (Sem Tampa)</t>
  </si>
  <si>
    <t>Auto Falante M20 (Sem Tampa)</t>
  </si>
  <si>
    <t>Auto Falante M21s (Sem Tampa)</t>
  </si>
  <si>
    <t>Auto Falante M30 (Sem Tampa)</t>
  </si>
  <si>
    <t>Auto Falante M31 (Sem Tampa)</t>
  </si>
  <si>
    <t>Auto Falante E7 Power (Com Tampa)</t>
  </si>
  <si>
    <t>Auto Falante G10 (Com Tampa)</t>
  </si>
  <si>
    <t>Auto Falante G20 (Com Tampa)</t>
  </si>
  <si>
    <t>Auto Falante G30 (Com Tampa)</t>
  </si>
  <si>
    <t>Auto Falante G7 (Com Tampa)</t>
  </si>
  <si>
    <t>Auto Falante G7 Plus (Com Tampa)</t>
  </si>
  <si>
    <t>Auto Falante G9 Plus (Com Tampa)</t>
  </si>
  <si>
    <t>Auto Falante A03 Core (Com Tampa)</t>
  </si>
  <si>
    <t>Auto Falante iPhone XR (Campainha)</t>
  </si>
  <si>
    <t>Auto Falante Moto E4 Plus (Campainha)</t>
  </si>
  <si>
    <t>Auto Falante Moto E6 Plus (Campainha)</t>
  </si>
  <si>
    <t>Auto Falante Moto E6s (Campainha)</t>
  </si>
  <si>
    <t>Auto Falante Moto E6i (Campainha)</t>
  </si>
  <si>
    <t>Auto Falante Moto E7 (Campainha)</t>
  </si>
  <si>
    <t>Auto Falante Moto E7 Plus (Campainha)</t>
  </si>
  <si>
    <t>Auto Falante Moto G04 (Campainha)</t>
  </si>
  <si>
    <t>Auto Falante Moto G04s (Campainha)</t>
  </si>
  <si>
    <t>Auto Falante Moto G34 (Campainha)</t>
  </si>
  <si>
    <t>Auto Falante Moto G52 (Campainha)</t>
  </si>
  <si>
    <t>Auto Falante Moto G5s (Campainha)</t>
  </si>
  <si>
    <t>Auto Falante Moto G5s Plus (Campainha)</t>
  </si>
  <si>
    <t>Auto Falante Moto G60 (Campainha)</t>
  </si>
  <si>
    <t>Auto Falante Moto G60s (Campainha)</t>
  </si>
  <si>
    <t>Auto Falante Moto G8 (Campainha)</t>
  </si>
  <si>
    <t>Auto Falante Moto G8 Play (Campainha)</t>
  </si>
  <si>
    <t>Auto Falante Moto G8 Plus (Campainha)</t>
  </si>
  <si>
    <t>Auto Falante XR (Campainha)</t>
  </si>
  <si>
    <t>Auto Falante E4 Plus (Campainha)</t>
  </si>
  <si>
    <t>Auto Falante E6 Plus (Campainha)</t>
  </si>
  <si>
    <t>Auto Falante E6s (Campainha)</t>
  </si>
  <si>
    <t>Auto Falante E6i (Campainha)</t>
  </si>
  <si>
    <t>Auto Falante E7 (Campainha)</t>
  </si>
  <si>
    <t>Auto Falante E7 Plus (Campainha)</t>
  </si>
  <si>
    <t>Auto Falante G04 (Campainha)</t>
  </si>
  <si>
    <t>Auto Falante G04s (Campainha)</t>
  </si>
  <si>
    <t>Auto Falante G34 (Campainha)</t>
  </si>
  <si>
    <t>Auto Falante G52 (Campainha)</t>
  </si>
  <si>
    <t>Auto Falante G5s (Campainha)</t>
  </si>
  <si>
    <t>Auto Falante G5s Plus (Campainha)</t>
  </si>
  <si>
    <t>Auto Falante G60 (Campainha)</t>
  </si>
  <si>
    <t>Auto Falante G60s (Campainha)</t>
  </si>
  <si>
    <t>Auto Falante G8 (Campainha)</t>
  </si>
  <si>
    <t>Auto Falante G8 Play (Campainha)</t>
  </si>
  <si>
    <t>Auto Falante G8 Plus (Campainha)</t>
  </si>
  <si>
    <t>Cola B7000 Transparente (110ml)</t>
  </si>
  <si>
    <t>Cola T7000 Preta (110ml)</t>
  </si>
  <si>
    <t>Redmi Note 12/Poco X5 - incell</t>
  </si>
  <si>
    <t>Redmi Note 12/Poco X5 - original</t>
  </si>
  <si>
    <t>Redmi Note 12 5G/Poco X5 - incell c/aro</t>
  </si>
  <si>
    <t>Redmi Note 12 5G/Poco X5 - orig c/aro</t>
  </si>
  <si>
    <t xml:space="preserve">Poco X5 - incell  = R$ </t>
  </si>
  <si>
    <t xml:space="preserve">Poco X5 - original = R$ </t>
  </si>
  <si>
    <t>Poco X5 sem aro incell</t>
  </si>
  <si>
    <t>Poco X5 com aro original</t>
  </si>
  <si>
    <t>Poco X5 com aro incell</t>
  </si>
  <si>
    <t>Poco X5 incell sem aro</t>
  </si>
  <si>
    <t>Poco X5 incell com aro</t>
  </si>
  <si>
    <t>Poco X5 sem aro original</t>
  </si>
  <si>
    <t>Poco X5 original sem aro</t>
  </si>
  <si>
    <t>Poco X5 original com aro</t>
  </si>
  <si>
    <t>Poco X5 sem aro OLED</t>
  </si>
  <si>
    <t>Poco X5 com aro OLED</t>
  </si>
  <si>
    <t>Poco X5 OLED sem aro</t>
  </si>
  <si>
    <t>Poco X5 OLED com aro</t>
  </si>
  <si>
    <t>Note 12 Pro 5G/Poco X5 Pro - incell c/aro</t>
  </si>
  <si>
    <t>Note 12 Pro 5G/Poco X5 Pro - original c/aro</t>
  </si>
  <si>
    <t>Note 12 Pro 5G/Poco X5 Pro - Nacional c/aro</t>
  </si>
  <si>
    <t xml:space="preserve">Poco X5 Pro - incell c/aro = </t>
  </si>
  <si>
    <t xml:space="preserve">Poco X5 Pro - orig c/aro = </t>
  </si>
  <si>
    <t>Poco X5 Pro incell sem aro</t>
  </si>
  <si>
    <t>Poco X5 Pro original sem aro</t>
  </si>
  <si>
    <t>Poco X5 Pro incell com aro</t>
  </si>
  <si>
    <t>Poco X5 Pro com aro incell</t>
  </si>
  <si>
    <t>Poco X5 Pro com aro original</t>
  </si>
  <si>
    <t>Poco X5 Pro original com aro</t>
  </si>
  <si>
    <t>Poco X5 Pro com aro OLED</t>
  </si>
  <si>
    <t>Poco X5 Pro OLED com aro</t>
  </si>
  <si>
    <t>Poco X5 Pro com aro Nacional</t>
  </si>
  <si>
    <t>Poco X5 Pro Nacional com aro</t>
  </si>
  <si>
    <t>Auricular Moto G5</t>
  </si>
  <si>
    <t>Auricular Moto G6 Play</t>
  </si>
  <si>
    <t>Auricular Moto G6 Plus</t>
  </si>
  <si>
    <t>Auricular Moto E6 Play</t>
  </si>
  <si>
    <t>Auricular Moto G5 Plus</t>
  </si>
  <si>
    <t>Auricular Moto G6</t>
  </si>
  <si>
    <t>Auricular Moto G4 Play</t>
  </si>
  <si>
    <t>Auricular Moto G4 Plus</t>
  </si>
  <si>
    <t>Auricular Moto E5</t>
  </si>
  <si>
    <t>Auricular Moto G7 Play (Buzzer)</t>
  </si>
  <si>
    <t>Auricular Moto G7 Power (Buzzer)</t>
  </si>
  <si>
    <t>Auricular Moto G8 Plus (Buzzer)</t>
  </si>
  <si>
    <t>Auricular Moto G8 Power (Buzzer)</t>
  </si>
  <si>
    <t>Auricular iPhone X</t>
  </si>
  <si>
    <t>Auricular iPhone 7 Plus</t>
  </si>
  <si>
    <t>Auricular iPhone 8 Plus</t>
  </si>
  <si>
    <t>Auricular iPhone 7</t>
  </si>
  <si>
    <t>Auricular iPhone 8</t>
  </si>
  <si>
    <t>Auricular LG K8 2017</t>
  </si>
  <si>
    <t>Auricular LG K9</t>
  </si>
  <si>
    <t>Auricular LG K11 Plus</t>
  </si>
  <si>
    <t>Auricular SAM A11</t>
  </si>
  <si>
    <t>Auricular Moto G5s</t>
  </si>
  <si>
    <t>Auricular Moto G5s Plus</t>
  </si>
  <si>
    <t>Auricular Moto E20</t>
  </si>
  <si>
    <t>Auricular Moto G7</t>
  </si>
  <si>
    <t>Auricular Moto G7 Plus</t>
  </si>
  <si>
    <t>Auricular Moto G8</t>
  </si>
  <si>
    <t>Auricular Moto G8 Play</t>
  </si>
  <si>
    <t>Auricular Moto G8 Power Lite</t>
  </si>
  <si>
    <t>Auricular Moto G9 Play</t>
  </si>
  <si>
    <t>Auricular Moto G9 Plus</t>
  </si>
  <si>
    <t>Auricular Moto G10</t>
  </si>
  <si>
    <t>Auricular Moto G20</t>
  </si>
  <si>
    <t>Auricular Moto G22</t>
  </si>
  <si>
    <t>Auricular Moto G30</t>
  </si>
  <si>
    <t>Auricular SAM A10s</t>
  </si>
  <si>
    <t>Auricular SAM A20s</t>
  </si>
  <si>
    <t>Auricular SAM A01</t>
  </si>
  <si>
    <t>Auricular SAM A03 Core</t>
  </si>
  <si>
    <t>Auricular SAM A03s</t>
  </si>
  <si>
    <t>Auricular SAM A03</t>
  </si>
  <si>
    <t>Auricular SAM A02s</t>
  </si>
  <si>
    <t>Auricular Moto G31</t>
  </si>
  <si>
    <t>Auricular Moto G41</t>
  </si>
  <si>
    <t>Auricular Moto G71</t>
  </si>
  <si>
    <t>Auricular Moto G52</t>
  </si>
  <si>
    <t>Auricular Moto G82</t>
  </si>
  <si>
    <t>Auricular SAM A04E</t>
  </si>
  <si>
    <t>Auricular SAM A32 4G</t>
  </si>
  <si>
    <t>Auricular SAM A21s</t>
  </si>
  <si>
    <t>Auricular SAM A22 4G</t>
  </si>
  <si>
    <t>Auricular SAM A31</t>
  </si>
  <si>
    <t>Auricular SAM A80</t>
  </si>
  <si>
    <t>Auricular SAM A10</t>
  </si>
  <si>
    <t>Auricular SAM A90</t>
  </si>
  <si>
    <t>Auricular SAM M10</t>
  </si>
  <si>
    <t>Auricular SAM A32 5G</t>
  </si>
  <si>
    <t>Auricular SAM J5 Prime</t>
  </si>
  <si>
    <t>Auricular SAM A20</t>
  </si>
  <si>
    <t>Auricular SAM A12</t>
  </si>
  <si>
    <t>Auricular SAM A30</t>
  </si>
  <si>
    <t>Auricular SAM A30s</t>
  </si>
  <si>
    <t>Auricular SAM A50</t>
  </si>
  <si>
    <t>Auricular SAM A60</t>
  </si>
  <si>
    <t>Auricular SAM M20</t>
  </si>
  <si>
    <t>Auricular SAM A70</t>
  </si>
  <si>
    <t>Auricular SAM M21s</t>
  </si>
  <si>
    <t>Auricular SAM M30</t>
  </si>
  <si>
    <t>Auricular SAM M30s</t>
  </si>
  <si>
    <t>Auricular SAM M31</t>
  </si>
  <si>
    <t>Auricular SAM A7 2018</t>
  </si>
  <si>
    <t>Auricular SAM A750</t>
  </si>
  <si>
    <t>Auricular SAM A51</t>
  </si>
  <si>
    <t>Auricular SAM A71</t>
  </si>
  <si>
    <t>Auricular SAM J3</t>
  </si>
  <si>
    <t>Auricular SAM J4</t>
  </si>
  <si>
    <t>Auricular SAM J400</t>
  </si>
  <si>
    <t>Auricular SAM J5</t>
  </si>
  <si>
    <t>Auricular SAM J500</t>
  </si>
  <si>
    <t>Auricular SAM J7</t>
  </si>
  <si>
    <t>Auricular SAM J700</t>
  </si>
  <si>
    <t>Auricular SAM J7 Prime</t>
  </si>
  <si>
    <t>Auricular SAM J5 Metal</t>
  </si>
  <si>
    <t>Auricular SAM J510</t>
  </si>
  <si>
    <t>Auricular SAM J7 Metal</t>
  </si>
  <si>
    <t>Auricular SAM J710</t>
  </si>
  <si>
    <t>Auricular SAM J4 Plus</t>
  </si>
  <si>
    <t>Auricular SAM J4 Core</t>
  </si>
  <si>
    <t>Auricular SAM J4+</t>
  </si>
  <si>
    <t>Auricular SAM J8</t>
  </si>
  <si>
    <t>Auricular SAM J800</t>
  </si>
  <si>
    <t>Auricular SAM J8 Plus</t>
  </si>
  <si>
    <t>Auricular SAM J7 Pro</t>
  </si>
  <si>
    <t>Auricular SAM J730</t>
  </si>
  <si>
    <t>Auricular SAM J600</t>
  </si>
  <si>
    <t>Auricular SAM J5 Pro</t>
  </si>
  <si>
    <t>Auricular SAM J530</t>
  </si>
  <si>
    <t>Auricular SAM J5 Prime/A20/A12/A30/A30s/A50/A60/A70/M20/M21s/M30/M30s/M31/A7 2018 (A750)/A51/A71/J3/J4/J5/J7/J7 Prime/J5 Metal (J510)/J7 Metal (J710)/J4 Plus</t>
  </si>
  <si>
    <t>Auricular A11</t>
  </si>
  <si>
    <t>Auricular A10s</t>
  </si>
  <si>
    <t>Auricular A20s</t>
  </si>
  <si>
    <t>Auricular A01</t>
  </si>
  <si>
    <t>Auricular A03</t>
  </si>
  <si>
    <t>Auricular A03 Core</t>
  </si>
  <si>
    <t>Auricular A03s</t>
  </si>
  <si>
    <t>Auricular A02s</t>
  </si>
  <si>
    <t>Auricular A04E</t>
  </si>
  <si>
    <t>Auricular A32 4G</t>
  </si>
  <si>
    <t>Auricular A21s</t>
  </si>
  <si>
    <t>Auricular A22 4G</t>
  </si>
  <si>
    <t>Auricular A31</t>
  </si>
  <si>
    <t>Auricular A54</t>
  </si>
  <si>
    <t>Auricular A80</t>
  </si>
  <si>
    <t>Auricular A10</t>
  </si>
  <si>
    <t>Auricular A90</t>
  </si>
  <si>
    <t>Auricular M10</t>
  </si>
  <si>
    <t>Auricular A32 5G</t>
  </si>
  <si>
    <t>Auricular J5 Prime</t>
  </si>
  <si>
    <t>Auricular A20</t>
  </si>
  <si>
    <t>Auricular A12</t>
  </si>
  <si>
    <t>Auricular A30</t>
  </si>
  <si>
    <t>Auricular A30s</t>
  </si>
  <si>
    <t>Auricular A50</t>
  </si>
  <si>
    <t>Auricular A60</t>
  </si>
  <si>
    <t>Auricular A70</t>
  </si>
  <si>
    <t>Auricular M20</t>
  </si>
  <si>
    <t>Auricular M21s</t>
  </si>
  <si>
    <t>Auricular M30</t>
  </si>
  <si>
    <t>Auricular M30s</t>
  </si>
  <si>
    <t>Auricular M31</t>
  </si>
  <si>
    <t>Auricular A7 2018</t>
  </si>
  <si>
    <t>Auricular A750</t>
  </si>
  <si>
    <t>Auricular A51</t>
  </si>
  <si>
    <t>Auricular A71</t>
  </si>
  <si>
    <t>Auricular J3</t>
  </si>
  <si>
    <t>Auricular J4</t>
  </si>
  <si>
    <t>Auricular J400</t>
  </si>
  <si>
    <t>Auricular J5</t>
  </si>
  <si>
    <t>Auricular J500</t>
  </si>
  <si>
    <t>Auricular J7</t>
  </si>
  <si>
    <t>Auricular J700</t>
  </si>
  <si>
    <t>Auricular J7 Prime</t>
  </si>
  <si>
    <t>Auricular J5 Metal</t>
  </si>
  <si>
    <t>Auricular J510</t>
  </si>
  <si>
    <t>Auricular J7 Metal</t>
  </si>
  <si>
    <t>Auricular J710</t>
  </si>
  <si>
    <t>Auricular J4 Plus</t>
  </si>
  <si>
    <t>Auricular J4 Core</t>
  </si>
  <si>
    <t>Auricular J4+</t>
  </si>
  <si>
    <t>Auricular J8</t>
  </si>
  <si>
    <t>Auricular J800</t>
  </si>
  <si>
    <t>Auricular J8 Plus</t>
  </si>
  <si>
    <t>Auricular J7 Pro</t>
  </si>
  <si>
    <t>Auricular J730</t>
  </si>
  <si>
    <t>Auricular J600</t>
  </si>
  <si>
    <t>Auricular J5 Pro</t>
  </si>
  <si>
    <t>Auricular J530</t>
  </si>
  <si>
    <t>Auricular G5</t>
  </si>
  <si>
    <t>Auricular G6</t>
  </si>
  <si>
    <t>Auricular G6 Play</t>
  </si>
  <si>
    <t>Auricular G6 Plus</t>
  </si>
  <si>
    <t>Auricular E6 Play</t>
  </si>
  <si>
    <t>Auricular G5 Plus</t>
  </si>
  <si>
    <t>Auricular G4 Play</t>
  </si>
  <si>
    <t>Auricular G4 Plus</t>
  </si>
  <si>
    <t>Auricular E5</t>
  </si>
  <si>
    <t>Auricular G7 Play (Buzzer)</t>
  </si>
  <si>
    <t>Auricular G7 Power (Buzzer)</t>
  </si>
  <si>
    <t>Auricular G8 Plus (Buzzer)</t>
  </si>
  <si>
    <t>Auricular G8 Power (Buzzer)</t>
  </si>
  <si>
    <t>Auricular G5s</t>
  </si>
  <si>
    <t>Auricular G5s Plus</t>
  </si>
  <si>
    <t>Auricular E20</t>
  </si>
  <si>
    <t>Auricular G7</t>
  </si>
  <si>
    <t>Auricular G7 Plus</t>
  </si>
  <si>
    <t>Auricular G8</t>
  </si>
  <si>
    <t>Auricular G8 Play</t>
  </si>
  <si>
    <t>Auricular G8 Power Lite</t>
  </si>
  <si>
    <t>Auricular G9 Play</t>
  </si>
  <si>
    <t>Auricular G9 Plus</t>
  </si>
  <si>
    <t>Auricular G10</t>
  </si>
  <si>
    <t>Auricular G20</t>
  </si>
  <si>
    <t>Auricular G22</t>
  </si>
  <si>
    <t>Auricular G30</t>
  </si>
  <si>
    <t>Auricular E7 Power</t>
  </si>
  <si>
    <t>Auricular G31</t>
  </si>
  <si>
    <t>Auricular G41</t>
  </si>
  <si>
    <t>Auricular G71</t>
  </si>
  <si>
    <t>Auricular G52</t>
  </si>
  <si>
    <t>Auricular G82</t>
  </si>
  <si>
    <t>Auricular One Fusion</t>
  </si>
  <si>
    <t>Auricular One Macro</t>
  </si>
  <si>
    <t>Auricular X</t>
  </si>
  <si>
    <t>Auricular 13 Pro Max</t>
  </si>
  <si>
    <t>Auricular 7</t>
  </si>
  <si>
    <t>Auricular 8</t>
  </si>
  <si>
    <t>Auricular 7 Plus</t>
  </si>
  <si>
    <t>Auricular 8 Plus</t>
  </si>
  <si>
    <t>Auricular Redmi Note 8</t>
  </si>
  <si>
    <t>Auto Falante Moto G5 (Auricular)</t>
  </si>
  <si>
    <t>Auto Falante Moto G6 (Auricular)</t>
  </si>
  <si>
    <t>Auto Falante Moto G6 Play (Auricular)</t>
  </si>
  <si>
    <t>Auto Falante Moto G6 Plus (Auricular)</t>
  </si>
  <si>
    <t>Auto Falante Moto E6 Play (Auricular)</t>
  </si>
  <si>
    <t>Auto Falante Moto G5 Plus (Auricular)</t>
  </si>
  <si>
    <t>Auto Falante Moto G4 Play (Auricular)</t>
  </si>
  <si>
    <t>Auto Falante Moto G4 Plus (Auricular)</t>
  </si>
  <si>
    <t>Auto Falante Moto E5 (Auricular)</t>
  </si>
  <si>
    <t>Auto Falante Moto G7 Play (Buzzer) (Auricular)</t>
  </si>
  <si>
    <t>Auto Falante Moto G7 Power (Buzzer) (Auricular)</t>
  </si>
  <si>
    <t>Auto Falante Moto G8 Plus (Buzzer) (Auricular)</t>
  </si>
  <si>
    <t>Auto Falante Moto G8 Power (Buzzer) (Auricular)</t>
  </si>
  <si>
    <t>Auto Falante iPhone X (Auricular)</t>
  </si>
  <si>
    <t>Auto Falante iPhone 13 Pro Max (Auricular)</t>
  </si>
  <si>
    <t>Auto Falante iPhone 7 (Auricular)</t>
  </si>
  <si>
    <t>Auto Falante iPhone 8 (Auricular)</t>
  </si>
  <si>
    <t>Auto Falante iPhone 7 Plus (Auricular)</t>
  </si>
  <si>
    <t>Auto Falante iPhone 8 Plus (Auricular)</t>
  </si>
  <si>
    <t>Auto Falante LG K8 2017 (Auricular)</t>
  </si>
  <si>
    <t>Auto Falante LG K9 (Auricular)</t>
  </si>
  <si>
    <t>Auto Falante LG K11 Plus (Auricular)</t>
  </si>
  <si>
    <t>Auto Falante SAM A11 (Auricular)</t>
  </si>
  <si>
    <t>Auto Falante Moto G5s (Auricular)</t>
  </si>
  <si>
    <t>Auto Falante Moto G5s Plus (Auricular)</t>
  </si>
  <si>
    <t>Auto Falante Moto E20 (Auricular)</t>
  </si>
  <si>
    <t>Auto Falante Moto G7 (Auricular)</t>
  </si>
  <si>
    <t>Auto Falante Moto G7 Plus (Auricular)</t>
  </si>
  <si>
    <t>Auto Falante Moto G8 (Auricular)</t>
  </si>
  <si>
    <t>Auto Falante Moto G8 Play (Auricular)</t>
  </si>
  <si>
    <t>Auto Falante Moto G8 Power Lite (Auricular)</t>
  </si>
  <si>
    <t>Auto Falante Moto G9 Play (Auricular)</t>
  </si>
  <si>
    <t>Auto Falante Moto G9 Plus (Auricular)</t>
  </si>
  <si>
    <t>Auto Falante Moto G10 (Auricular)</t>
  </si>
  <si>
    <t>Auto Falante Moto G20 (Auricular)</t>
  </si>
  <si>
    <t>Auto Falante Moto G22 (Auricular)</t>
  </si>
  <si>
    <t>Auto Falante Moto G30 (Auricular)</t>
  </si>
  <si>
    <t>Auto Falante SAM A10s (Auricular)</t>
  </si>
  <si>
    <t>Auto Falante SAM A20s (Auricular)</t>
  </si>
  <si>
    <t>Auto Falante SAM A01 (Auricular)</t>
  </si>
  <si>
    <t>Auto Falante SAM A03 (Auricular)</t>
  </si>
  <si>
    <t>Auto Falante SAM A03 Core (Auricular)</t>
  </si>
  <si>
    <t>Auto Falante SAM A03s (Auricular)</t>
  </si>
  <si>
    <t>Auto Falante SAM A02s (Auricular)</t>
  </si>
  <si>
    <t>Auto Falante Moto E7 Power (Auricular)</t>
  </si>
  <si>
    <t>Auto Falante Moto G31 (Auricular)</t>
  </si>
  <si>
    <t>Auto Falante Moto G41 (Auricular)</t>
  </si>
  <si>
    <t>Auto Falante Moto G71 (Auricular)</t>
  </si>
  <si>
    <t>Auto Falante Moto G52 (Auricular)</t>
  </si>
  <si>
    <t>Auto Falante Moto G82 (Auricular)</t>
  </si>
  <si>
    <t>Auto Falante Moto One Fusion (Auricular)</t>
  </si>
  <si>
    <t>Auto Falante Moto One Macro (Auricular)</t>
  </si>
  <si>
    <t>Auto Falante SAM A04E (Auricular)</t>
  </si>
  <si>
    <t>Auto Falante SAM A32 4G (Auricular)</t>
  </si>
  <si>
    <t>Auto Falante SAM A21s (Auricular)</t>
  </si>
  <si>
    <t>Auto Falante SAM A22 4G (Auricular)</t>
  </si>
  <si>
    <t>Auto Falante SAM A31 (Auricular)</t>
  </si>
  <si>
    <t>Auto Falante SAM A54 (Auricular)</t>
  </si>
  <si>
    <t>Auto Falante SAM A80 (Auricular)</t>
  </si>
  <si>
    <t>Auto Falante SAM A10 (Auricular)</t>
  </si>
  <si>
    <t>Auto Falante SAM A90 (Auricular)</t>
  </si>
  <si>
    <t>Auto Falante SAM M10 (Auricular)</t>
  </si>
  <si>
    <t>Auto Falante SAM A32 5G (Auricular)</t>
  </si>
  <si>
    <t>Auto Falante SAM J5 Prime (Auricular)</t>
  </si>
  <si>
    <t>Auto Falante SAM A20 (Auricular)</t>
  </si>
  <si>
    <t>Auto Falante SAM A12 (Auricular)</t>
  </si>
  <si>
    <t>Auto Falante SAM A30 (Auricular)</t>
  </si>
  <si>
    <t>Auto Falante SAM A30s (Auricular)</t>
  </si>
  <si>
    <t>Auto Falante SAM A50 (Auricular)</t>
  </si>
  <si>
    <t>Auto Falante SAM A60 (Auricular)</t>
  </si>
  <si>
    <t>Auto Falante SAM A70 (Auricular)</t>
  </si>
  <si>
    <t>Auto Falante SAM M20 (Auricular)</t>
  </si>
  <si>
    <t>Auto Falante SAM M21s (Auricular)</t>
  </si>
  <si>
    <t>Auto Falante SAM M30 (Auricular)</t>
  </si>
  <si>
    <t>Auto Falante SAM M30s (Auricular)</t>
  </si>
  <si>
    <t>Auto Falante SAM M31 (Auricular)</t>
  </si>
  <si>
    <t>Auto Falante SAM A7 2018 (Auricular)</t>
  </si>
  <si>
    <t>Auto Falante SAM A750 (Auricular)</t>
  </si>
  <si>
    <t>Auto Falante SAM A51 (Auricular)</t>
  </si>
  <si>
    <t>Auto Falante SAM A71 (Auricular)</t>
  </si>
  <si>
    <t>Auto Falante SAM J3 (Auricular)</t>
  </si>
  <si>
    <t>Auto Falante SAM J4 (Auricular)</t>
  </si>
  <si>
    <t>Auto Falante SAM J400 (Auricular)</t>
  </si>
  <si>
    <t>Auto Falante SAM J5 (Auricular)</t>
  </si>
  <si>
    <t>Auto Falante SAM J500 (Auricular)</t>
  </si>
  <si>
    <t>Auto Falante SAM J7 (Auricular)</t>
  </si>
  <si>
    <t>Auto Falante SAM J700 (Auricular)</t>
  </si>
  <si>
    <t>Auto Falante SAM J7 Prime (Auricular)</t>
  </si>
  <si>
    <t>Auto Falante SAM J5 Metal (Auricular)</t>
  </si>
  <si>
    <t>Auto Falante SAM J510 (Auricular)</t>
  </si>
  <si>
    <t>Auto Falante SAM J7 Metal (Auricular)</t>
  </si>
  <si>
    <t>Auto Falante SAM J710 (Auricular)</t>
  </si>
  <si>
    <t>Auto Falante SAM J4 Plus (Auricular)</t>
  </si>
  <si>
    <t>Auto Falante SAM J4 Core (Auricular)</t>
  </si>
  <si>
    <t>Auto Falante SAM J4+ (Auricular)</t>
  </si>
  <si>
    <t>Auto Falante SAM J8 (Auricular)</t>
  </si>
  <si>
    <t>Auto Falante SAM J800 (Auricular)</t>
  </si>
  <si>
    <t>Auto Falante SAM J8 Plus (Auricular)</t>
  </si>
  <si>
    <t>Auto Falante SAM J7 Pro (Auricular)</t>
  </si>
  <si>
    <t>Auto Falante SAM J730 (Auricular)</t>
  </si>
  <si>
    <t>Auto Falante SAM J600 (Auricular)</t>
  </si>
  <si>
    <t>Auto Falante SAM J5 Pro (Auricular)</t>
  </si>
  <si>
    <t>Auto Falante SAM J530 (Auricular)</t>
  </si>
  <si>
    <t>Auto Falante Xiaomi Redmi Note 8 (Auricular)</t>
  </si>
  <si>
    <t>Auto Falante G5 (Auricular)</t>
  </si>
  <si>
    <t>Auto Falante G6 (Auricular)</t>
  </si>
  <si>
    <t>Auto Falante G6 Play (Auricular)</t>
  </si>
  <si>
    <t>Auto Falante G6 Plus (Auricular)</t>
  </si>
  <si>
    <t>Auto Falante E6 Play (Auricular)</t>
  </si>
  <si>
    <t>Auto Falante G5 Plus (Auricular)</t>
  </si>
  <si>
    <t>Auto Falante G4 Play (Auricular)</t>
  </si>
  <si>
    <t>Auto Falante G4 Plus (Auricular)</t>
  </si>
  <si>
    <t>Auto Falante E5 (Auricular)</t>
  </si>
  <si>
    <t>Auto Falante G7 Play (Buzzer) (Auricular)</t>
  </si>
  <si>
    <t>Auto Falante G7 Power (Buzzer) (Auricular)</t>
  </si>
  <si>
    <t>Auto Falante G8 Plus (Buzzer) (Auricular)</t>
  </si>
  <si>
    <t>Auto Falante G8 Power (Buzzer) (Auricular)</t>
  </si>
  <si>
    <t>Auto Falante X (Auricular)</t>
  </si>
  <si>
    <t>Auto Falante 13 Pro Max (Auricular)</t>
  </si>
  <si>
    <t>Auto Falante 7 (Auricular)</t>
  </si>
  <si>
    <t>Auto Falante 8 (Auricular)</t>
  </si>
  <si>
    <t>Auto Falante 7 Plus (Auricular)</t>
  </si>
  <si>
    <t>Auto Falante 8 Plus (Auricular)</t>
  </si>
  <si>
    <t>Auto Falante A11 (Auricular)</t>
  </si>
  <si>
    <t>Auto Falante G5s (Auricular)</t>
  </si>
  <si>
    <t>Auto Falante G5s Plus (Auricular)</t>
  </si>
  <si>
    <t>Auto Falante E20 (Auricular)</t>
  </si>
  <si>
    <t>Auto Falante G7 (Auricular)</t>
  </si>
  <si>
    <t>Auto Falante G7 Plus (Auricular)</t>
  </si>
  <si>
    <t>Auto Falante G8 (Auricular)</t>
  </si>
  <si>
    <t>Auto Falante G8 Play (Auricular)</t>
  </si>
  <si>
    <t>Auto Falante G8 Power Lite (Auricular)</t>
  </si>
  <si>
    <t>Auto Falante G9 Play (Auricular)</t>
  </si>
  <si>
    <t>Auto Falante G9 Plus (Auricular)</t>
  </si>
  <si>
    <t>Auto Falante G10 (Auricular)</t>
  </si>
  <si>
    <t>Auto Falante G20 (Auricular)</t>
  </si>
  <si>
    <t>Auto Falante G22 (Auricular)</t>
  </si>
  <si>
    <t>Auto Falante G30 (Auricular)</t>
  </si>
  <si>
    <t>Auto Falante A10s (Auricular)</t>
  </si>
  <si>
    <t>Auto Falante A20s (Auricular)</t>
  </si>
  <si>
    <t>Auto Falante A01 (Auricular)</t>
  </si>
  <si>
    <t>Auto Falante A03 (Auricular)</t>
  </si>
  <si>
    <t>Auto Falante A03 Core (Auricular)</t>
  </si>
  <si>
    <t>Auto Falante A03s (Auricular)</t>
  </si>
  <si>
    <t>Auto Falante A02s (Auricular)</t>
  </si>
  <si>
    <t>Auto Falante E7 Power (Auricular)</t>
  </si>
  <si>
    <t>Auto Falante G31 (Auricular)</t>
  </si>
  <si>
    <t>Auto Falante G41 (Auricular)</t>
  </si>
  <si>
    <t>Auto Falante G71 (Auricular)</t>
  </si>
  <si>
    <t>Auto Falante G52 (Auricular)</t>
  </si>
  <si>
    <t>Auto Falante G82 (Auricular)</t>
  </si>
  <si>
    <t>Auto Falante One Fusion (Auricular)</t>
  </si>
  <si>
    <t>Auto Falante One Macro (Auricular)</t>
  </si>
  <si>
    <t>Auto Falante A04E (Auricular)</t>
  </si>
  <si>
    <t>Auto Falante A32 4G (Auricular)</t>
  </si>
  <si>
    <t>Auto Falante A21s (Auricular)</t>
  </si>
  <si>
    <t>Auto Falante A22 4G (Auricular)</t>
  </si>
  <si>
    <t>Auto Falante A31 (Auricular)</t>
  </si>
  <si>
    <t>Auto Falante A54 (Auricular)</t>
  </si>
  <si>
    <t>Auto Falante A80 (Auricular)</t>
  </si>
  <si>
    <t>Auto Falante A10 (Auricular)</t>
  </si>
  <si>
    <t>Auto Falante A90 (Auricular)</t>
  </si>
  <si>
    <t>Auto Falante M10 (Auricular)</t>
  </si>
  <si>
    <t>Auto Falante A32 5G (Auricular)</t>
  </si>
  <si>
    <t>Auto Falante J5 Prime (Auricular)</t>
  </si>
  <si>
    <t>Auto Falante A20 (Auricular)</t>
  </si>
  <si>
    <t>Auto Falante A12 (Auricular)</t>
  </si>
  <si>
    <t>Auto Falante A30 (Auricular)</t>
  </si>
  <si>
    <t>Auto Falante A30s (Auricular)</t>
  </si>
  <si>
    <t>Auto Falante A50 (Auricular)</t>
  </si>
  <si>
    <t>Auto Falante A60 (Auricular)</t>
  </si>
  <si>
    <t>Auto Falante A70 (Auricular)</t>
  </si>
  <si>
    <t>Auto Falante M20 (Auricular)</t>
  </si>
  <si>
    <t>Auto Falante M21s (Auricular)</t>
  </si>
  <si>
    <t>Auto Falante M30 (Auricular)</t>
  </si>
  <si>
    <t>Auto Falante M30s (Auricular)</t>
  </si>
  <si>
    <t>Auto Falante M31 (Auricular)</t>
  </si>
  <si>
    <t>Auto Falante A7 2018 (Auricular)</t>
  </si>
  <si>
    <t>Auto Falante A750 (Auricular)</t>
  </si>
  <si>
    <t>Auto Falante A51 (Auricular)</t>
  </si>
  <si>
    <t>Auto Falante A71 (Auricular)</t>
  </si>
  <si>
    <t>Auto Falante J3 (Auricular)</t>
  </si>
  <si>
    <t>Auto Falante J4 (Auricular)</t>
  </si>
  <si>
    <t>Auto Falante J400 (Auricular)</t>
  </si>
  <si>
    <t>Auto Falante J5 (Auricular)</t>
  </si>
  <si>
    <t>Auto Falante J500 (Auricular)</t>
  </si>
  <si>
    <t>Auto Falante J7 (Auricular)</t>
  </si>
  <si>
    <t>Auto Falante J700 (Auricular)</t>
  </si>
  <si>
    <t>Auto Falante J7 Prime (Auricular)</t>
  </si>
  <si>
    <t>Auto Falante J5 Metal (Auricular)</t>
  </si>
  <si>
    <t>Auto Falante J510 (Auricular)</t>
  </si>
  <si>
    <t>Auto Falante J7 Metal (Auricular)</t>
  </si>
  <si>
    <t>Auto Falante J710 (Auricular)</t>
  </si>
  <si>
    <t>Auto Falante J4 Plus (Auricular)</t>
  </si>
  <si>
    <t>Auto Falante J4 Core (Auricular)</t>
  </si>
  <si>
    <t>Auto Falante J4+ (Auricular)</t>
  </si>
  <si>
    <t>Auto Falante J8 (Auricular)</t>
  </si>
  <si>
    <t>Auto Falante J800 (Auricular)</t>
  </si>
  <si>
    <t>Auto Falante J8 Plus (Auricular)</t>
  </si>
  <si>
    <t>Auto Falante J7 Pro (Auricular)</t>
  </si>
  <si>
    <t>Auto Falante J730 (Auricular)</t>
  </si>
  <si>
    <t>Auto Falante J600 (Auricular)</t>
  </si>
  <si>
    <t>Auto Falante J5 Pro (Auricular)</t>
  </si>
  <si>
    <t>Auto Falante J530 (Auricular)</t>
  </si>
  <si>
    <t>Auto Falante Redmi Note 8 (Auricular)</t>
  </si>
  <si>
    <t>Camera Frontal iPhone 12</t>
  </si>
  <si>
    <t>Camera Frontal iPhone 12 Pro</t>
  </si>
  <si>
    <t>Camera Frontal iPhone 8</t>
  </si>
  <si>
    <t>Camera Frontal SE 2020</t>
  </si>
  <si>
    <t>Camera Frontal 11</t>
  </si>
  <si>
    <t>Camera Frontal 11 Pro</t>
  </si>
  <si>
    <t>Camera Frontal 11 Pro Max</t>
  </si>
  <si>
    <t>Camera Frontal 12</t>
  </si>
  <si>
    <t>Camera Frontal 12 Pro</t>
  </si>
  <si>
    <t>Camera Frontal 12 Pro Max</t>
  </si>
  <si>
    <t>Camera Frontal 13</t>
  </si>
  <si>
    <t>Camera Frontal 13 Pro</t>
  </si>
  <si>
    <t>Camera Frontal 13 Pro Max</t>
  </si>
  <si>
    <t>Camera Frontal 6</t>
  </si>
  <si>
    <t>Camera Frontal 6 Plus</t>
  </si>
  <si>
    <t>Camera Frontal 6s</t>
  </si>
  <si>
    <t>Camera Frontal 6s Plus</t>
  </si>
  <si>
    <t>Camera Frontal 7</t>
  </si>
  <si>
    <t>Camera Frontal 7 Plus</t>
  </si>
  <si>
    <t>Camera Frontal 8</t>
  </si>
  <si>
    <t>Camera Frontal 8 Plus</t>
  </si>
  <si>
    <t>Camera Frontal X</t>
  </si>
  <si>
    <t>Camera Frontal XR</t>
  </si>
  <si>
    <t>Camera Frontal XS</t>
  </si>
  <si>
    <t>Camera Frontal XS Max</t>
  </si>
  <si>
    <t>Camera Frontal A10</t>
  </si>
  <si>
    <t>Camera Frontal A21s</t>
  </si>
  <si>
    <t>Camera Frontal A30</t>
  </si>
  <si>
    <t>Camera Frontal A70</t>
  </si>
  <si>
    <t>Camera Frontal G14</t>
  </si>
  <si>
    <t>Camera Frontal G60</t>
  </si>
  <si>
    <t>Camera Frontal G9 Power</t>
  </si>
  <si>
    <t>Camera Frontal Redmi Note 8</t>
  </si>
  <si>
    <t>Camera iPhone 11 (Frontal)</t>
  </si>
  <si>
    <t>Camera iPhone 11 Pro (Frontal)</t>
  </si>
  <si>
    <t>Camera iPhone 11 Pro Max (Frontal)</t>
  </si>
  <si>
    <t>Camera iPhone 12 (Frontal)</t>
  </si>
  <si>
    <t>Camera iPhone 12 Pro (Frontal)</t>
  </si>
  <si>
    <t>Camera iPhone 12 Pro Max (Frontal)</t>
  </si>
  <si>
    <t>Camera iPhone 13 (Frontal)</t>
  </si>
  <si>
    <t>Camera iPhone 13 Pro (Frontal)</t>
  </si>
  <si>
    <t>Camera iPhone 13 Pro Max (Frontal)</t>
  </si>
  <si>
    <t>Camera iPhone 6 (Frontal)</t>
  </si>
  <si>
    <t>Camera iPhone 6 Plus (Frontal)</t>
  </si>
  <si>
    <t>Camera iPhone 6s (Frontal)</t>
  </si>
  <si>
    <t>Camera iPhone 6s Plus (Frontal)</t>
  </si>
  <si>
    <t>Camera iPhone 7 (Frontal)</t>
  </si>
  <si>
    <t>Camera iPhone 7 Plus (Frontal)</t>
  </si>
  <si>
    <t>Camera iPhone 8 (Frontal)</t>
  </si>
  <si>
    <t>Camera iPhone 8 Plus (Frontal)</t>
  </si>
  <si>
    <t>Camera SE 2020 (Frontal)</t>
  </si>
  <si>
    <t>Camera iPhone X (Frontal)</t>
  </si>
  <si>
    <t>Camera iPhone XR (Frontal)</t>
  </si>
  <si>
    <t>Camera iPhone XS (Frontal)</t>
  </si>
  <si>
    <t>Camera iPhone XS Max (Frontal)</t>
  </si>
  <si>
    <t>Camera Moto G14 (Frontal)</t>
  </si>
  <si>
    <t>Camera Moto G60 (Frontal)</t>
  </si>
  <si>
    <t>Camera Moto G9 Power (Frontal)</t>
  </si>
  <si>
    <t>Camera SAM A10 (Frontal)</t>
  </si>
  <si>
    <t>Camera SAM A21s (Frontal)</t>
  </si>
  <si>
    <t>Camera SAM A30 (Frontal)</t>
  </si>
  <si>
    <t>Camera SAM A70 (Frontal)</t>
  </si>
  <si>
    <t>Camera Xiaomi Redmi Note 8 (Frontal)</t>
  </si>
  <si>
    <t>Camera 11 (Frontal)</t>
  </si>
  <si>
    <t>Camera 11 Pro (Frontal)</t>
  </si>
  <si>
    <t>Camera 11 Pro Max (Frontal)</t>
  </si>
  <si>
    <t>Camera 12 (Frontal)</t>
  </si>
  <si>
    <t>Camera 12 Pro (Frontal)</t>
  </si>
  <si>
    <t>Camera 12 Pro Max (Frontal)</t>
  </si>
  <si>
    <t>Camera 13 (Frontal)</t>
  </si>
  <si>
    <t>Camera 13 Pro (Frontal)</t>
  </si>
  <si>
    <t>Camera 13 Pro Max (Frontal)</t>
  </si>
  <si>
    <t>Camera 6 (Frontal)</t>
  </si>
  <si>
    <t>Camera 6 Plus (Frontal)</t>
  </si>
  <si>
    <t>Camera 6s (Frontal)</t>
  </si>
  <si>
    <t>Camera 6s Plus (Frontal)</t>
  </si>
  <si>
    <t>Camera 7 (Frontal)</t>
  </si>
  <si>
    <t>Camera 7 Plus (Frontal)</t>
  </si>
  <si>
    <t>Camera 8 (Frontal)</t>
  </si>
  <si>
    <t>Camera 8 Plus (Frontal)</t>
  </si>
  <si>
    <t>Camera X (Frontal)</t>
  </si>
  <si>
    <t>Camera XR (Frontal)</t>
  </si>
  <si>
    <t>Camera XS (Frontal)</t>
  </si>
  <si>
    <t>Camera XS Max (Frontal)</t>
  </si>
  <si>
    <t>Camera G14 (Frontal)</t>
  </si>
  <si>
    <t>Camera G60 (Frontal)</t>
  </si>
  <si>
    <t>Camera G9 Power (Frontal)</t>
  </si>
  <si>
    <t>Camera A10 (Frontal)</t>
  </si>
  <si>
    <t>Camera A21s (Frontal)</t>
  </si>
  <si>
    <t>Camera A30 (Frontal)</t>
  </si>
  <si>
    <t>Camera A70 (Frontal)</t>
  </si>
  <si>
    <t>Camera Redmi Note 8 (Frontal)</t>
  </si>
  <si>
    <t>Camera Traseira G14</t>
  </si>
  <si>
    <t>Camera Traseira G30</t>
  </si>
  <si>
    <t>Camera Traseira G50</t>
  </si>
  <si>
    <t>Camera Traseira G52</t>
  </si>
  <si>
    <t>Camera Traseira iPhone 12</t>
  </si>
  <si>
    <t>Camera Traseira iPhone 12 Pro</t>
  </si>
  <si>
    <t>Camera Traseira Poco X3</t>
  </si>
  <si>
    <t>Camera Traseira SAM A02s</t>
  </si>
  <si>
    <t>Camera Traseira SAM A03s</t>
  </si>
  <si>
    <t>Camera Traseira A01</t>
  </si>
  <si>
    <t>Camera Traseira A01 Core</t>
  </si>
  <si>
    <t>Camera Traseira A02s</t>
  </si>
  <si>
    <t>Camera Traseira A03</t>
  </si>
  <si>
    <t>Camera Traseira A03s</t>
  </si>
  <si>
    <t>Camera Traseira A10</t>
  </si>
  <si>
    <t>Camera Traseira A10s</t>
  </si>
  <si>
    <t>Camera Traseira A11</t>
  </si>
  <si>
    <t>Camera Traseira A12</t>
  </si>
  <si>
    <t>Camera Traseira A21s</t>
  </si>
  <si>
    <t>Camera Traseira A22 5G</t>
  </si>
  <si>
    <t>Camera Traseira A30s</t>
  </si>
  <si>
    <t>Camera Traseira A31</t>
  </si>
  <si>
    <t>Camera Traseira A32 4G</t>
  </si>
  <si>
    <t>Camera Traseira A32 5G</t>
  </si>
  <si>
    <t>Camera Traseira A50</t>
  </si>
  <si>
    <t>Camera Traseira A70</t>
  </si>
  <si>
    <t>Camera Traseira A71</t>
  </si>
  <si>
    <t>Camera Traseira 11</t>
  </si>
  <si>
    <t>Camera Traseira 12</t>
  </si>
  <si>
    <t>Camera Traseira 12 Pro</t>
  </si>
  <si>
    <t>Camera Traseira 7 Plus</t>
  </si>
  <si>
    <t>Camera Traseira 8 Plus</t>
  </si>
  <si>
    <t>Camera Traseira X</t>
  </si>
  <si>
    <t>Camera Traseira XR</t>
  </si>
  <si>
    <t>Camera Traseira XS</t>
  </si>
  <si>
    <t>Camera Traseira XS Max</t>
  </si>
  <si>
    <t>Camera Traseira Redmi Note 8</t>
  </si>
  <si>
    <t>Camera iPhone 11 (Traseira)</t>
  </si>
  <si>
    <t>Camera iPhone 12 (Traseira)</t>
  </si>
  <si>
    <t>Camera iPhone 12 Pro (Traseira)</t>
  </si>
  <si>
    <t>Camera iPhone 7 Plus (Traseira)</t>
  </si>
  <si>
    <t>Camera iPhone 8 Plus (Traseira)</t>
  </si>
  <si>
    <t>Camera iPhone X (Traseira)</t>
  </si>
  <si>
    <t>Camera iPhone XR (Traseira)</t>
  </si>
  <si>
    <t>Camera iPhone XS (Traseira)</t>
  </si>
  <si>
    <t>Camera iPhone XS Max (Traseira)</t>
  </si>
  <si>
    <t>Camera Moto G14 (Traseira)</t>
  </si>
  <si>
    <t>Camera Moto G30 (Traseira)</t>
  </si>
  <si>
    <t>Camera Moto G50 (Traseira)</t>
  </si>
  <si>
    <t>Camera Moto G52 (Traseira)</t>
  </si>
  <si>
    <t>Camera Poco X3 (Traseira)</t>
  </si>
  <si>
    <t>Camera SAM A01 (Traseira)</t>
  </si>
  <si>
    <t>Camera SAM A01 Core (Traseira)</t>
  </si>
  <si>
    <t>Camera SAM A02s (Traseira)</t>
  </si>
  <si>
    <t>Camera SAM A03 (Traseira)</t>
  </si>
  <si>
    <t>Camera SAM A03s (Traseira)</t>
  </si>
  <si>
    <t>Camera SAM A10 (Traseira)</t>
  </si>
  <si>
    <t>Camera SAM A10s (Traseira)</t>
  </si>
  <si>
    <t>Camera SAM A11 (Traseira)</t>
  </si>
  <si>
    <t>Camera SAM A12 (Traseira)</t>
  </si>
  <si>
    <t>Camera SAM A21s (Traseira)</t>
  </si>
  <si>
    <t>Camera SAM A22 5G (Traseira)</t>
  </si>
  <si>
    <t>Camera SAM A30s (Traseira)</t>
  </si>
  <si>
    <t>Camera SAM A31 (Traseira)</t>
  </si>
  <si>
    <t>Camera SAM A32 4G (Traseira)</t>
  </si>
  <si>
    <t>Camera SAM A32 5G (Traseira)</t>
  </si>
  <si>
    <t>Camera SAM A50 (Traseira)</t>
  </si>
  <si>
    <t>Camera SAM A70 (Traseira)</t>
  </si>
  <si>
    <t>Camera SAM A71 (Traseira)</t>
  </si>
  <si>
    <t>Camera Xiaomi Redmi Note 8 (Traseira)</t>
  </si>
  <si>
    <t>Camera 11 (Traseira)</t>
  </si>
  <si>
    <t>Camera 12 (Traseira)</t>
  </si>
  <si>
    <t>Camera 12 Pro (Traseira)</t>
  </si>
  <si>
    <t>Camera 7 Plus (Traseira)</t>
  </si>
  <si>
    <t>Camera 8 Plus (Traseira)</t>
  </si>
  <si>
    <t>Camera X (Traseira)</t>
  </si>
  <si>
    <t>Camera XR (Traseira)</t>
  </si>
  <si>
    <t>Camera XS (Traseira)</t>
  </si>
  <si>
    <t>Camera XS Max (Traseira)</t>
  </si>
  <si>
    <t>Camera G14 (Traseira)</t>
  </si>
  <si>
    <t>Camera G30 (Traseira)</t>
  </si>
  <si>
    <t>Camera G50 (Traseira)</t>
  </si>
  <si>
    <t>Camera G52 (Traseira)</t>
  </si>
  <si>
    <t>Camera A01 (Traseira)</t>
  </si>
  <si>
    <t>Camera A01 Core (Traseira)</t>
  </si>
  <si>
    <t>Camera A02s (Traseira)</t>
  </si>
  <si>
    <t>Camera A03 (Traseira)</t>
  </si>
  <si>
    <t>Camera A03s (Traseira)</t>
  </si>
  <si>
    <t>Camera A10 (Traseira)</t>
  </si>
  <si>
    <t>Camera A10s (Traseira)</t>
  </si>
  <si>
    <t>Camera A11 (Traseira)</t>
  </si>
  <si>
    <t>Camera A12 (Traseira)</t>
  </si>
  <si>
    <t>Camera A21s (Traseira)</t>
  </si>
  <si>
    <t>Camera A22 5G (Traseira)</t>
  </si>
  <si>
    <t>Camera A30s (Traseira)</t>
  </si>
  <si>
    <t>Camera A31 (Traseira)</t>
  </si>
  <si>
    <t>Camera A32 4G (Traseira)</t>
  </si>
  <si>
    <t>Camera A32 5G (Traseira)</t>
  </si>
  <si>
    <t>Camera A50 (Traseira)</t>
  </si>
  <si>
    <t>Camera A70 (Traseira)</t>
  </si>
  <si>
    <t>Camera A71 (Traseira)</t>
  </si>
  <si>
    <t>Camera Redmi Note 8 (Traseira)</t>
  </si>
  <si>
    <t>Flex Botao Assistente LG K22</t>
  </si>
  <si>
    <t>Flex Botao Assistente LG K22 Plus</t>
  </si>
  <si>
    <t>SAM A13 sem aro original (4G)</t>
  </si>
  <si>
    <t>SAM A13 sem aro original (5G)</t>
  </si>
  <si>
    <t>SAM A14 sem aro original (4G)</t>
  </si>
  <si>
    <t>SAM A14 sem aro original (5G)</t>
  </si>
  <si>
    <t>SAM A22 com aro incell (4G)</t>
  </si>
  <si>
    <t>SAM A32 com aro incell (4G)</t>
  </si>
  <si>
    <t>A52 com aro incell (4G)</t>
  </si>
  <si>
    <t>A52 com aro incell (5G)</t>
  </si>
  <si>
    <t>SAM A23 sem aro original (4G)</t>
  </si>
  <si>
    <t>SAM A23 sem aro original (5G)</t>
  </si>
  <si>
    <t>Moto G50 sem aro original (4G)</t>
  </si>
  <si>
    <t>Moto G50 sem aro original (5G)</t>
  </si>
  <si>
    <t>SAM A32 com aro original (4G)</t>
  </si>
  <si>
    <t>Poco C3 original sem aro</t>
  </si>
  <si>
    <t>SAM A71 original com aro (Tela Grande)</t>
  </si>
  <si>
    <t>SAM A71 original com aro (Tela Pequena)</t>
  </si>
  <si>
    <t>Moto G84 5G sem aro incell</t>
  </si>
  <si>
    <t>Moto G84 5G com aro original</t>
  </si>
  <si>
    <t>Moto G84 5G com aro OLED</t>
  </si>
  <si>
    <t>Moto G84 5G OLED com aro</t>
  </si>
  <si>
    <t>Moto G84 5G com aro incell</t>
  </si>
  <si>
    <t>Conector iPhone 13</t>
  </si>
  <si>
    <t>Conector iPhone 13 Pro</t>
  </si>
  <si>
    <t>Conector iPhone 13 Pro Max</t>
  </si>
  <si>
    <t>Conector iPhone 14</t>
  </si>
  <si>
    <t>Conector iPhone 14 Pro</t>
  </si>
  <si>
    <t>Conector iPhone 14 Pro Max</t>
  </si>
  <si>
    <t>Conector iPhone 15</t>
  </si>
  <si>
    <t>Conector iPhone 15 Pro</t>
  </si>
  <si>
    <t>Conector iPhone 15 Pro Max</t>
  </si>
  <si>
    <t>Flex Power e Volume LG K22/K22 Plus</t>
  </si>
  <si>
    <t>Flex Home Biometria LG K12 Prime</t>
  </si>
  <si>
    <t>Flex Home Biometria LG K12 Max</t>
  </si>
  <si>
    <t>Flex Home Biometria LG K50</t>
  </si>
  <si>
    <t>Flex Home Biometria LG K12</t>
  </si>
  <si>
    <t>Flex Home Biometria LG K12 Plus</t>
  </si>
  <si>
    <t>Flex Home Biometria LG K40s</t>
  </si>
  <si>
    <t>Flex Home Biometria LG K41s</t>
  </si>
  <si>
    <t>Flex Home Biometria LG K42</t>
  </si>
  <si>
    <t>Flex Home Biometria LG K52</t>
  </si>
  <si>
    <t>Flex Home Biometria LG K62</t>
  </si>
  <si>
    <t>Flex Home Biometria LG K62 Plus</t>
  </si>
  <si>
    <t>Flex Home Biometria LG K50s</t>
  </si>
  <si>
    <t>Flex Home Biometria LG K51s</t>
  </si>
  <si>
    <t>Flex Home Biometria LG K61</t>
  </si>
  <si>
    <t>Flex Home Biometria Xiaomi Mi A2 Lite</t>
  </si>
  <si>
    <t>Flex Home Biometria Moto E5</t>
  </si>
  <si>
    <t>Flex Home Biometria Moto E5 Plus</t>
  </si>
  <si>
    <t>Flex Home Biometria Moto G6 Play</t>
  </si>
  <si>
    <t>Flex Home Biometria Moto E7</t>
  </si>
  <si>
    <t>Flex Home Biometria Moto G60s</t>
  </si>
  <si>
    <t>Flex Home Biometria Moto G9 Play</t>
  </si>
  <si>
    <t>Flex Home Biometria Moto G9 Power</t>
  </si>
  <si>
    <t>Flex Home Biometria Moto One Fusion</t>
  </si>
  <si>
    <t>Flex Home Biometria SAM A10s</t>
  </si>
  <si>
    <t>Flex Home Biometria SAM A11</t>
  </si>
  <si>
    <t>Flex Home Biometria SAM A20s</t>
  </si>
  <si>
    <t>Flex Power Biometria SAM A04S</t>
  </si>
  <si>
    <t>Gaveta LG K41s</t>
  </si>
  <si>
    <t>Gaveta Moto G10</t>
  </si>
  <si>
    <t>Gaveta Moto G20</t>
  </si>
  <si>
    <t>Gaveta Moto G30</t>
  </si>
  <si>
    <t>Gaveta Moto G50 5G</t>
  </si>
  <si>
    <t>Gaveta Moto G62</t>
  </si>
  <si>
    <t>Gaveta Moto G71</t>
  </si>
  <si>
    <t>Gaveta Moto G9 Play</t>
  </si>
  <si>
    <t>Gaveta Moto G9 Power</t>
  </si>
  <si>
    <t>Gaveta SAM A03 Core</t>
  </si>
  <si>
    <t>Gaveta SAM A20s</t>
  </si>
  <si>
    <t>Gaveta SAM A22 4G</t>
  </si>
  <si>
    <t>Tampa iPhone 11</t>
  </si>
  <si>
    <t>Tampa iPhone 11 Pro</t>
  </si>
  <si>
    <t>Tampa iPhone 11 Pro Max</t>
  </si>
  <si>
    <t>Tampa iPhone 12</t>
  </si>
  <si>
    <t>Tampa iPhone 12 Mini</t>
  </si>
  <si>
    <t>Tampa iPhone 13</t>
  </si>
  <si>
    <t>Tampa iPhone 13 Pro</t>
  </si>
  <si>
    <t>Tampa iPhone 13 Pro Max</t>
  </si>
  <si>
    <t>Tampa Moto E7</t>
  </si>
  <si>
    <t>Tampa Moto G200</t>
  </si>
  <si>
    <t>Tampa Moto G22</t>
  </si>
  <si>
    <t>Tampa Moto E32</t>
  </si>
  <si>
    <t>Tampa Moto G24</t>
  </si>
  <si>
    <t>Tampa Moto G50 5G</t>
  </si>
  <si>
    <t>Tampa Moto G62</t>
  </si>
  <si>
    <t>Tampa Moto G71</t>
  </si>
  <si>
    <t>Tampa Moto G9 Play</t>
  </si>
  <si>
    <t>Tampa Moto One Fusion</t>
  </si>
  <si>
    <t>Tampa Redmi Note 10 4G</t>
  </si>
  <si>
    <t>Tampa Redmi Note 10s 4G</t>
  </si>
  <si>
    <t>Tampa SAM A03 Core</t>
  </si>
  <si>
    <t>Tampa SAM A14</t>
  </si>
  <si>
    <t>Tampa SAM A22 4G</t>
  </si>
  <si>
    <t>Tampa SAM A51</t>
  </si>
  <si>
    <t>Tampa Xiaomi Redmi 13C</t>
  </si>
  <si>
    <t>Tampa Xiaomi Redmi Note 9</t>
  </si>
  <si>
    <t>Tampa Xiaomi Redmi Note 9s</t>
  </si>
  <si>
    <t>Tampa Xiaomi Redmi Note 9 Pro</t>
  </si>
  <si>
    <t>Tampa Traseira 11</t>
  </si>
  <si>
    <t>Tampa Traseira 11 Pro</t>
  </si>
  <si>
    <t>Tampa Traseira 11 Pro Max</t>
  </si>
  <si>
    <t>Tampa Traseira 12</t>
  </si>
  <si>
    <t>Tampa Traseira 12 Mini</t>
  </si>
  <si>
    <t>Tampa Traseira 13</t>
  </si>
  <si>
    <t>Tampa Traseira 13 Pro</t>
  </si>
  <si>
    <t>Tampa Traseira 13 Pro Max</t>
  </si>
  <si>
    <t>Tampa Traseira E7</t>
  </si>
  <si>
    <t>Tampa Traseira G200</t>
  </si>
  <si>
    <t>Tampa Traseira G22</t>
  </si>
  <si>
    <t>Tampa Traseira E32</t>
  </si>
  <si>
    <t>Tampa Traseira G24</t>
  </si>
  <si>
    <t>Tampa Traseira G50 5G</t>
  </si>
  <si>
    <t>Tampa Traseira G62</t>
  </si>
  <si>
    <t>Tampa Traseira G71</t>
  </si>
  <si>
    <t>Tampa Traseira G9 Play</t>
  </si>
  <si>
    <t>Tampa Traseira One Fusion</t>
  </si>
  <si>
    <t>Tampa Traseira Redmi Note 10 4G</t>
  </si>
  <si>
    <t>Tampa Traseira Redmi Note 10s 4G</t>
  </si>
  <si>
    <t>Tampa Traseira A03 Core</t>
  </si>
  <si>
    <t>Tampa Traseira A14</t>
  </si>
  <si>
    <t>Tampa Traseira A22 4G</t>
  </si>
  <si>
    <t>Tampa Traseira A51</t>
  </si>
  <si>
    <t>Tampa Traseira Redmi 13C</t>
  </si>
  <si>
    <t>Tampa Traseira Redmi Note 9</t>
  </si>
  <si>
    <t>Tampa Traseira Redmi Note 9s</t>
  </si>
  <si>
    <t>Tampa Traseira Redmi Note 9 Pro</t>
  </si>
  <si>
    <t>Tampa Traseira iPhone 11</t>
  </si>
  <si>
    <t>Tampa Traseira iPhone 11 Pro</t>
  </si>
  <si>
    <t>Tampa Traseira iPhone 11 Pro Max</t>
  </si>
  <si>
    <t>Tampa Traseira iPhone 12</t>
  </si>
  <si>
    <t>Tampa Traseira iPhone 12 Mini</t>
  </si>
  <si>
    <t>Tampa Traseira iPhone 13</t>
  </si>
  <si>
    <t>Tampa Traseira iPhone 13 Pro</t>
  </si>
  <si>
    <t>Tampa Traseira iPhone 13 Pro Max</t>
  </si>
  <si>
    <t>Tampa Traseira Moto E7</t>
  </si>
  <si>
    <t>Tampa Traseira Moto G200</t>
  </si>
  <si>
    <t>Tampa Traseira Moto G22</t>
  </si>
  <si>
    <t>Tampa Traseira Moto E32</t>
  </si>
  <si>
    <t>Tampa Traseira Moto G24</t>
  </si>
  <si>
    <t>Tampa Traseira Moto G50 5G</t>
  </si>
  <si>
    <t>Tampa Traseira Moto G62</t>
  </si>
  <si>
    <t>Tampa Traseira Moto G71</t>
  </si>
  <si>
    <t>Tampa Traseira Moto G9 Play</t>
  </si>
  <si>
    <t>Tampa Traseira Moto One Fusion</t>
  </si>
  <si>
    <t>Tampa Traseira SAM A03 Core</t>
  </si>
  <si>
    <t>Tampa Traseira SAM A14</t>
  </si>
  <si>
    <t>Tampa Traseira SAM A22 4G</t>
  </si>
  <si>
    <t>Tampa Traseira SAM A51</t>
  </si>
  <si>
    <t>Tampa Traseira Xiaomi Redmi 13C</t>
  </si>
  <si>
    <t>Tampa Traseira Xiaomi Redmi Note 9</t>
  </si>
  <si>
    <t>Tampa Traseira Xiaomi Redmi Note 9s</t>
  </si>
  <si>
    <t>Tampa Traseira Xiaomi Redmi Note 9 Pro</t>
  </si>
  <si>
    <t>Tampa 11</t>
  </si>
  <si>
    <t>Tampa 11 Pro</t>
  </si>
  <si>
    <t>Tampa 11 Pro Max</t>
  </si>
  <si>
    <t>Tampa 12</t>
  </si>
  <si>
    <t>Tampa 12 Mini</t>
  </si>
  <si>
    <t>Tampa 13</t>
  </si>
  <si>
    <t>Tampa 13 Pro</t>
  </si>
  <si>
    <t>Tampa 13 Pro Max</t>
  </si>
  <si>
    <t>Tampa E7</t>
  </si>
  <si>
    <t>Tampa G200</t>
  </si>
  <si>
    <t>Tampa G22</t>
  </si>
  <si>
    <t>Tampa E32</t>
  </si>
  <si>
    <t>Tampa G24</t>
  </si>
  <si>
    <t>Tampa G50 5G</t>
  </si>
  <si>
    <t>Tampa G62</t>
  </si>
  <si>
    <t>Tampa G71</t>
  </si>
  <si>
    <t>Tampa G9 Play</t>
  </si>
  <si>
    <t>Tampa One Fusion</t>
  </si>
  <si>
    <t>Tampa A03 Core</t>
  </si>
  <si>
    <t>Tampa A14</t>
  </si>
  <si>
    <t>Tampa A22 4G</t>
  </si>
  <si>
    <t>Tampa A51</t>
  </si>
  <si>
    <t>Tampa Redmi 13C</t>
  </si>
  <si>
    <t>Tampa Redmi Note 9</t>
  </si>
  <si>
    <t>Tampa Redmi Note 9s</t>
  </si>
  <si>
    <t>Tampa Redmi Note 9 Pro</t>
  </si>
  <si>
    <t>Gaveta K41s</t>
  </si>
  <si>
    <t>Gaveta G10</t>
  </si>
  <si>
    <t>Gaveta G20</t>
  </si>
  <si>
    <t>Gaveta G30</t>
  </si>
  <si>
    <t>Gaveta G50 5G</t>
  </si>
  <si>
    <t>Gaveta G62</t>
  </si>
  <si>
    <t>Gaveta G71</t>
  </si>
  <si>
    <t>Gaveta G9 Play</t>
  </si>
  <si>
    <t>Gaveta G9 Power</t>
  </si>
  <si>
    <t>Gaveta A03 Core</t>
  </si>
  <si>
    <t>Flex Home Biometria Moto E7 Power</t>
  </si>
  <si>
    <t>Flex Home Biometria Moto E7 Plus</t>
  </si>
  <si>
    <t>Flex Home Biometria Moto G8 Play</t>
  </si>
  <si>
    <t>Flex Home Biometria Moto G8 Plus</t>
  </si>
  <si>
    <t>Flex Power Biometria SAM J6 Plus</t>
  </si>
  <si>
    <t>Gaveta LG K22</t>
  </si>
  <si>
    <t>Gaveta LG K22 Plus</t>
  </si>
  <si>
    <t>Gaveta Moto G32</t>
  </si>
  <si>
    <t>Gaveta Moto G7</t>
  </si>
  <si>
    <t>Gaveta Moto G7 Plus</t>
  </si>
  <si>
    <t>Gaveta Moto G8</t>
  </si>
  <si>
    <t>Gaveta Moto G8 Plus</t>
  </si>
  <si>
    <t>Gaveta Moto One Hyper</t>
  </si>
  <si>
    <t>Gaveta SAM A01</t>
  </si>
  <si>
    <t>Gaveta SAM A01 Core</t>
  </si>
  <si>
    <t>Gaveta SAM A10</t>
  </si>
  <si>
    <t>Gaveta SAM A20</t>
  </si>
  <si>
    <t>Gaveta SAM A30</t>
  </si>
  <si>
    <t>Gaveta SAM A50</t>
  </si>
  <si>
    <t>Gaveta SAM A10s</t>
  </si>
  <si>
    <t>Tampa iPhone 14</t>
  </si>
  <si>
    <t>Tampa iPhone 8</t>
  </si>
  <si>
    <t>Tampa iPhone 8 Plus</t>
  </si>
  <si>
    <t>Tampa iPhone XR</t>
  </si>
  <si>
    <t>Tampa Moto E6 Plus</t>
  </si>
  <si>
    <t>Tampa Moto E7 Power</t>
  </si>
  <si>
    <t>Tampa Moto G7 Plus</t>
  </si>
  <si>
    <t>Tampa Moto G8 Play</t>
  </si>
  <si>
    <t>Tampa Moto G8 Plus</t>
  </si>
  <si>
    <t>Tampa Moto One Hyper</t>
  </si>
  <si>
    <t>Tampa Redmi Note 7</t>
  </si>
  <si>
    <t>Tampa Redmi Note 7 Pro</t>
  </si>
  <si>
    <t>Tampa SAM A01</t>
  </si>
  <si>
    <t>Tampa SAM A01 Core</t>
  </si>
  <si>
    <t>Tampa SAM A02</t>
  </si>
  <si>
    <t>Tampa SAM A02s</t>
  </si>
  <si>
    <t>Tampa SAM A03</t>
  </si>
  <si>
    <t>Tampa SAM A10</t>
  </si>
  <si>
    <t>Tampa SAM A10s</t>
  </si>
  <si>
    <t>Tampa SAM A11</t>
  </si>
  <si>
    <t>Tampa SAM A12</t>
  </si>
  <si>
    <t>Tampa SAM A20</t>
  </si>
  <si>
    <t>Tampa SAM A20s</t>
  </si>
  <si>
    <t>Tampa SAM A21s</t>
  </si>
  <si>
    <t>Tampa SAM A31</t>
  </si>
  <si>
    <t>Tampa SAM M20</t>
  </si>
  <si>
    <t>Tampa SAM Galaxy S20 FE</t>
  </si>
  <si>
    <t>Tampa Xiaomi Redmi 8</t>
  </si>
  <si>
    <t>Tampa SAM Galaxy Note 10 Lite</t>
  </si>
  <si>
    <t>Tampa Traseira 14</t>
  </si>
  <si>
    <t>Tampa Traseira 8</t>
  </si>
  <si>
    <t>Tampa Traseira 8 Plus</t>
  </si>
  <si>
    <t>Tampa Traseira XR</t>
  </si>
  <si>
    <t>Tampa Traseira E6 Plus</t>
  </si>
  <si>
    <t>Tampa Traseira E7 Power</t>
  </si>
  <si>
    <t>Tampa Traseira G7 Plus</t>
  </si>
  <si>
    <t>Tampa Traseira G8 Play</t>
  </si>
  <si>
    <t>Tampa Traseira G8 Plus</t>
  </si>
  <si>
    <t>Tampa Traseira One Hyper</t>
  </si>
  <si>
    <t>Tampa Traseira Redmi Note 7</t>
  </si>
  <si>
    <t>Tampa Traseira Redmi Note 7 Pro</t>
  </si>
  <si>
    <t>Tampa Traseira A01</t>
  </si>
  <si>
    <t>Tampa Traseira A01 Core</t>
  </si>
  <si>
    <t>Tampa Traseira A02</t>
  </si>
  <si>
    <t>Tampa Traseira A02s</t>
  </si>
  <si>
    <t>Tampa Traseira A03</t>
  </si>
  <si>
    <t>Tampa Traseira A10</t>
  </si>
  <si>
    <t>Tampa Traseira A10s</t>
  </si>
  <si>
    <t>Tampa Traseira A11</t>
  </si>
  <si>
    <t>Tampa Traseira A12</t>
  </si>
  <si>
    <t>Tampa Traseira A20</t>
  </si>
  <si>
    <t>Tampa Traseira A20s</t>
  </si>
  <si>
    <t>Tampa Traseira A21s</t>
  </si>
  <si>
    <t>Tampa Traseira A31</t>
  </si>
  <si>
    <t>Tampa Traseira M20</t>
  </si>
  <si>
    <t>Tampa Traseira Galaxy S20 FE</t>
  </si>
  <si>
    <t>Tampa Traseira Redmi 8</t>
  </si>
  <si>
    <t>Tampa Traseira Galaxy Note 10 Lite</t>
  </si>
  <si>
    <t>Tampa Traseira iPhone 14</t>
  </si>
  <si>
    <t>Tampa Traseira iPhone 8</t>
  </si>
  <si>
    <t>Tampa Traseira iPhone 8 Plus</t>
  </si>
  <si>
    <t>Tampa Traseira iPhone XR</t>
  </si>
  <si>
    <t>Tampa Traseira Moto E6 Plus</t>
  </si>
  <si>
    <t>Tampa Traseira Moto E7 Power</t>
  </si>
  <si>
    <t>Tampa Traseira Moto G7 Plus</t>
  </si>
  <si>
    <t>Tampa Traseira Moto G8 Play</t>
  </si>
  <si>
    <t>Tampa Traseira Moto G8 Plus</t>
  </si>
  <si>
    <t>Tampa Traseira Moto One Hyper</t>
  </si>
  <si>
    <t>Tampa Traseira SAM A01</t>
  </si>
  <si>
    <t>Tampa Traseira SAM A01 Core</t>
  </si>
  <si>
    <t>Tampa Traseira SAM A02</t>
  </si>
  <si>
    <t>Tampa Traseira SAM A02s</t>
  </si>
  <si>
    <t>Tampa Traseira SAM A03</t>
  </si>
  <si>
    <t>Tampa Traseira SAM A10</t>
  </si>
  <si>
    <t>Tampa Traseira SAM A10s</t>
  </si>
  <si>
    <t>Tampa Traseira SAM A11</t>
  </si>
  <si>
    <t>Tampa Traseira SAM A12</t>
  </si>
  <si>
    <t>Tampa Traseira SAM A20</t>
  </si>
  <si>
    <t>Tampa Traseira SAM A20s</t>
  </si>
  <si>
    <t>Tampa Traseira SAM A21s</t>
  </si>
  <si>
    <t>Tampa Traseira SAM A31</t>
  </si>
  <si>
    <t>Tampa Traseira SAM M20</t>
  </si>
  <si>
    <t>Tampa Traseira SAM Galaxy S20 FE</t>
  </si>
  <si>
    <t>Tampa Traseira Xiaomi Redmi 8</t>
  </si>
  <si>
    <t>Tampa Traseira SAM Galaxy Note 10 Lite</t>
  </si>
  <si>
    <t>Tampa 14</t>
  </si>
  <si>
    <t>Tampa 8</t>
  </si>
  <si>
    <t>Tampa 8 Plus</t>
  </si>
  <si>
    <t>Tampa XR</t>
  </si>
  <si>
    <t>Tampa E6 Plus</t>
  </si>
  <si>
    <t>Tampa E7 Power</t>
  </si>
  <si>
    <t>Tampa G7 Plus</t>
  </si>
  <si>
    <t>Tampa G8 Play</t>
  </si>
  <si>
    <t>Tampa G8 Plus</t>
  </si>
  <si>
    <t>Tampa One Hyper</t>
  </si>
  <si>
    <t>Tampa A01</t>
  </si>
  <si>
    <t>Tampa A01 Core</t>
  </si>
  <si>
    <t>Tampa A02</t>
  </si>
  <si>
    <t>Tampa A02s</t>
  </si>
  <si>
    <t>Tampa A03</t>
  </si>
  <si>
    <t>Tampa A10</t>
  </si>
  <si>
    <t>Tampa A10s</t>
  </si>
  <si>
    <t>Tampa A11</t>
  </si>
  <si>
    <t>Tampa A12</t>
  </si>
  <si>
    <t>Tampa A20</t>
  </si>
  <si>
    <t>Tampa A20s</t>
  </si>
  <si>
    <t>Tampa A21s</t>
  </si>
  <si>
    <t>Tampa A31</t>
  </si>
  <si>
    <t>Tampa M20</t>
  </si>
  <si>
    <t>Tampa Galaxy S20 FE</t>
  </si>
  <si>
    <t>Tampa Redmi 8</t>
  </si>
  <si>
    <t>Tampa Galaxy Note 10 Lite</t>
  </si>
  <si>
    <t>Gaveta K22</t>
  </si>
  <si>
    <t>Gaveta K22 Plus</t>
  </si>
  <si>
    <t>Gaveta G32</t>
  </si>
  <si>
    <t>Gaveta G7</t>
  </si>
  <si>
    <t>Gaveta G7 Plus</t>
  </si>
  <si>
    <t>Gaveta G8</t>
  </si>
  <si>
    <t>Gaveta G8 Plus</t>
  </si>
  <si>
    <t>Gaveta One Hyper</t>
  </si>
  <si>
    <t>Gaveta A01</t>
  </si>
  <si>
    <t>Gaveta A01 Core</t>
  </si>
  <si>
    <t>Gaveta A10</t>
  </si>
  <si>
    <t>Gaveta A20</t>
  </si>
  <si>
    <t>Gaveta A30</t>
  </si>
  <si>
    <t>Gaveta A50</t>
  </si>
  <si>
    <t>Gaveta A10s</t>
  </si>
  <si>
    <t>Flex Home Biometria Moto E6 Play</t>
  </si>
  <si>
    <t>Flex Home Biometria Moto G5 Plus</t>
  </si>
  <si>
    <t>Flex Home Biometria Moto G5s</t>
  </si>
  <si>
    <t>Flex Home Biometria Moto G5G</t>
  </si>
  <si>
    <t>Flex Home Biometria Moto G5s Plus</t>
  </si>
  <si>
    <t>Flex Home Biometria Moto G60</t>
  </si>
  <si>
    <t>Flex Home Biometria Moto G8 Power</t>
  </si>
  <si>
    <t>Flex Home Biometria Moto G9 Plus</t>
  </si>
  <si>
    <t>Flex Home Biometria Moto One</t>
  </si>
  <si>
    <t>Flex Home Biometria Moto One Fusion Plus</t>
  </si>
  <si>
    <t>Flex Home Biometria Moto One Vision</t>
  </si>
  <si>
    <t>Flex Home Biometria Redmi Note 8</t>
  </si>
  <si>
    <t>Flex Home Biometria Redmi Note 8 Pro</t>
  </si>
  <si>
    <t>Flex Home Biometria Redmi Note 9</t>
  </si>
  <si>
    <t>Flex Home Biometria SAM A21s</t>
  </si>
  <si>
    <t>Flex Home Biometria Xiaomi Mi 8</t>
  </si>
  <si>
    <t>Flex Home Biometria Xiaomi Mi 9</t>
  </si>
  <si>
    <t>Flex Power Biometria SAM M32</t>
  </si>
  <si>
    <t>Gaveta LG K11</t>
  </si>
  <si>
    <t>Gaveta LG K12</t>
  </si>
  <si>
    <t>Gaveta LG K12 Prime</t>
  </si>
  <si>
    <t>Gaveta LG K40s</t>
  </si>
  <si>
    <t>Gaveta LG K42</t>
  </si>
  <si>
    <t>Gaveta LG K8 Plus</t>
  </si>
  <si>
    <t>Gaveta Moto E5</t>
  </si>
  <si>
    <t>Gaveta Moto E6 Play</t>
  </si>
  <si>
    <t>Gaveta Moto G22</t>
  </si>
  <si>
    <t>Gaveta Moto E32</t>
  </si>
  <si>
    <t>Gaveta Moto G23</t>
  </si>
  <si>
    <t>Gaveta Moto G5</t>
  </si>
  <si>
    <t>Gaveta Moto G5 Plus</t>
  </si>
  <si>
    <t>Gaveta Moto G52</t>
  </si>
  <si>
    <t>Gaveta Moto G5G Plus</t>
  </si>
  <si>
    <t>Gaveta Moto G6</t>
  </si>
  <si>
    <t>Gaveta Moto G60</t>
  </si>
  <si>
    <t>Gaveta Moto G7 Play</t>
  </si>
  <si>
    <t>Gaveta Moto G7 Power</t>
  </si>
  <si>
    <t>Gaveta Moto G8 Play</t>
  </si>
  <si>
    <t>Gaveta Moto One Macro</t>
  </si>
  <si>
    <t>Gaveta Moto G8 Power</t>
  </si>
  <si>
    <t>Gaveta Moto G8 Power Lite</t>
  </si>
  <si>
    <t>Gaveta Moto E6s</t>
  </si>
  <si>
    <t>Gaveta Moto G9 Plus</t>
  </si>
  <si>
    <t>Gaveta Moto G6 Play</t>
  </si>
  <si>
    <t>Gaveta Moto One</t>
  </si>
  <si>
    <t>Gaveta Moto One Action</t>
  </si>
  <si>
    <t>Gaveta Moto One Vision</t>
  </si>
  <si>
    <t>Gaveta Moto One Fusion</t>
  </si>
  <si>
    <t>Gaveta Moto One Zoom</t>
  </si>
  <si>
    <t>Gaveta Redmi Note 12 Pro</t>
  </si>
  <si>
    <t>Gaveta Redmi Note 7</t>
  </si>
  <si>
    <t>Gaveta Redmi Note 9</t>
  </si>
  <si>
    <t>Gaveta SAM A02</t>
  </si>
  <si>
    <t>Gaveta SAM A12</t>
  </si>
  <si>
    <t>Gaveta SAM M12</t>
  </si>
  <si>
    <t>Gaveta SAM A02s</t>
  </si>
  <si>
    <t>Gaveta SAM A03s</t>
  </si>
  <si>
    <t>Gaveta SAM A04E</t>
  </si>
  <si>
    <t>Gaveta SAM A11</t>
  </si>
  <si>
    <t>Gaveta SAM A13 4G</t>
  </si>
  <si>
    <t>Gaveta SAM A21s</t>
  </si>
  <si>
    <t>Gaveta SAM A31</t>
  </si>
  <si>
    <t>Gaveta SAM A32 4g</t>
  </si>
  <si>
    <t>Gaveta SAM A32 5G</t>
  </si>
  <si>
    <t>Gaveta SAM A53</t>
  </si>
  <si>
    <t>Gaveta SAM A70</t>
  </si>
  <si>
    <t>Gaveta Xiaomi Redmi Note 8</t>
  </si>
  <si>
    <t>Conector iPhone 11</t>
  </si>
  <si>
    <t>Conector iPhone 11 Pro</t>
  </si>
  <si>
    <t>Conector iPhone 11 Pro Max</t>
  </si>
  <si>
    <t>Conector iPhone 12</t>
  </si>
  <si>
    <t>Conector iPhone 12 Pro</t>
  </si>
  <si>
    <t>Conector iPhone 12 Mini</t>
  </si>
  <si>
    <t>Conector iPhone 6</t>
  </si>
  <si>
    <t>Conector iPhone 7</t>
  </si>
  <si>
    <t>Conector iPhone 7 Plus</t>
  </si>
  <si>
    <t>Conector iPhone 8</t>
  </si>
  <si>
    <t>Conector iPhone 8 Plus</t>
  </si>
  <si>
    <t>Conector iPhone X</t>
  </si>
  <si>
    <t>Conector iPhone XR</t>
  </si>
  <si>
    <t>Conector iPhone XS</t>
  </si>
  <si>
    <t>Conector iPhone XS Max</t>
  </si>
  <si>
    <t>Tampa iPhone 12 Pro Max</t>
  </si>
  <si>
    <t>Tampa iPhone 14 Pro Max</t>
  </si>
  <si>
    <t>Tampa iPhone X</t>
  </si>
  <si>
    <t>Tampa iPhone XS</t>
  </si>
  <si>
    <t>Tampa iPhone XS Max</t>
  </si>
  <si>
    <t>Tampa LG K10 2017</t>
  </si>
  <si>
    <t>Tampa LG K10 Power</t>
  </si>
  <si>
    <t>Tampa LG K11 Plus</t>
  </si>
  <si>
    <t>Tampa LG K12 Max</t>
  </si>
  <si>
    <t>Tampa LG K12 Prime</t>
  </si>
  <si>
    <t>Tampa LG K12</t>
  </si>
  <si>
    <t>Tampa LG K12 Plus</t>
  </si>
  <si>
    <t>Tampa LG K22</t>
  </si>
  <si>
    <t>Tampa LG K22 Plus</t>
  </si>
  <si>
    <t>Tampa LG K40s</t>
  </si>
  <si>
    <t>Tampa LG K41s</t>
  </si>
  <si>
    <t>Tampa Moto E22</t>
  </si>
  <si>
    <t>Tampa Moto E5 Play</t>
  </si>
  <si>
    <t>Tampa Moto E5 Plus</t>
  </si>
  <si>
    <t>Tampa Moto E6 Play</t>
  </si>
  <si>
    <t>Tampa Moto Edge 20</t>
  </si>
  <si>
    <t>Tampa Moto G5</t>
  </si>
  <si>
    <t>Tampa Moto G52</t>
  </si>
  <si>
    <t>Tampa Moto G5G</t>
  </si>
  <si>
    <t>Tampa Moto G5s</t>
  </si>
  <si>
    <t>Tampa Moto G6</t>
  </si>
  <si>
    <t>Tampa Moto G6 Play</t>
  </si>
  <si>
    <t>Tampa Moto G6 Plus</t>
  </si>
  <si>
    <t>Tampa Moto G7</t>
  </si>
  <si>
    <t>Tampa Moto G7 Play</t>
  </si>
  <si>
    <t>Tampa Moto G7 Power</t>
  </si>
  <si>
    <t>Tampa Moto G8 Power</t>
  </si>
  <si>
    <t>Tampa Moto One</t>
  </si>
  <si>
    <t>Tampa Moto One Action</t>
  </si>
  <si>
    <t>Tampa SAM A30</t>
  </si>
  <si>
    <t>Tampa SAM A30s</t>
  </si>
  <si>
    <t>Tampa Sam A5 2016</t>
  </si>
  <si>
    <t>Tampa SAM A510</t>
  </si>
  <si>
    <t>Tampa SAM A5 2017</t>
  </si>
  <si>
    <t>Tampa SAM A520</t>
  </si>
  <si>
    <t>Tampa SAM A50</t>
  </si>
  <si>
    <t>Tampa SAM A52</t>
  </si>
  <si>
    <t>Tampa SAM A7 2016</t>
  </si>
  <si>
    <t>Tampa SAM A710</t>
  </si>
  <si>
    <t>Tampa SAM A7 2018</t>
  </si>
  <si>
    <t>Tampa SAM A750</t>
  </si>
  <si>
    <t>Tampa SAM A70</t>
  </si>
  <si>
    <t>Tampa SAM A71</t>
  </si>
  <si>
    <t>Tampa SAM A72</t>
  </si>
  <si>
    <t>Tampa SAM A720</t>
  </si>
  <si>
    <t>Tampa SAM A8 Plus</t>
  </si>
  <si>
    <t>Tampa SAM A730</t>
  </si>
  <si>
    <t>Tampa SAM A8 2018</t>
  </si>
  <si>
    <t>Tampa SAM A530</t>
  </si>
  <si>
    <t>Tampa SAM A80</t>
  </si>
  <si>
    <t>Tampa SAM A920</t>
  </si>
  <si>
    <t>Tampa SAM J4</t>
  </si>
  <si>
    <t>Tampa SAM J400</t>
  </si>
  <si>
    <t>Tampa SAM J4 Plus</t>
  </si>
  <si>
    <t>Tampa SAM J4 Core</t>
  </si>
  <si>
    <t>Tampa SAM J4+</t>
  </si>
  <si>
    <t>Tampa SAM J5</t>
  </si>
  <si>
    <t>Tampa SAM J5 Pro</t>
  </si>
  <si>
    <t>Tampa SAM J530</t>
  </si>
  <si>
    <t>Tampa SAM J6</t>
  </si>
  <si>
    <t>Tampa SAM J600</t>
  </si>
  <si>
    <t>Tampa SAM J6 Plus</t>
  </si>
  <si>
    <t>Tampa SAM J6 Core</t>
  </si>
  <si>
    <t>Tampa SAM J6+</t>
  </si>
  <si>
    <t>Tampa SAM J730</t>
  </si>
  <si>
    <t>Tampa SAM J7 Pro</t>
  </si>
  <si>
    <t>Tampa SAM M12</t>
  </si>
  <si>
    <t>Tampa SAM M32</t>
  </si>
  <si>
    <t>Tampa SAM Galaxy Note 20 Ultra</t>
  </si>
  <si>
    <t>Tampa SAM Galaxy S20</t>
  </si>
  <si>
    <t>Tampa SAM Galaxy S20 Ultra</t>
  </si>
  <si>
    <t>Tampa Xiaomi Mi 8 Lite</t>
  </si>
  <si>
    <t>Tampa Xiaomi Mi 9T</t>
  </si>
  <si>
    <t>Tampa Xiaomi Mi A3</t>
  </si>
  <si>
    <t>Tampa Xiaomi Poco X3 Pro</t>
  </si>
  <si>
    <t>Tampa Xiaomi Redmi 12</t>
  </si>
  <si>
    <t>Tampa Xiaomi Redmi 7</t>
  </si>
  <si>
    <t>Tampa Xiaomi Redmi 9A</t>
  </si>
  <si>
    <t>Tampa Xiaomi Redmi 9C</t>
  </si>
  <si>
    <t>Tampa Xiaomi Redmi Note 11s 4G</t>
  </si>
  <si>
    <t>Tampa Xiaomi Redmi Note 8</t>
  </si>
  <si>
    <t>Tampa SAM Galaxy Note 10</t>
  </si>
  <si>
    <t>Tampa SAM Galaxy Note 8</t>
  </si>
  <si>
    <t>Tampa Traseira 12 Pro Max</t>
  </si>
  <si>
    <t>Tampa Traseira 14 Pro Max</t>
  </si>
  <si>
    <t>Tampa Traseira X</t>
  </si>
  <si>
    <t>Tampa Traseira XS</t>
  </si>
  <si>
    <t>Tampa Traseira XS Max</t>
  </si>
  <si>
    <t>Tampa Traseira K10 2017</t>
  </si>
  <si>
    <t>Tampa Traseira K10 Power</t>
  </si>
  <si>
    <t>Tampa Traseira K11 Plus</t>
  </si>
  <si>
    <t>Tampa Traseira K12 Max</t>
  </si>
  <si>
    <t>Tampa Traseira K12 Prime</t>
  </si>
  <si>
    <t>Tampa Traseira K12</t>
  </si>
  <si>
    <t>Tampa Traseira K12 Plus</t>
  </si>
  <si>
    <t>Tampa Traseira K22</t>
  </si>
  <si>
    <t>Tampa Traseira K22 Plus</t>
  </si>
  <si>
    <t>Tampa Traseira K40s</t>
  </si>
  <si>
    <t>Tampa Traseira K41s</t>
  </si>
  <si>
    <t>Tampa Traseira E22</t>
  </si>
  <si>
    <t>Tampa Traseira E5 Play</t>
  </si>
  <si>
    <t>Tampa Traseira E5 Plus</t>
  </si>
  <si>
    <t>Tampa Traseira E6 Play</t>
  </si>
  <si>
    <t>Tampa Traseira Edge 20</t>
  </si>
  <si>
    <t>Tampa Traseira G5</t>
  </si>
  <si>
    <t>Tampa Traseira G52</t>
  </si>
  <si>
    <t>Tampa Traseira G5G</t>
  </si>
  <si>
    <t>Tampa Traseira G5s</t>
  </si>
  <si>
    <t>Tampa Traseira G6</t>
  </si>
  <si>
    <t>Tampa Traseira G6 Play</t>
  </si>
  <si>
    <t>Tampa Traseira G6 Plus</t>
  </si>
  <si>
    <t>Tampa Traseira G7</t>
  </si>
  <si>
    <t>Tampa Traseira G7 Play</t>
  </si>
  <si>
    <t>Tampa Traseira G7 Power</t>
  </si>
  <si>
    <t>Tampa Traseira G8 Power</t>
  </si>
  <si>
    <t>Tampa Traseira One</t>
  </si>
  <si>
    <t>Tampa Traseira One Action</t>
  </si>
  <si>
    <t>Tampa Traseira A21</t>
  </si>
  <si>
    <t>Tampa Traseira A30</t>
  </si>
  <si>
    <t>Tampa Traseira A30s</t>
  </si>
  <si>
    <t>Tampa Traseira A5 2016</t>
  </si>
  <si>
    <t>Tampa Traseira A510</t>
  </si>
  <si>
    <t>Tampa Traseira A5 2017</t>
  </si>
  <si>
    <t>Tampa Traseira A520</t>
  </si>
  <si>
    <t>Tampa Traseira A50</t>
  </si>
  <si>
    <t>Tampa Traseira A52</t>
  </si>
  <si>
    <t>Tampa Traseira A7 2016</t>
  </si>
  <si>
    <t>Tampa Traseira A710</t>
  </si>
  <si>
    <t>Tampa Traseira A7 2018</t>
  </si>
  <si>
    <t>Tampa Traseira A750</t>
  </si>
  <si>
    <t>Tampa Traseira A70</t>
  </si>
  <si>
    <t>Tampa Traseira A71</t>
  </si>
  <si>
    <t>Tampa Traseira A72</t>
  </si>
  <si>
    <t>Tampa Traseira A720</t>
  </si>
  <si>
    <t>Tampa Traseira A8 Plus</t>
  </si>
  <si>
    <t>Tampa Traseira A730</t>
  </si>
  <si>
    <t>Tampa Traseira A8 2018</t>
  </si>
  <si>
    <t>Tampa Traseira A530</t>
  </si>
  <si>
    <t>Tampa Traseira A80</t>
  </si>
  <si>
    <t>Tampa Traseira A920</t>
  </si>
  <si>
    <t>Tampa Traseira J4</t>
  </si>
  <si>
    <t>Tampa Traseira J400</t>
  </si>
  <si>
    <t>Tampa Traseira J4 Plus</t>
  </si>
  <si>
    <t>Tampa Traseira J4 Core</t>
  </si>
  <si>
    <t>Tampa Traseira J4+</t>
  </si>
  <si>
    <t>Tampa Traseira J5</t>
  </si>
  <si>
    <t>Tampa Traseira J5 Pro</t>
  </si>
  <si>
    <t>Tampa Traseira J530</t>
  </si>
  <si>
    <t>Tampa Traseira J6</t>
  </si>
  <si>
    <t>Tampa Traseira J600</t>
  </si>
  <si>
    <t>Tampa Traseira J6 Plus</t>
  </si>
  <si>
    <t>Tampa Traseira J6 Core</t>
  </si>
  <si>
    <t>Tampa Traseira J6+</t>
  </si>
  <si>
    <t>Tampa Traseira J730</t>
  </si>
  <si>
    <t>Tampa Traseira J7 Pro</t>
  </si>
  <si>
    <t>Tampa Traseira M12</t>
  </si>
  <si>
    <t>Tampa Traseira M32</t>
  </si>
  <si>
    <t>Tampa Traseira Galaxy Note 20 Ultra</t>
  </si>
  <si>
    <t>Tampa Traseira Galaxy S20</t>
  </si>
  <si>
    <t>Tampa Traseira Galaxy S20 Ultra</t>
  </si>
  <si>
    <t>Tampa Traseira Mi 8 Lite</t>
  </si>
  <si>
    <t>Tampa Traseira Mi 9T</t>
  </si>
  <si>
    <t>Tampa Traseira Mi A3</t>
  </si>
  <si>
    <t>Tampa Traseira Poco X3 Pro</t>
  </si>
  <si>
    <t>Tampa Traseira Redmi 12</t>
  </si>
  <si>
    <t>Tampa Traseira Redmi 7</t>
  </si>
  <si>
    <t>Tampa Traseira Redmi 9A</t>
  </si>
  <si>
    <t>Tampa Traseira Redmi 9C</t>
  </si>
  <si>
    <t>Tampa Traseira Redmi Note 11s 4G</t>
  </si>
  <si>
    <t>Tampa Traseira Redmi Note 8</t>
  </si>
  <si>
    <t>Tampa Traseira Galaxy Note 10</t>
  </si>
  <si>
    <t>Tampa Traseira Galaxy Note 8</t>
  </si>
  <si>
    <t>Tampa Traseira iPhone 12 Pro Max</t>
  </si>
  <si>
    <t>Tampa Traseira iPhone 14 Pro Max</t>
  </si>
  <si>
    <t>Tampa Traseira iPhone X</t>
  </si>
  <si>
    <t>Tampa Traseira iPhone XS</t>
  </si>
  <si>
    <t>Tampa Traseira iPhone XS Max</t>
  </si>
  <si>
    <t>Tampa Traseira LG K10 2017</t>
  </si>
  <si>
    <t>Tampa Traseira LG K10 Power</t>
  </si>
  <si>
    <t>Tampa Traseira LG K11 Plus</t>
  </si>
  <si>
    <t>Tampa Traseira LG K12 Max</t>
  </si>
  <si>
    <t>Tampa Traseira LG K12 Prime</t>
  </si>
  <si>
    <t>Tampa Traseira LG K12</t>
  </si>
  <si>
    <t>Tampa Traseira LG K12 Plus</t>
  </si>
  <si>
    <t>Tampa Traseira LG K22</t>
  </si>
  <si>
    <t>Tampa Traseira LG K22 Plus</t>
  </si>
  <si>
    <t>Tampa Traseira LG K40s</t>
  </si>
  <si>
    <t>Tampa Traseira LG K41s</t>
  </si>
  <si>
    <t>Tampa Traseira Moto E22</t>
  </si>
  <si>
    <t>Tampa Traseira Moto E5 Play</t>
  </si>
  <si>
    <t>Tampa Traseira Moto E5 Plus</t>
  </si>
  <si>
    <t>Tampa Traseira Moto E6 Play</t>
  </si>
  <si>
    <t>Tampa Traseira Moto Edge 20</t>
  </si>
  <si>
    <t>Tampa Traseira Moto G5</t>
  </si>
  <si>
    <t>Tampa Traseira Moto G52</t>
  </si>
  <si>
    <t>Tampa Traseira Moto G5G</t>
  </si>
  <si>
    <t>Tampa Traseira Moto G5s</t>
  </si>
  <si>
    <t>Tampa Traseira Moto G6</t>
  </si>
  <si>
    <t>Tampa Traseira Moto G6 Play</t>
  </si>
  <si>
    <t>Tampa Traseira Moto G6 Plus</t>
  </si>
  <si>
    <t>Tampa Traseira Moto G7</t>
  </si>
  <si>
    <t>Tampa Traseira Moto G7 Play</t>
  </si>
  <si>
    <t>Tampa Traseira Moto G7 Power</t>
  </si>
  <si>
    <t>Tampa Traseira Moto G8 Power</t>
  </si>
  <si>
    <t>Tampa Traseira Moto One</t>
  </si>
  <si>
    <t>Tampa Traseira Moto One Action</t>
  </si>
  <si>
    <t>Tampa Traseira Sam A21</t>
  </si>
  <si>
    <t>Tampa Traseira SAM A30</t>
  </si>
  <si>
    <t>Tampa Traseira SAM A30s</t>
  </si>
  <si>
    <t>Tampa Traseira Sam A5 2016</t>
  </si>
  <si>
    <t>Tampa Traseira SAM A510</t>
  </si>
  <si>
    <t>Tampa Traseira SAM A5 2017</t>
  </si>
  <si>
    <t>Tampa Traseira SAM A520</t>
  </si>
  <si>
    <t>Tampa Traseira SAM A50</t>
  </si>
  <si>
    <t>Tampa Traseira SAM A52</t>
  </si>
  <si>
    <t>Tampa Traseira SAM A7 2016</t>
  </si>
  <si>
    <t>Tampa Traseira SAM A710</t>
  </si>
  <si>
    <t>Tampa Traseira SAM A7 2018</t>
  </si>
  <si>
    <t>Tampa Traseira SAM A750</t>
  </si>
  <si>
    <t>Tampa Traseira SAM A70</t>
  </si>
  <si>
    <t>Tampa Traseira SAM A71</t>
  </si>
  <si>
    <t>Tampa Traseira SAM A72</t>
  </si>
  <si>
    <t>Tampa Traseira SAM A720</t>
  </si>
  <si>
    <t>Tampa Traseira SAM A8 Plus</t>
  </si>
  <si>
    <t>Tampa Traseira SAM A730</t>
  </si>
  <si>
    <t>Tampa Traseira SAM A8 2018</t>
  </si>
  <si>
    <t>Tampa Traseira SAM A530</t>
  </si>
  <si>
    <t>Tampa Traseira SAM A80</t>
  </si>
  <si>
    <t>Tampa Traseira SAM A920</t>
  </si>
  <si>
    <t>Tampa Traseira SAM J4</t>
  </si>
  <si>
    <t>Tampa Traseira SAM J400</t>
  </si>
  <si>
    <t>Tampa Traseira SAM J4 Plus</t>
  </si>
  <si>
    <t>Tampa Traseira SAM J4 Core</t>
  </si>
  <si>
    <t>Tampa Traseira SAM J4+</t>
  </si>
  <si>
    <t>Tampa Traseira SAM J5</t>
  </si>
  <si>
    <t>Tampa Traseira SAM J5 Pro</t>
  </si>
  <si>
    <t>Tampa Traseira SAM J530</t>
  </si>
  <si>
    <t>Tampa Traseira SAM J6</t>
  </si>
  <si>
    <t>Tampa Traseira SAM J600</t>
  </si>
  <si>
    <t>Tampa Traseira SAM J6 Plus</t>
  </si>
  <si>
    <t>Tampa Traseira SAM J6 Core</t>
  </si>
  <si>
    <t>Tampa Traseira SAM J6+</t>
  </si>
  <si>
    <t>Tampa Traseira SAM J730</t>
  </si>
  <si>
    <t>Tampa Traseira SAM J7 Pro</t>
  </si>
  <si>
    <t>Tampa Traseira SAM M12</t>
  </si>
  <si>
    <t>Tampa Traseira SAM M32</t>
  </si>
  <si>
    <t>Tampa Traseira SAM Galaxy Note 20 Ultra</t>
  </si>
  <si>
    <t>Tampa Traseira SAM Galaxy S20</t>
  </si>
  <si>
    <t>Tampa Traseira SAM Galaxy S20 Ultra</t>
  </si>
  <si>
    <t>Tampa Traseira Xiaomi Mi 8 Lite</t>
  </si>
  <si>
    <t>Tampa Traseira Xiaomi Mi 9T</t>
  </si>
  <si>
    <t>Tampa Traseira Xiaomi Mi A3</t>
  </si>
  <si>
    <t>Tampa Traseira Xiaomi Poco X3 Pro</t>
  </si>
  <si>
    <t>Tampa Traseira Xiaomi Redmi 12</t>
  </si>
  <si>
    <t>Tampa Traseira Xiaomi Redmi 7</t>
  </si>
  <si>
    <t>Tampa Traseira Xiaomi Redmi 9A</t>
  </si>
  <si>
    <t>Tampa Traseira Xiaomi Redmi 9C</t>
  </si>
  <si>
    <t>Tampa Traseira Xiaomi Redmi Note 11s 4G</t>
  </si>
  <si>
    <t>Tampa Traseira Xiaomi Redmi Note 8</t>
  </si>
  <si>
    <t>Tampa Traseira SAM Galaxy Note 10</t>
  </si>
  <si>
    <t>Tampa Traseira SAM Galaxy Note 8</t>
  </si>
  <si>
    <t>Tampa 12 Pro Max</t>
  </si>
  <si>
    <t>Tampa 14 Pro Max</t>
  </si>
  <si>
    <t>Tampa X</t>
  </si>
  <si>
    <t>Tampa XS</t>
  </si>
  <si>
    <t>Tampa XS Max</t>
  </si>
  <si>
    <t>Tampa K10 2017</t>
  </si>
  <si>
    <t>Tampa K10 Power</t>
  </si>
  <si>
    <t>Tampa K11 Plus</t>
  </si>
  <si>
    <t>Tampa K12 Max</t>
  </si>
  <si>
    <t>Tampa K12 Prime</t>
  </si>
  <si>
    <t>Tampa K12</t>
  </si>
  <si>
    <t>Tampa K12 Plus</t>
  </si>
  <si>
    <t>Tampa K22</t>
  </si>
  <si>
    <t>Tampa K22 Plus</t>
  </si>
  <si>
    <t>Tampa K40s</t>
  </si>
  <si>
    <t>Tampa K41s</t>
  </si>
  <si>
    <t>Tampa E22</t>
  </si>
  <si>
    <t>Tampa E5 Play</t>
  </si>
  <si>
    <t>Tampa E5 Plus</t>
  </si>
  <si>
    <t>Tampa E6 Play</t>
  </si>
  <si>
    <t>Tampa Edge 20</t>
  </si>
  <si>
    <t>Tampa G5</t>
  </si>
  <si>
    <t>Tampa G52</t>
  </si>
  <si>
    <t>Tampa G5G</t>
  </si>
  <si>
    <t>Tampa G5s</t>
  </si>
  <si>
    <t>Tampa G6</t>
  </si>
  <si>
    <t>Tampa G6 Play</t>
  </si>
  <si>
    <t>Tampa G6 Plus</t>
  </si>
  <si>
    <t>Tampa G7</t>
  </si>
  <si>
    <t>Tampa G7 Play</t>
  </si>
  <si>
    <t>Tampa G7 Power</t>
  </si>
  <si>
    <t>Tampa G8 Power</t>
  </si>
  <si>
    <t>Tampa One</t>
  </si>
  <si>
    <t>Tampa One Action</t>
  </si>
  <si>
    <t>Tampa A21</t>
  </si>
  <si>
    <t>Tampa A30</t>
  </si>
  <si>
    <t>Tampa A30s</t>
  </si>
  <si>
    <t>Tampa A5 2016</t>
  </si>
  <si>
    <t>Tampa A510</t>
  </si>
  <si>
    <t>Tampa A5 2017</t>
  </si>
  <si>
    <t>Tampa A520</t>
  </si>
  <si>
    <t>Tampa A50</t>
  </si>
  <si>
    <t>Tampa A52</t>
  </si>
  <si>
    <t>Tampa A7 2016</t>
  </si>
  <si>
    <t>Tampa A710</t>
  </si>
  <si>
    <t>Tampa A7 2018</t>
  </si>
  <si>
    <t>Tampa A750</t>
  </si>
  <si>
    <t>Tampa A70</t>
  </si>
  <si>
    <t>Tampa A71</t>
  </si>
  <si>
    <t>Tampa A72</t>
  </si>
  <si>
    <t>Tampa A720</t>
  </si>
  <si>
    <t>Tampa A8 Plus</t>
  </si>
  <si>
    <t>Tampa A730</t>
  </si>
  <si>
    <t>Tampa A8 2018</t>
  </si>
  <si>
    <t>Tampa A530</t>
  </si>
  <si>
    <t>Tampa A80</t>
  </si>
  <si>
    <t>Tampa A920</t>
  </si>
  <si>
    <t>Tampa J4</t>
  </si>
  <si>
    <t>Tampa J400</t>
  </si>
  <si>
    <t>Tampa J4 Plus</t>
  </si>
  <si>
    <t>Tampa J4 Core</t>
  </si>
  <si>
    <t>Tampa J4+</t>
  </si>
  <si>
    <t>Tampa J5</t>
  </si>
  <si>
    <t>Tampa J5 Pro</t>
  </si>
  <si>
    <t>Tampa J530</t>
  </si>
  <si>
    <t>Tampa J6</t>
  </si>
  <si>
    <t>Tampa J600</t>
  </si>
  <si>
    <t>Tampa J6 Plus</t>
  </si>
  <si>
    <t>Tampa J6 Core</t>
  </si>
  <si>
    <t>Tampa J6+</t>
  </si>
  <si>
    <t>Tampa J730</t>
  </si>
  <si>
    <t>Tampa J7 Pro</t>
  </si>
  <si>
    <t>Tampa M12</t>
  </si>
  <si>
    <t>Tampa M32</t>
  </si>
  <si>
    <t>Tampa Galaxy Note 20 Ultra</t>
  </si>
  <si>
    <t>Tampa Galaxy S20</t>
  </si>
  <si>
    <t>Tampa Galaxy S20 Ultra</t>
  </si>
  <si>
    <t>Tampa Mi 8 Lite</t>
  </si>
  <si>
    <t>Tampa Mi 9T</t>
  </si>
  <si>
    <t>Tampa Mi A3</t>
  </si>
  <si>
    <t>Tampa Poco X3 Pro</t>
  </si>
  <si>
    <t>Tampa Redmi 12</t>
  </si>
  <si>
    <t>Tampa Redmi 7</t>
  </si>
  <si>
    <t>Tampa Redmi 9A</t>
  </si>
  <si>
    <t>Tampa Redmi 9C</t>
  </si>
  <si>
    <t>Tampa Redmi Note 11s 4G</t>
  </si>
  <si>
    <t>Tampa Redmi Note 8</t>
  </si>
  <si>
    <t>Tampa Galaxy Note 10</t>
  </si>
  <si>
    <t>Tampa Galaxy Note 8</t>
  </si>
  <si>
    <t>Gaveta K11</t>
  </si>
  <si>
    <t>Gaveta K12</t>
  </si>
  <si>
    <t>Gaveta K12 Prime</t>
  </si>
  <si>
    <t>Gaveta K40s</t>
  </si>
  <si>
    <t>Gaveta K42</t>
  </si>
  <si>
    <t>Gaveta K8 Plus</t>
  </si>
  <si>
    <t>Gaveta E5</t>
  </si>
  <si>
    <t>Gaveta E6 Play</t>
  </si>
  <si>
    <t>Gaveta G22</t>
  </si>
  <si>
    <t>Gaveta E32</t>
  </si>
  <si>
    <t>Gaveta G23</t>
  </si>
  <si>
    <t>Gaveta G5</t>
  </si>
  <si>
    <t>Gaveta G5 Plus</t>
  </si>
  <si>
    <t>Gaveta G52</t>
  </si>
  <si>
    <t>Gaveta G5G Plus</t>
  </si>
  <si>
    <t>Gaveta G6</t>
  </si>
  <si>
    <t>Gaveta G60</t>
  </si>
  <si>
    <t>Gaveta G7 Play</t>
  </si>
  <si>
    <t>Gaveta G7 Power</t>
  </si>
  <si>
    <t>Gaveta G8 Play</t>
  </si>
  <si>
    <t>Gaveta One Macro</t>
  </si>
  <si>
    <t>Gaveta G8 Power</t>
  </si>
  <si>
    <t>Gaveta G8 Power Lite</t>
  </si>
  <si>
    <t>Gaveta E6s</t>
  </si>
  <si>
    <t>Gaveta G9 Plus</t>
  </si>
  <si>
    <t>Gaveta G6 Play</t>
  </si>
  <si>
    <t>Gaveta One</t>
  </si>
  <si>
    <t>Gaveta One Action</t>
  </si>
  <si>
    <t>Gaveta One Vision</t>
  </si>
  <si>
    <t>Gaveta One Fusion</t>
  </si>
  <si>
    <t>Gaveta One Zoom</t>
  </si>
  <si>
    <t>Gaveta A02</t>
  </si>
  <si>
    <t>Gaveta A12</t>
  </si>
  <si>
    <t>Gaveta M12</t>
  </si>
  <si>
    <t>Gaveta A02s</t>
  </si>
  <si>
    <t>Gaveta A03s</t>
  </si>
  <si>
    <t>Gaveta A04E</t>
  </si>
  <si>
    <t>Gaveta A11</t>
  </si>
  <si>
    <t>Gaveta A13 4G</t>
  </si>
  <si>
    <t>Flex Home Biometria Moto G10</t>
  </si>
  <si>
    <t>Flex Home Biometria Moto G30</t>
  </si>
  <si>
    <t>Flex Home Biometria Moto G8</t>
  </si>
  <si>
    <t>Flex Home Biometria Moto One Action</t>
  </si>
  <si>
    <t>Flex Power Biometria SAM A32 4G</t>
  </si>
  <si>
    <t>Gaveta Moto One Fusion Plus</t>
  </si>
  <si>
    <t>Conector iPhone 6s</t>
  </si>
  <si>
    <t>Conector iPhone 6s Plus</t>
  </si>
  <si>
    <t>Tampa iPhone 12 Pro</t>
  </si>
  <si>
    <t>Tampa LG K10</t>
  </si>
  <si>
    <t>Tampa Moto G8</t>
  </si>
  <si>
    <t>Tampa SAM A32 4G</t>
  </si>
  <si>
    <t>Tampa SAM J7</t>
  </si>
  <si>
    <t>Tampa SAM J700</t>
  </si>
  <si>
    <t>Tampa Xiaomi Mi 9 Lite</t>
  </si>
  <si>
    <t>Tampa SAM Galaxy Note 10 Plus</t>
  </si>
  <si>
    <t>Tampa Traseira 12 Pro</t>
  </si>
  <si>
    <t>Tampa Traseira K10</t>
  </si>
  <si>
    <t>Tampa Traseira G8</t>
  </si>
  <si>
    <t>Tampa Traseira A32 4G</t>
  </si>
  <si>
    <t>Tampa Traseira J7</t>
  </si>
  <si>
    <t>Tampa Traseira J700</t>
  </si>
  <si>
    <t>Tampa Traseira Mi 9 Lite</t>
  </si>
  <si>
    <t>Tampa Traseira Galaxy Note 10 Plus</t>
  </si>
  <si>
    <t>Tampa Traseira iPhone 12 Pro</t>
  </si>
  <si>
    <t>Tampa Traseira LG K10</t>
  </si>
  <si>
    <t>Tampa Traseira Moto G8</t>
  </si>
  <si>
    <t>Tampa Traseira SAM A32 4G</t>
  </si>
  <si>
    <t>Tampa Traseira SAM J7</t>
  </si>
  <si>
    <t>Tampa Traseira SAM J700</t>
  </si>
  <si>
    <t>Tampa Traseira Xiaomi Mi 9 Lite</t>
  </si>
  <si>
    <t>Tampa Traseira SAM Galaxy Note 10 Plus</t>
  </si>
  <si>
    <t>Tampa 12 Pro</t>
  </si>
  <si>
    <t>Tampa K10</t>
  </si>
  <si>
    <t>Tampa G8</t>
  </si>
  <si>
    <t>Tampa A32 4G</t>
  </si>
  <si>
    <t>Tampa J7</t>
  </si>
  <si>
    <t>Tampa J700</t>
  </si>
  <si>
    <t>Tampa Mi 9 Lite</t>
  </si>
  <si>
    <t>Tampa Galaxy Note 10 Plus</t>
  </si>
  <si>
    <t>Gaveta One Fusion Plus</t>
  </si>
  <si>
    <t>Flex Home Biometria Moto G20</t>
  </si>
  <si>
    <t>Gaveta Moto E20</t>
  </si>
  <si>
    <t>Gaveta Moto E40</t>
  </si>
  <si>
    <t>Gaveta Moto E7</t>
  </si>
  <si>
    <t>Gaveta Moto E7 Plus</t>
  </si>
  <si>
    <t>Gaveta Moto E7 Power</t>
  </si>
  <si>
    <t>Gaveta Moto G31</t>
  </si>
  <si>
    <t>Gaveta SAM J4 Core</t>
  </si>
  <si>
    <t>Tampa Moto E20</t>
  </si>
  <si>
    <t>Tampa Moto E40</t>
  </si>
  <si>
    <t>Tampa Moto E6s</t>
  </si>
  <si>
    <t>Tampa Moto E6i</t>
  </si>
  <si>
    <t>Tampa Moto E7 Plus</t>
  </si>
  <si>
    <t>Tampa Moto G10</t>
  </si>
  <si>
    <t>Tampa Moto G20</t>
  </si>
  <si>
    <t>Tampa Moto G30</t>
  </si>
  <si>
    <t>Tampa Moto G100</t>
  </si>
  <si>
    <t>Tampa Moto G51</t>
  </si>
  <si>
    <t>Tampa Moto G5G Plus</t>
  </si>
  <si>
    <t>Tampa Moto G60</t>
  </si>
  <si>
    <t>Tampa Moto One Vision</t>
  </si>
  <si>
    <t>Tampa Moto Z3 Play</t>
  </si>
  <si>
    <t>Tampa SAM M10</t>
  </si>
  <si>
    <t>Tampa SAM M30</t>
  </si>
  <si>
    <t>Tampa Xiaomi Redmi Note 11 4G</t>
  </si>
  <si>
    <t>Tampa SAM Galaxy Note 9</t>
  </si>
  <si>
    <t>Tampa Traseira E20</t>
  </si>
  <si>
    <t>Tampa Traseira E40</t>
  </si>
  <si>
    <t>Tampa Traseira E6s</t>
  </si>
  <si>
    <t>Tampa Traseira E6i</t>
  </si>
  <si>
    <t>Tampa Traseira E7 Plus</t>
  </si>
  <si>
    <t>Tampa Traseira G10</t>
  </si>
  <si>
    <t>Tampa Traseira G20</t>
  </si>
  <si>
    <t>Tampa Traseira G30</t>
  </si>
  <si>
    <t>Tampa Traseira G100</t>
  </si>
  <si>
    <t>Tampa Traseira G51</t>
  </si>
  <si>
    <t>Tampa Traseira G5G Plus</t>
  </si>
  <si>
    <t>Tampa Traseira G60</t>
  </si>
  <si>
    <t>Tampa Traseira One Vision</t>
  </si>
  <si>
    <t>Tampa Traseira Z3 Play</t>
  </si>
  <si>
    <t>Tampa Traseira M10</t>
  </si>
  <si>
    <t>Tampa Traseira M30</t>
  </si>
  <si>
    <t>Tampa Traseira Redmi Note 11 4G</t>
  </si>
  <si>
    <t>Tampa Traseira Galaxy Note 9</t>
  </si>
  <si>
    <t>Tampa Traseira Moto E20</t>
  </si>
  <si>
    <t>Tampa Traseira Moto E40</t>
  </si>
  <si>
    <t>Tampa Traseira Moto E6s</t>
  </si>
  <si>
    <t>Tampa Traseira Moto E6i</t>
  </si>
  <si>
    <t>Tampa Traseira Moto E7 Plus</t>
  </si>
  <si>
    <t>Tampa Traseira Moto G10</t>
  </si>
  <si>
    <t>Tampa Traseira Moto G20</t>
  </si>
  <si>
    <t>Tampa Traseira Moto G30</t>
  </si>
  <si>
    <t>Tampa Traseira Moto G100</t>
  </si>
  <si>
    <t>Tampa Traseira Moto G51</t>
  </si>
  <si>
    <t>Tampa Traseira Moto G5G Plus</t>
  </si>
  <si>
    <t>Tampa Traseira Moto G60</t>
  </si>
  <si>
    <t>Tampa Traseira Moto One Vision</t>
  </si>
  <si>
    <t>Tampa Traseira Moto Z3 Play</t>
  </si>
  <si>
    <t>Tampa Traseira SAM M10</t>
  </si>
  <si>
    <t>Tampa Traseira SAM M30</t>
  </si>
  <si>
    <t>Tampa Traseira Xiaomi Redmi Note 11 4G</t>
  </si>
  <si>
    <t>Tampa Traseira SAM Galaxy Note 9</t>
  </si>
  <si>
    <t>Tampa E20</t>
  </si>
  <si>
    <t>Tampa E40</t>
  </si>
  <si>
    <t>Tampa E6s</t>
  </si>
  <si>
    <t>Tampa E6i</t>
  </si>
  <si>
    <t>Tampa E7 Plus</t>
  </si>
  <si>
    <t>Tampa G10</t>
  </si>
  <si>
    <t>Tampa G20</t>
  </si>
  <si>
    <t>Tampa G30</t>
  </si>
  <si>
    <t>Tampa G100</t>
  </si>
  <si>
    <t>Tampa G51</t>
  </si>
  <si>
    <t>Tampa G5G Plus</t>
  </si>
  <si>
    <t>Tampa G60</t>
  </si>
  <si>
    <t>Tampa One Vision</t>
  </si>
  <si>
    <t>Tampa Z3 Play</t>
  </si>
  <si>
    <t>Tampa M10</t>
  </si>
  <si>
    <t>Tampa M30</t>
  </si>
  <si>
    <t>Tampa Redmi Note 11 4G</t>
  </si>
  <si>
    <t>Tampa Galaxy Note 9</t>
  </si>
  <si>
    <t>Gaveta E20</t>
  </si>
  <si>
    <t>Gaveta E40</t>
  </si>
  <si>
    <t>Gaveta E7</t>
  </si>
  <si>
    <t>Gaveta E7 Plus</t>
  </si>
  <si>
    <t>Gaveta E7 Power</t>
  </si>
  <si>
    <t>Gaveta G31</t>
  </si>
  <si>
    <t>Gaveta LG K52</t>
  </si>
  <si>
    <t>Gaveta Moto G5G</t>
  </si>
  <si>
    <t>Conector iPhone 6 Plus</t>
  </si>
  <si>
    <t>Tampa LG K10 Pro</t>
  </si>
  <si>
    <t>Tampa LG Velvet</t>
  </si>
  <si>
    <t>Tampa Moto E5</t>
  </si>
  <si>
    <t>Tampa Moto G31</t>
  </si>
  <si>
    <t>Tampa Moto One Zoom</t>
  </si>
  <si>
    <t>Tampa SAM Galaxy Note 20</t>
  </si>
  <si>
    <t>Tampa SAM Galaxy S20 Plus</t>
  </si>
  <si>
    <t>Tampa Traseira K10 Pro</t>
  </si>
  <si>
    <t>Tampa Traseira Velvet</t>
  </si>
  <si>
    <t>Tampa Traseira E5</t>
  </si>
  <si>
    <t>Tampa Traseira G31</t>
  </si>
  <si>
    <t>Tampa Traseira One Zoom</t>
  </si>
  <si>
    <t>Tampa Traseira A73/Preto</t>
  </si>
  <si>
    <t>Tampa Traseira Galaxy Note 20</t>
  </si>
  <si>
    <t>Tampa Traseira Galaxy S20 Plus</t>
  </si>
  <si>
    <t>Tampa Traseira LG K10 Pro</t>
  </si>
  <si>
    <t>Tampa Traseira LG Velvet</t>
  </si>
  <si>
    <t>Tampa Traseira Moto E5</t>
  </si>
  <si>
    <t>Tampa Traseira Moto G31</t>
  </si>
  <si>
    <t>Tampa Traseira Moto One Zoom</t>
  </si>
  <si>
    <t>Tampa Traseira SAM Galaxy Note 20</t>
  </si>
  <si>
    <t>Tampa Traseira SAM Galaxy S20 Plus</t>
  </si>
  <si>
    <t>Tampa K10 Pro</t>
  </si>
  <si>
    <t>Tampa Velvet</t>
  </si>
  <si>
    <t>Tampa E5</t>
  </si>
  <si>
    <t>Tampa G31</t>
  </si>
  <si>
    <t>Tampa One Zoom</t>
  </si>
  <si>
    <t>Tampa Galaxy Note 20</t>
  </si>
  <si>
    <t>Tampa Galaxy S20 Plus</t>
  </si>
  <si>
    <t>Gaveta K52</t>
  </si>
  <si>
    <t>Gaveta G5G</t>
  </si>
  <si>
    <t>Gaveta Moto E6i</t>
  </si>
  <si>
    <t>Gaveta E6i</t>
  </si>
  <si>
    <t>Gaveta iPhone 12</t>
  </si>
  <si>
    <t>Tampa Poco X4 Pro 5G</t>
  </si>
  <si>
    <t>Tampa Galaxy S8 Plus</t>
  </si>
  <si>
    <t>Tampa J701</t>
  </si>
  <si>
    <t>Tampa J7 Neo</t>
  </si>
  <si>
    <t>Tampa Moto G9 Plus</t>
  </si>
  <si>
    <t>Tampa SAM J7 Neo</t>
  </si>
  <si>
    <t>Tampa SAM J701</t>
  </si>
  <si>
    <t>Tampa Traseira G9 Plus</t>
  </si>
  <si>
    <t>Tampa Traseira J7 Neo</t>
  </si>
  <si>
    <t>Tampa Traseira J701</t>
  </si>
  <si>
    <t>Tampa Traseira Moto G9 Plus</t>
  </si>
  <si>
    <t>Tampa Traseira SAM J7 Neo</t>
  </si>
  <si>
    <t>Tampa Traseira SAM J701</t>
  </si>
  <si>
    <t>Tampa G9 Plus</t>
  </si>
  <si>
    <t>Flex Power Biometria Moto G5G Plus</t>
  </si>
  <si>
    <t>Gaveta Moto G60s</t>
  </si>
  <si>
    <t>Tampa Moto G60s</t>
  </si>
  <si>
    <t>Tampa SAM Galaxy S8 Plus</t>
  </si>
  <si>
    <t>Tampa Traseira G60s</t>
  </si>
  <si>
    <t>Tampa Traseira Galaxy S8 Plus</t>
  </si>
  <si>
    <t>Tampa Traseira Moto G60s</t>
  </si>
  <si>
    <t>Tampa Traseira SAM Galaxy S8 Plus</t>
  </si>
  <si>
    <t>Tampa G60s</t>
  </si>
  <si>
    <t>Gaveta G60s</t>
  </si>
  <si>
    <t>Flex Home Biometria Moto One Macro</t>
  </si>
  <si>
    <t>Tampa Moto One Macro</t>
  </si>
  <si>
    <t>Tampa Traseira One Macro</t>
  </si>
  <si>
    <t>Tampa Traseira Moto One Macro</t>
  </si>
  <si>
    <t>Tampa One Macro</t>
  </si>
  <si>
    <t>Tampa A73</t>
  </si>
  <si>
    <t>Tampa Traseira G5s Plus</t>
  </si>
  <si>
    <t>Tampa SAM Galaxy S8</t>
  </si>
  <si>
    <t>Flex Home Biometria Moto G7 Play</t>
  </si>
  <si>
    <t>Flex Home Biometria Moto G7 Power</t>
  </si>
  <si>
    <t>Flex Home Biometria Moto G7 Plus</t>
  </si>
  <si>
    <t>Flex Home Biometria Moto G7</t>
  </si>
  <si>
    <t>Flex Home Biometria Moto G8 Power Lite</t>
  </si>
  <si>
    <t>Flex Home Biometria Moto E6s</t>
  </si>
  <si>
    <t>Flex Home Biometria Moto X4</t>
  </si>
  <si>
    <t>Flex Home Biometria Redmi Note 10 4G</t>
  </si>
  <si>
    <t>Flex Home Biometria Redmi 9T</t>
  </si>
  <si>
    <t>Flex Home Biometria Poco M3</t>
  </si>
  <si>
    <t>Flex Home Biometria Redmi Note 7</t>
  </si>
  <si>
    <t>Flex Home Biometria Redmi Note 7 Pro</t>
  </si>
  <si>
    <t>Flex Home Biometria SAM A03</t>
  </si>
  <si>
    <t>Flex Home Biometria SAM A03s</t>
  </si>
  <si>
    <t>Flex Home Biometria SAM A03 Core</t>
  </si>
  <si>
    <t>Flex Home Biometria SAM A20</t>
  </si>
  <si>
    <t>Flex Home Biometria SAM A30</t>
  </si>
  <si>
    <t>Flex Home Biometria SAM A5 2017</t>
  </si>
  <si>
    <t>Flex Home Biometria SAM A520</t>
  </si>
  <si>
    <t>Flex Home Biometria SAM A7 2017</t>
  </si>
  <si>
    <t>Flex Home Biometria SAM A720</t>
  </si>
  <si>
    <t>Flex Home Biometria SAM A3 2017</t>
  </si>
  <si>
    <t>Flex Home Biometria SAM A320</t>
  </si>
  <si>
    <t>Flex Home Biometria SAM J5 Pro</t>
  </si>
  <si>
    <t>Flex Home Biometria SAM J530</t>
  </si>
  <si>
    <t>Flex Home Biometria SAM J7 Pro</t>
  </si>
  <si>
    <t>Flex Home Biometria SAM J730</t>
  </si>
  <si>
    <t>Flex Home Biometria SAM J6</t>
  </si>
  <si>
    <t>Flex Home Biometria SAM J600</t>
  </si>
  <si>
    <t>Flex Home Biometria SAM J8</t>
  </si>
  <si>
    <t>Flex Home Biometria SAM J800</t>
  </si>
  <si>
    <t>Flex Home Biometria Xiaomi Poco X3</t>
  </si>
  <si>
    <t>Flex Home Biometria Xiaomi Poco X3 Pro</t>
  </si>
  <si>
    <t>Flex Home Biometria Xiaomi Redmi Note 9s</t>
  </si>
  <si>
    <t>Flex Home Biometria Xiaomi Redmi Note 9 Pro</t>
  </si>
  <si>
    <t>Flex Home Biometria Xiaomi Redmi 8</t>
  </si>
  <si>
    <t>Flex Home Biometria Xiaomi Redmi 8A</t>
  </si>
  <si>
    <t>Flex Home Biometria Xiaomi Redmi 9</t>
  </si>
  <si>
    <t>Flex Home iPhone 6</t>
  </si>
  <si>
    <t>Flex Home iPhone 6 Plus</t>
  </si>
  <si>
    <t>Flex Home iPhone 6s</t>
  </si>
  <si>
    <t>Flex Home iPhone 6s Plus</t>
  </si>
  <si>
    <t>Flex Home iPhone 7</t>
  </si>
  <si>
    <t>Flex Home iPhone 7 Plus</t>
  </si>
  <si>
    <t>Flex Home iPhone 8</t>
  </si>
  <si>
    <t>Flex Home iPhone 8 Plus</t>
  </si>
  <si>
    <t>Flex Home iPhone SE 2020</t>
  </si>
  <si>
    <t>Flex Home Voltar P2 Fone J5 Metal</t>
  </si>
  <si>
    <t>Flex Home Voltar P2 Fone J510</t>
  </si>
  <si>
    <t>Flex Home Voltar P2 Fone J7 Neo</t>
  </si>
  <si>
    <t>Flex Home Voltar P2 Fone J701</t>
  </si>
  <si>
    <t>Flex Home Voltar P2 Fone SAM J700</t>
  </si>
  <si>
    <t>Flex Home Voltar P2 Fone SAM J7 Metal</t>
  </si>
  <si>
    <t>Flex Home Voltar P2 Fone SAM J710</t>
  </si>
  <si>
    <t>Flex Home Voltar SAM G530</t>
  </si>
  <si>
    <t>Flex Home Voltar SAM G531</t>
  </si>
  <si>
    <t>Flex Home Voltar SAM G532</t>
  </si>
  <si>
    <t>Flex Home LG K12</t>
  </si>
  <si>
    <t>Flex Home LG K12 Prime</t>
  </si>
  <si>
    <t>Flex Home LG K12 Max</t>
  </si>
  <si>
    <t>Flex Home LG K50</t>
  </si>
  <si>
    <t>Flex Home LG K12 Plus</t>
  </si>
  <si>
    <t>Flex Home LG K40s</t>
  </si>
  <si>
    <t>Flex Home LG K41s</t>
  </si>
  <si>
    <t>Flex Home LG K42</t>
  </si>
  <si>
    <t>Flex Home LG K52</t>
  </si>
  <si>
    <t>Flex Home LG K62</t>
  </si>
  <si>
    <t>Flex Home LG K62 Plus</t>
  </si>
  <si>
    <t>Flex Home LG K50s</t>
  </si>
  <si>
    <t>Flex Home LG K51s</t>
  </si>
  <si>
    <t>Flex Home LG K61</t>
  </si>
  <si>
    <t>Flex Home Xiaomi Mi A2 Lite</t>
  </si>
  <si>
    <t>Flex Home Moto E5</t>
  </si>
  <si>
    <t>Flex Home Moto E5 Plus</t>
  </si>
  <si>
    <t>Flex Home Moto G6 Play</t>
  </si>
  <si>
    <t>Flex Home Moto E6 Play</t>
  </si>
  <si>
    <t>Flex Home Moto E7</t>
  </si>
  <si>
    <t>Flex Home Moto E7 Power</t>
  </si>
  <si>
    <t>Flex Home Moto E7 Plus</t>
  </si>
  <si>
    <t>Flex Home Moto G10</t>
  </si>
  <si>
    <t>Flex Home Moto G30</t>
  </si>
  <si>
    <t>Flex Home Moto G20</t>
  </si>
  <si>
    <t>Flex Home Moto G5</t>
  </si>
  <si>
    <t>Flex Home Moto G5s</t>
  </si>
  <si>
    <t>Flex Home Moto G5 Plus</t>
  </si>
  <si>
    <t>Flex Home Moto G5G</t>
  </si>
  <si>
    <t>Flex Home Moto G5s Plus</t>
  </si>
  <si>
    <t>Flex Home Moto G60</t>
  </si>
  <si>
    <t>Flex Home Moto G60s</t>
  </si>
  <si>
    <t>Flex Home Moto G7</t>
  </si>
  <si>
    <t>Flex Home Moto G7 Play</t>
  </si>
  <si>
    <t>Flex Home Moto G7 Power</t>
  </si>
  <si>
    <t>Flex Home Moto G7 Plus</t>
  </si>
  <si>
    <t>Flex Home Moto G8</t>
  </si>
  <si>
    <t>Flex Home Moto G8 Play</t>
  </si>
  <si>
    <t>Flex Home Moto G8 Plus</t>
  </si>
  <si>
    <t>Flex Home Moto G8 Power</t>
  </si>
  <si>
    <t>Flex Home Moto G8 Power Lite</t>
  </si>
  <si>
    <t>Flex Home Moto E6s</t>
  </si>
  <si>
    <t>Flex Home Moto G9 Play</t>
  </si>
  <si>
    <t>Flex Home Moto G9 Plus</t>
  </si>
  <si>
    <t>Flex Home Moto G9 Power</t>
  </si>
  <si>
    <t>Flex Home Moto One</t>
  </si>
  <si>
    <t>Flex Home Moto One Action</t>
  </si>
  <si>
    <t>Flex Home Moto One Fusion</t>
  </si>
  <si>
    <t>Flex Home Moto One Fusion Plus</t>
  </si>
  <si>
    <t>Flex Home Moto One Macro</t>
  </si>
  <si>
    <t>Flex Home Moto One Vision</t>
  </si>
  <si>
    <t>Flex Home Moto X4</t>
  </si>
  <si>
    <t>Flex Home Redmi 9T</t>
  </si>
  <si>
    <t>Flex Home Poco M3</t>
  </si>
  <si>
    <t>Flex Home Redmi Note 9</t>
  </si>
  <si>
    <t>Flex Home Redmi Note 10 4G</t>
  </si>
  <si>
    <t>Flex Home Redmi Note 6 Pro</t>
  </si>
  <si>
    <t>Flex Home Redmi Note 7</t>
  </si>
  <si>
    <t>Flex Home Redmi Note 7 Pro</t>
  </si>
  <si>
    <t>Flex Home Redmi Note 8</t>
  </si>
  <si>
    <t>Flex Home Redmi Note 8 Pro</t>
  </si>
  <si>
    <t>Flex Home SAM A03</t>
  </si>
  <si>
    <t>Flex Home SAM A03s</t>
  </si>
  <si>
    <t>Flex Home SAM A03 Core</t>
  </si>
  <si>
    <t>Flex Home SAM A10s</t>
  </si>
  <si>
    <t>Flex Home SAM A11</t>
  </si>
  <si>
    <t>Flex Home SAM A20</t>
  </si>
  <si>
    <t>Flex Home SAM A30</t>
  </si>
  <si>
    <t>Flex Home SAM A20s</t>
  </si>
  <si>
    <t>Flex Home SAM A21s</t>
  </si>
  <si>
    <t>Flex Home SAM A5 2017</t>
  </si>
  <si>
    <t>Flex Home SAM A520</t>
  </si>
  <si>
    <t>Flex Home SAM A7 2017</t>
  </si>
  <si>
    <t>Flex Home SAM A720</t>
  </si>
  <si>
    <t>Flex Home SAM A3 2017</t>
  </si>
  <si>
    <t>Flex Home SAM A320</t>
  </si>
  <si>
    <t>Flex Home SAM J5 Pro</t>
  </si>
  <si>
    <t>Flex Home SAM J530</t>
  </si>
  <si>
    <t>Flex Home SAM J7 Pro</t>
  </si>
  <si>
    <t>Flex Home SAM J730</t>
  </si>
  <si>
    <t>Flex Home SAM J6</t>
  </si>
  <si>
    <t>Flex Home SAM J600</t>
  </si>
  <si>
    <t>Flex Home SAM J8</t>
  </si>
  <si>
    <t>Flex Home SAM J800</t>
  </si>
  <si>
    <t>Flex Home Xiaomi Mi 8</t>
  </si>
  <si>
    <t>Flex Home Xiaomi Mi 9</t>
  </si>
  <si>
    <t>Flex Home Xiaomi Poco X3</t>
  </si>
  <si>
    <t>Flex Home Xiaomi Poco X3 Pro</t>
  </si>
  <si>
    <t>Flex Home Xiaomi Redmi Note 9s</t>
  </si>
  <si>
    <t>Flex Home Xiaomi Redmi Note 9 Pro</t>
  </si>
  <si>
    <t>Flex Home Xiaomi Redmi 8</t>
  </si>
  <si>
    <t>Flex Home Xiaomi Redmi 8A</t>
  </si>
  <si>
    <t>Flex Home Xiaomi Redmi 9</t>
  </si>
  <si>
    <t>Flex Home Xiaomi Redmi 9A</t>
  </si>
  <si>
    <t>Flex Home SAM G530</t>
  </si>
  <si>
    <t>Flex Home SAM G531</t>
  </si>
  <si>
    <t>Flex Home SAM G532</t>
  </si>
  <si>
    <t>Flex Home J5 Metal</t>
  </si>
  <si>
    <t>Flex Home J510</t>
  </si>
  <si>
    <t>Flex Home J5 Prime</t>
  </si>
  <si>
    <t>Flex Home J7 Neo</t>
  </si>
  <si>
    <t>Flex Home J7 Prime</t>
  </si>
  <si>
    <t>Flex Home SAM J7</t>
  </si>
  <si>
    <t>Flex Home J701</t>
  </si>
  <si>
    <t>Flex Home SAM J700</t>
  </si>
  <si>
    <t>Flex Home SAM J7 Metal</t>
  </si>
  <si>
    <t>Flex Home SAM J710</t>
  </si>
  <si>
    <t>Flex Home Biometria Moto G71</t>
  </si>
  <si>
    <t>Flex Home Biometria Moto G31</t>
  </si>
  <si>
    <t>Flex Home Moto G71</t>
  </si>
  <si>
    <t>Flex Home Moto G31</t>
  </si>
  <si>
    <t>Flex Assistente LG K22</t>
  </si>
  <si>
    <t>Flex Assistente LG K22 Plus</t>
  </si>
  <si>
    <t>Flex Home K12</t>
  </si>
  <si>
    <t>Flex Home K12 Prime</t>
  </si>
  <si>
    <t>Flex Home K12 Max</t>
  </si>
  <si>
    <t>Flex Home K50</t>
  </si>
  <si>
    <t>Flex Home K12 Plus</t>
  </si>
  <si>
    <t>Flex Home K40s</t>
  </si>
  <si>
    <t>Flex Home K41s</t>
  </si>
  <si>
    <t>Flex Home K42</t>
  </si>
  <si>
    <t>Flex Home K52</t>
  </si>
  <si>
    <t>Flex Home K62</t>
  </si>
  <si>
    <t>Flex Home K62 Plus</t>
  </si>
  <si>
    <t>Flex Home K50s</t>
  </si>
  <si>
    <t>Flex Home K51s</t>
  </si>
  <si>
    <t>Flex Home K61</t>
  </si>
  <si>
    <t>Flex Home Mi A2 Lite</t>
  </si>
  <si>
    <t>Flex Home Mi 8</t>
  </si>
  <si>
    <t>Flex Home Mi 9</t>
  </si>
  <si>
    <t>Flex Home Poco X3</t>
  </si>
  <si>
    <t>Flex Home Poco X3 Pro</t>
  </si>
  <si>
    <t>Flex Home Redmi Note 9s</t>
  </si>
  <si>
    <t>Flex Home Redmi Note 9 Pro</t>
  </si>
  <si>
    <t>Flex Home Redmi 8</t>
  </si>
  <si>
    <t>Flex Home Redmi 8A</t>
  </si>
  <si>
    <t>Flex Home Redmi 9</t>
  </si>
  <si>
    <t>Flex Home Redmi 9A</t>
  </si>
  <si>
    <t>Flex Home E5</t>
  </si>
  <si>
    <t>Flex Home E5 Plus</t>
  </si>
  <si>
    <t>Flex Home G6 Play</t>
  </si>
  <si>
    <t>Flex Home E6 Play</t>
  </si>
  <si>
    <t>Flex Home E7</t>
  </si>
  <si>
    <t>Flex Home E7 Power</t>
  </si>
  <si>
    <t>Flex Home E7 Plus</t>
  </si>
  <si>
    <t>Flex Home G10</t>
  </si>
  <si>
    <t>Flex Home G30</t>
  </si>
  <si>
    <t>Flex Home G20</t>
  </si>
  <si>
    <t>Flex Home G5</t>
  </si>
  <si>
    <t>Flex Home G5s</t>
  </si>
  <si>
    <t>Flex Home G5 Plus</t>
  </si>
  <si>
    <t>Flex Home G5G</t>
  </si>
  <si>
    <t>Flex Home G5s Plus</t>
  </si>
  <si>
    <t>Flex Home G60</t>
  </si>
  <si>
    <t>Flex Home G60s</t>
  </si>
  <si>
    <t>Flex Home G7</t>
  </si>
  <si>
    <t>Flex Home G7 Play</t>
  </si>
  <si>
    <t>Flex Home G7 Power</t>
  </si>
  <si>
    <t>Flex Home G7 Plus</t>
  </si>
  <si>
    <t>Flex Home G71</t>
  </si>
  <si>
    <t>Flex Home G31</t>
  </si>
  <si>
    <t>Flex Home G8</t>
  </si>
  <si>
    <t>Flex Home G8 Play</t>
  </si>
  <si>
    <t>Flex Home G8 Plus</t>
  </si>
  <si>
    <t>Flex Home G8 Power</t>
  </si>
  <si>
    <t>Flex Home G8 Power Lite</t>
  </si>
  <si>
    <t>Flex Home E6s</t>
  </si>
  <si>
    <t>Flex Home G9 Play</t>
  </si>
  <si>
    <t>Flex Home G9 Plus</t>
  </si>
  <si>
    <t>Flex Home G9 Power</t>
  </si>
  <si>
    <t>Flex Home One</t>
  </si>
  <si>
    <t>Flex Home One Action</t>
  </si>
  <si>
    <t>Flex Home One Fusion</t>
  </si>
  <si>
    <t>Flex Home One Fusion Plus</t>
  </si>
  <si>
    <t>Flex Home One Macro</t>
  </si>
  <si>
    <t>Flex Home One Vision</t>
  </si>
  <si>
    <t>Flex Home X4</t>
  </si>
  <si>
    <t>Flex Home A03</t>
  </si>
  <si>
    <t>Flex Home A03s</t>
  </si>
  <si>
    <t>Flex Home A03 Core</t>
  </si>
  <si>
    <t>Flex Home A10s</t>
  </si>
  <si>
    <t>Flex Home A11</t>
  </si>
  <si>
    <t>Flex Home A20</t>
  </si>
  <si>
    <t>Flex Home A30</t>
  </si>
  <si>
    <t>Flex Home A20s</t>
  </si>
  <si>
    <t>Flex Home A21s</t>
  </si>
  <si>
    <t>Flex Home A5 2017</t>
  </si>
  <si>
    <t>Flex Home A520</t>
  </si>
  <si>
    <t>Flex Home A7 2017</t>
  </si>
  <si>
    <t>Flex Home A720</t>
  </si>
  <si>
    <t>Flex Home A3 2017</t>
  </si>
  <si>
    <t>Flex Home A320</t>
  </si>
  <si>
    <t>Flex Home J5 Pro</t>
  </si>
  <si>
    <t>Flex Home J530</t>
  </si>
  <si>
    <t>Flex Home J7 Pro</t>
  </si>
  <si>
    <t>Flex Home J730</t>
  </si>
  <si>
    <t>Flex Home J6</t>
  </si>
  <si>
    <t>Flex Home J600</t>
  </si>
  <si>
    <t>Flex Home J8</t>
  </si>
  <si>
    <t>Flex Home J800</t>
  </si>
  <si>
    <t>Flex Home J7</t>
  </si>
  <si>
    <t>Flex Home J700</t>
  </si>
  <si>
    <t>Flex Home J7 Metal</t>
  </si>
  <si>
    <t>Flex Home J710</t>
  </si>
  <si>
    <t>Flex Home G530</t>
  </si>
  <si>
    <t>Flex Home G531</t>
  </si>
  <si>
    <t>Flex Home G532</t>
  </si>
  <si>
    <t>Flex Assistente K22</t>
  </si>
  <si>
    <t>Flex Assistente K22 Plus</t>
  </si>
  <si>
    <t>Flex Home 6 Plus</t>
  </si>
  <si>
    <t>Flex Home 6s Plus</t>
  </si>
  <si>
    <t>Flex Home 7 Plus</t>
  </si>
  <si>
    <t>Flex Home 8 Plus</t>
  </si>
  <si>
    <t>Flex Biometria LG K12</t>
  </si>
  <si>
    <t>Flex Biometria LG K12 Prime</t>
  </si>
  <si>
    <t>Flex Biometria LG K12 Max</t>
  </si>
  <si>
    <t>Flex Biometria LG K50</t>
  </si>
  <si>
    <t>Flex Biometria LG K12 Plus</t>
  </si>
  <si>
    <t>Flex Biometria LG K40s</t>
  </si>
  <si>
    <t>Flex Biometria LG K41s</t>
  </si>
  <si>
    <t>Flex Biometria LG K42</t>
  </si>
  <si>
    <t>Flex Biometria LG K52</t>
  </si>
  <si>
    <t>Flex Biometria LG K62</t>
  </si>
  <si>
    <t>Flex Biometria LG K62 Plus</t>
  </si>
  <si>
    <t>Flex Biometria LG K50s</t>
  </si>
  <si>
    <t>Flex Biometria LG K51s</t>
  </si>
  <si>
    <t>Flex Biometria LG K61</t>
  </si>
  <si>
    <t>Flex Biometria Xiaomi Mi A2 Lite</t>
  </si>
  <si>
    <t>Flex Biometria Moto E5</t>
  </si>
  <si>
    <t>Flex Biometria Moto E5 Plus</t>
  </si>
  <si>
    <t>Flex Biometria Moto G6 Play</t>
  </si>
  <si>
    <t>Flex Biometria Moto E6 Play</t>
  </si>
  <si>
    <t>Flex Biometria Moto E7</t>
  </si>
  <si>
    <t>Flex Biometria Moto E7 Power</t>
  </si>
  <si>
    <t>Flex Biometria Moto E7 Plus</t>
  </si>
  <si>
    <t>Flex Biometria Moto G10</t>
  </si>
  <si>
    <t>Flex Biometria Moto G30</t>
  </si>
  <si>
    <t>Flex Biometria Moto G20</t>
  </si>
  <si>
    <t>Flex Biometria Moto G5</t>
  </si>
  <si>
    <t>Flex Biometria Moto G5s</t>
  </si>
  <si>
    <t>Flex Biometria Moto G5 Plus</t>
  </si>
  <si>
    <t>Flex Biometria Moto G5G</t>
  </si>
  <si>
    <t>Flex Biometria Moto G5s Plus</t>
  </si>
  <si>
    <t>Flex Biometria Moto G60</t>
  </si>
  <si>
    <t>Flex Biometria Moto G60s</t>
  </si>
  <si>
    <t>Flex Biometria Moto G7</t>
  </si>
  <si>
    <t>Flex Biometria Moto G7 Play</t>
  </si>
  <si>
    <t>Flex Biometria Moto G7 Power</t>
  </si>
  <si>
    <t>Flex Biometria Moto G7 Plus</t>
  </si>
  <si>
    <t>Flex Biometria Moto G71</t>
  </si>
  <si>
    <t>Flex Biometria Moto G31</t>
  </si>
  <si>
    <t>Flex Biometria Moto G8</t>
  </si>
  <si>
    <t>Flex Biometria Moto G8 Play</t>
  </si>
  <si>
    <t>Flex Biometria Moto G8 Plus</t>
  </si>
  <si>
    <t>Flex Biometria Moto G8 Power</t>
  </si>
  <si>
    <t>Flex Biometria Moto G8 Power Lite</t>
  </si>
  <si>
    <t>Flex Biometria Moto E6s</t>
  </si>
  <si>
    <t>Flex Biometria Moto G9 Play</t>
  </si>
  <si>
    <t>Flex Biometria Moto G9 Plus</t>
  </si>
  <si>
    <t>Flex Biometria Moto G9 Power</t>
  </si>
  <si>
    <t>Flex Biometria Moto One</t>
  </si>
  <si>
    <t>Flex Biometria Moto One Action</t>
  </si>
  <si>
    <t>Flex Biometria Moto One Fusion</t>
  </si>
  <si>
    <t>Flex Biometria Moto One Fusion Plus</t>
  </si>
  <si>
    <t>Flex Biometria Moto One Macro</t>
  </si>
  <si>
    <t>Flex Biometria Moto One Vision</t>
  </si>
  <si>
    <t>Flex Biometria Moto X4</t>
  </si>
  <si>
    <t>Flex Biometria Redmi 9T</t>
  </si>
  <si>
    <t>Flex Biometria Poco M3</t>
  </si>
  <si>
    <t>Flex Biometria Redmi Note 9</t>
  </si>
  <si>
    <t>Flex Biometria Redmi Note 10 4G</t>
  </si>
  <si>
    <t>Flex Biometria Redmi Note 6 Pro</t>
  </si>
  <si>
    <t>Flex Biometria Redmi Note 7</t>
  </si>
  <si>
    <t>Flex Biometria Redmi Note 7 Pro</t>
  </si>
  <si>
    <t>Flex Biometria Redmi Note 8</t>
  </si>
  <si>
    <t>Flex Biometria Redmi Note 8 Pro</t>
  </si>
  <si>
    <t>Flex Biometria SAM A03</t>
  </si>
  <si>
    <t>Flex Biometria SAM A03s</t>
  </si>
  <si>
    <t>Flex Biometria SAM A03 Core</t>
  </si>
  <si>
    <t>Flex Biometria SAM A10s</t>
  </si>
  <si>
    <t>Flex Biometria SAM A11</t>
  </si>
  <si>
    <t>Flex Biometria SAM A20</t>
  </si>
  <si>
    <t>Flex Biometria SAM A30</t>
  </si>
  <si>
    <t>Flex Biometria SAM A20s</t>
  </si>
  <si>
    <t>Flex Biometria SAM A21s</t>
  </si>
  <si>
    <t>Flex Biometria SAM A5 2017</t>
  </si>
  <si>
    <t>Flex Biometria SAM A520</t>
  </si>
  <si>
    <t>Flex Biometria SAM A7 2017</t>
  </si>
  <si>
    <t>Flex Biometria SAM A720</t>
  </si>
  <si>
    <t>Flex Biometria SAM A3 2017</t>
  </si>
  <si>
    <t>Flex Biometria SAM A320</t>
  </si>
  <si>
    <t>Flex Biometria SAM J5 Pro</t>
  </si>
  <si>
    <t>Flex Biometria SAM J530</t>
  </si>
  <si>
    <t>Flex Biometria SAM J7 Pro</t>
  </si>
  <si>
    <t>Flex Biometria SAM J730</t>
  </si>
  <si>
    <t>Flex Biometria SAM J6</t>
  </si>
  <si>
    <t>Flex Biometria SAM J600</t>
  </si>
  <si>
    <t>Flex Biometria SAM J8</t>
  </si>
  <si>
    <t>Flex Biometria SAM J800</t>
  </si>
  <si>
    <t>Flex Biometria Xiaomi Mi 8</t>
  </si>
  <si>
    <t>Flex Biometria Xiaomi Mi 9</t>
  </si>
  <si>
    <t>Flex Biometria Xiaomi Poco X3</t>
  </si>
  <si>
    <t>Flex Biometria Xiaomi Poco X3 Pro</t>
  </si>
  <si>
    <t>Flex Biometria Xiaomi Redmi Note 9s</t>
  </si>
  <si>
    <t>Flex Biometria Xiaomi Redmi Note 9 Pro</t>
  </si>
  <si>
    <t>Flex Biometria Xiaomi Redmi 8</t>
  </si>
  <si>
    <t>Flex Biometria Xiaomi Redmi 8A</t>
  </si>
  <si>
    <t>Flex Biometria Xiaomi Redmi 9</t>
  </si>
  <si>
    <t>Flex Biometria Xiaomi Redmi 9A</t>
  </si>
  <si>
    <t>Flex Voltar SAM G530</t>
  </si>
  <si>
    <t>Flex Voltar SAM G531</t>
  </si>
  <si>
    <t>Flex Voltar SAM G532</t>
  </si>
  <si>
    <t>Flex Voltar J5 Metal</t>
  </si>
  <si>
    <t>Flex Voltar J510</t>
  </si>
  <si>
    <t>Flex Voltar J5 Prime</t>
  </si>
  <si>
    <t>Flex Voltar J7 Neo</t>
  </si>
  <si>
    <t>Flex Voltar J701</t>
  </si>
  <si>
    <t>Flex Voltar J7 Prime</t>
  </si>
  <si>
    <t>Flex Voltar SAM J7</t>
  </si>
  <si>
    <t>Flex Voltar SAM J700</t>
  </si>
  <si>
    <t>Flex Voltar SAM J7 Metal</t>
  </si>
  <si>
    <t>Flex Voltar SAM J710</t>
  </si>
  <si>
    <t>Flex Biometria K12</t>
  </si>
  <si>
    <t>Flex Biometria K12 Prime</t>
  </si>
  <si>
    <t>Flex Biometria K12 Max</t>
  </si>
  <si>
    <t>Flex Biometria K50</t>
  </si>
  <si>
    <t>Flex Biometria K12 Plus</t>
  </si>
  <si>
    <t>Flex Biometria K40s</t>
  </si>
  <si>
    <t>Flex Biometria K41s</t>
  </si>
  <si>
    <t>Flex Biometria K42</t>
  </si>
  <si>
    <t>Flex Biometria K52</t>
  </si>
  <si>
    <t>Flex Biometria K62</t>
  </si>
  <si>
    <t>Flex Biometria K62 Plus</t>
  </si>
  <si>
    <t>Flex Biometria K50s</t>
  </si>
  <si>
    <t>Flex Biometria K51s</t>
  </si>
  <si>
    <t>Flex Biometria K61</t>
  </si>
  <si>
    <t>Flex Biometria Mi A2 Lite</t>
  </si>
  <si>
    <t>Flex Biometria Mi 8</t>
  </si>
  <si>
    <t>Flex Biometria Mi 9</t>
  </si>
  <si>
    <t>Flex Biometria Poco X3</t>
  </si>
  <si>
    <t>Flex Biometria Poco X3 Pro</t>
  </si>
  <si>
    <t>Flex Biometria Redmi Note 9s</t>
  </si>
  <si>
    <t>Flex Biometria Redmi Note 9 Pro</t>
  </si>
  <si>
    <t>Flex Biometria Redmi 8</t>
  </si>
  <si>
    <t>Flex Biometria Redmi 8A</t>
  </si>
  <si>
    <t>Flex Biometria Redmi 9</t>
  </si>
  <si>
    <t>Flex Biometria Redmi 9A</t>
  </si>
  <si>
    <t>Flex Biometria E5</t>
  </si>
  <si>
    <t>Flex Biometria E5 Plus</t>
  </si>
  <si>
    <t>Flex Biometria G6 Play</t>
  </si>
  <si>
    <t>Flex Biometria E6 Play</t>
  </si>
  <si>
    <t>Flex Biometria E7</t>
  </si>
  <si>
    <t>Flex Biometria E7 Power</t>
  </si>
  <si>
    <t>Flex Biometria E7 Plus</t>
  </si>
  <si>
    <t>Flex Biometria G10</t>
  </si>
  <si>
    <t>Flex Biometria G30</t>
  </si>
  <si>
    <t>Flex Biometria G20</t>
  </si>
  <si>
    <t>Flex Biometria G5</t>
  </si>
  <si>
    <t>Flex Biometria G5s</t>
  </si>
  <si>
    <t>Flex Biometria G5 Plus</t>
  </si>
  <si>
    <t>Flex Biometria G5G</t>
  </si>
  <si>
    <t>Flex Biometria G5s Plus</t>
  </si>
  <si>
    <t>Flex Biometria G60</t>
  </si>
  <si>
    <t>Flex Biometria G60s</t>
  </si>
  <si>
    <t>Flex Biometria G7</t>
  </si>
  <si>
    <t>Flex Biometria G7 Play</t>
  </si>
  <si>
    <t>Flex Biometria G7 Power</t>
  </si>
  <si>
    <t>Flex Biometria G7 Plus</t>
  </si>
  <si>
    <t>Flex Biometria G71</t>
  </si>
  <si>
    <t>Flex Biometria G31</t>
  </si>
  <si>
    <t>Flex Biometria G8</t>
  </si>
  <si>
    <t>Flex Biometria G8 Play</t>
  </si>
  <si>
    <t>Flex Biometria G8 Plus</t>
  </si>
  <si>
    <t>Flex Biometria G8 Power</t>
  </si>
  <si>
    <t>Flex Biometria G8 Power Lite</t>
  </si>
  <si>
    <t>Flex Biometria E6s</t>
  </si>
  <si>
    <t>Flex Biometria G9 Play</t>
  </si>
  <si>
    <t>Flex Biometria G9 Plus</t>
  </si>
  <si>
    <t>Flex Biometria G9 Power</t>
  </si>
  <si>
    <t>Flex Biometria One</t>
  </si>
  <si>
    <t>Flex Biometria One Action</t>
  </si>
  <si>
    <t>Flex Biometria One Fusion</t>
  </si>
  <si>
    <t>Flex Biometria One Fusion Plus</t>
  </si>
  <si>
    <t>Flex Biometria One Macro</t>
  </si>
  <si>
    <t>Flex Biometria One Vision</t>
  </si>
  <si>
    <t>Flex Biometria X4</t>
  </si>
  <si>
    <t>Flex Biometria A03</t>
  </si>
  <si>
    <t>Flex Biometria A03s</t>
  </si>
  <si>
    <t>Flex Biometria A03 Core</t>
  </si>
  <si>
    <t>Flex Biometria A10s</t>
  </si>
  <si>
    <t>Flex Biometria A11</t>
  </si>
  <si>
    <t>Flex Biometria A20</t>
  </si>
  <si>
    <t>Flex Biometria A30</t>
  </si>
  <si>
    <t>Flex Biometria A20s</t>
  </si>
  <si>
    <t>Flex Biometria A21s</t>
  </si>
  <si>
    <t>Flex Biometria A5 2017</t>
  </si>
  <si>
    <t>Flex Biometria A520</t>
  </si>
  <si>
    <t>Flex Biometria A7 2017</t>
  </si>
  <si>
    <t>Flex Biometria A720</t>
  </si>
  <si>
    <t>Flex Biometria A3 2017</t>
  </si>
  <si>
    <t>Flex Biometria A320</t>
  </si>
  <si>
    <t>Flex Biometria J5 Pro</t>
  </si>
  <si>
    <t>Flex Biometria J530</t>
  </si>
  <si>
    <t>Flex Biometria J7 Pro</t>
  </si>
  <si>
    <t>Flex Biometria J730</t>
  </si>
  <si>
    <t>Flex Biometria J6</t>
  </si>
  <si>
    <t>Flex Biometria J600</t>
  </si>
  <si>
    <t>Flex Biometria J8</t>
  </si>
  <si>
    <t>Flex Biometria J800</t>
  </si>
  <si>
    <t>Flex Voltar G532</t>
  </si>
  <si>
    <t>Flex Voltar J7</t>
  </si>
  <si>
    <t>Flex Voltar J700</t>
  </si>
  <si>
    <t>Flex Voltar J7 Metal</t>
  </si>
  <si>
    <t>Flex Voltar J710</t>
  </si>
  <si>
    <t>Flex Voltar G530</t>
  </si>
  <si>
    <t>Flex Voltar G531</t>
  </si>
  <si>
    <t>Flex LCD LG K42 (SUB)</t>
  </si>
  <si>
    <t>Flex LCD LG K52 (SUB)</t>
  </si>
  <si>
    <t>Flex LCD LG K62 (SUB)</t>
  </si>
  <si>
    <t>Flex LCD Xiaomi Mi 8 (SUB)</t>
  </si>
  <si>
    <t>Flex LCD Xiaomi Mi 9 (SUB)</t>
  </si>
  <si>
    <t>Flex LCD Xiaomi Mi A2 Lite (SUB)</t>
  </si>
  <si>
    <t>Flex LCD Moto G31 (SUB)</t>
  </si>
  <si>
    <t>Flex LCD Moto G41 (SUB)</t>
  </si>
  <si>
    <t>Flex LCD Moto G9 Play (SUB)</t>
  </si>
  <si>
    <t>Flex LCD Moto E7 Plus (SUB)</t>
  </si>
  <si>
    <t>Flex LCD Moto One (SUB)</t>
  </si>
  <si>
    <t>Flex LCD Moto One Action (SUB)</t>
  </si>
  <si>
    <t>Flex LCD Moto One Vision (SUB)</t>
  </si>
  <si>
    <t>Flex LCD Moto One Power (SUB)</t>
  </si>
  <si>
    <t>Flex LCD Moto One Hyper (SUB)</t>
  </si>
  <si>
    <t>Flex LCD Xiaomi Poco F3 (SUB)</t>
  </si>
  <si>
    <t>Flex LCD Xiaomi Poco X3 (SUB)</t>
  </si>
  <si>
    <t>Flex LCD Xiaomi Poco X3 Pro (SUB)</t>
  </si>
  <si>
    <t>Flex LCD Xiaomi Poco X3 GT (SUB)</t>
  </si>
  <si>
    <t>Flex LCD Xiaomi Poco X3 NFC (SUB)</t>
  </si>
  <si>
    <t>Flex LCD SAM A10 (SUB)</t>
  </si>
  <si>
    <t>Flex LCD SAM M10 (SUB)</t>
  </si>
  <si>
    <t>Flex LCD SAM A52 4G (SUB/OCTA)</t>
  </si>
  <si>
    <t>Flex LCD SAM A52 5G (SUB/OCTA)</t>
  </si>
  <si>
    <t>Flex LCD SAM A7 2018 (SUB)</t>
  </si>
  <si>
    <t>Flex LCD SAM A750 (SUB)</t>
  </si>
  <si>
    <t>Flex LCD SAM A9 2018 (SUB)</t>
  </si>
  <si>
    <t>Flex LCD SAM A920 (SUB)</t>
  </si>
  <si>
    <t>Flex LCD SAM M31 (OCTA)</t>
  </si>
  <si>
    <t>Flex LCD SAM M30s (OCTA)</t>
  </si>
  <si>
    <t>Flex LCD Xiaomi Redmi 9 (SUB)</t>
  </si>
  <si>
    <t>Flex LCD Xiaomi Redmi 9A (SUB)</t>
  </si>
  <si>
    <t>Flex LCD Xiaomi Redmi 9C (SUB)</t>
  </si>
  <si>
    <t>Flex Main A22 4G (SUB/OCTA)</t>
  </si>
  <si>
    <t>Flex Main A32 5G (SUB/OCTA)</t>
  </si>
  <si>
    <t>Flex Main A32 4G (SUB/OCTA)</t>
  </si>
  <si>
    <t>Flex Main Xiaomi Mi 8 Lite (SUB)</t>
  </si>
  <si>
    <t>Flex Main Moto G8 Play (M)(M14) (SUB)</t>
  </si>
  <si>
    <t>Flex Main Moto One Macro (SUB)</t>
  </si>
  <si>
    <t>Flex Main Moto G8 Play (F) (SUB)</t>
  </si>
  <si>
    <t>Moto Edge 40 Neo c/aro Nacional</t>
  </si>
  <si>
    <t xml:space="preserve">Edge 40 Neo Nac c/aro = R$ </t>
  </si>
  <si>
    <t>Moto Edge 40 Neo com aro Nacional</t>
  </si>
  <si>
    <t>Moto Edge 40 Neo Nacional com aro</t>
  </si>
  <si>
    <t>Redmi 12C com aro Nacional</t>
  </si>
  <si>
    <t>Redmi 12C Nacional com aro</t>
  </si>
  <si>
    <t xml:space="preserve">K61 c/aro Nacional = R$ </t>
  </si>
  <si>
    <t>K41s c/aro Nacional</t>
  </si>
  <si>
    <t>K11 Plus c/aro</t>
  </si>
  <si>
    <t>K40s c/aro</t>
  </si>
  <si>
    <t>K41s c/aro</t>
  </si>
  <si>
    <t>K42/K52 c/aro</t>
  </si>
  <si>
    <t>K50s c/aro</t>
  </si>
  <si>
    <t>K51s c/aro</t>
  </si>
  <si>
    <t>K61 c/aro</t>
  </si>
  <si>
    <t>K62/K62 Plus c/aro</t>
  </si>
  <si>
    <t>K61 c/aro Nacional</t>
  </si>
  <si>
    <t>LG K61 com aro Nacional</t>
  </si>
  <si>
    <t>LG K61 Nacional com aro</t>
  </si>
  <si>
    <t>Campainha Redmi Note 9 Pro</t>
  </si>
  <si>
    <t>Campainha Redmi Note 9s</t>
  </si>
  <si>
    <t>Campainha SAM A03s</t>
  </si>
  <si>
    <t>Campainha SAM A03</t>
  </si>
  <si>
    <t>Campainha SAM A02s</t>
  </si>
  <si>
    <t>Campainha SAM J7 Prime</t>
  </si>
  <si>
    <t>Campainha SAM J5 Prime</t>
  </si>
  <si>
    <t>Campainha SAM J5 Pro</t>
  </si>
  <si>
    <t>Campainha SAM J530</t>
  </si>
  <si>
    <t>Campainha SAM J6</t>
  </si>
  <si>
    <t>Campainha SAM J600</t>
  </si>
  <si>
    <t>Campainha SAM J8</t>
  </si>
  <si>
    <t>Campainha SAM J800</t>
  </si>
  <si>
    <t>Campainha SAM J7 Pro</t>
  </si>
  <si>
    <t>Campainha SAM J730</t>
  </si>
  <si>
    <t>Campainha SAM J5</t>
  </si>
  <si>
    <t>Campainha SAM J7</t>
  </si>
  <si>
    <t>Campainha SAM J500</t>
  </si>
  <si>
    <t>Campainha SAM J700</t>
  </si>
  <si>
    <t>Campainha Xiaomi Redmi 8</t>
  </si>
  <si>
    <t>Campainha Xiaomi Redmi 8A</t>
  </si>
  <si>
    <t>Campainha Xiaomi Redmi 9A</t>
  </si>
  <si>
    <t>Campainha Xiaomi Redmi 9C</t>
  </si>
  <si>
    <t>Campainha Xiaomi Redmi Note 10 4G</t>
  </si>
  <si>
    <t>Campainha Xiaomi Redmi Note 10s 4G</t>
  </si>
  <si>
    <t>Campainha Xiaomi Poco M5s</t>
  </si>
  <si>
    <t>Conector LG K11/K11 Plus</t>
  </si>
  <si>
    <t>Flex Main Redmi Note 10 4G (OCTA)</t>
  </si>
  <si>
    <t>Flex Main Redmi Note 10s 4G (OCTA)</t>
  </si>
  <si>
    <t>Flex Main Redmi Note 10 4G (SUB)</t>
  </si>
  <si>
    <t>Flex Main Redmi Note 10s 4G (SUB)</t>
  </si>
  <si>
    <t>Flex Main Redmi Note 11 4G (SUB)</t>
  </si>
  <si>
    <t>Flex Main Redmi Note 11s 4G (SUB)</t>
  </si>
  <si>
    <t>Flex Main Poco M4 Pro 4G (SUB)</t>
  </si>
  <si>
    <t>Flex Main Redmi Note 9 Pro (SUB)</t>
  </si>
  <si>
    <t>Flex Main Redmi Note 9s (SUB)</t>
  </si>
  <si>
    <t>Flex Main Redmi Note 9 (SUB)</t>
  </si>
  <si>
    <t>Flex Main Poco M3 (SUB)</t>
  </si>
  <si>
    <t>Flex Main Redmi 9T (SUB)</t>
  </si>
  <si>
    <t>Flex Main Poco M3 Pro 4G (SUB)</t>
  </si>
  <si>
    <t>Flex Main Xiaomi Redmi Note 11 5G</t>
  </si>
  <si>
    <t>Flex Main Xiaomi Redmi Note 11s 5G</t>
  </si>
  <si>
    <t>Flex Main Xiaomi Poco M4 Pro 5G</t>
  </si>
  <si>
    <t>Flex Microfone SAM J6</t>
  </si>
  <si>
    <t>Flex Microfone SAM J8</t>
  </si>
  <si>
    <t>Flex Main SAM M30s (SUB)</t>
  </si>
  <si>
    <t>Flex Main SAM M31 (SUB)</t>
  </si>
  <si>
    <t>Flex Moto E7 (SUB)</t>
  </si>
  <si>
    <t>Flex Moto G60 (SUB)</t>
  </si>
  <si>
    <t>Flex Moto G60s (SUB)</t>
  </si>
  <si>
    <t>Flex Moto G62 (SUB)</t>
  </si>
  <si>
    <t>Flex Moto G8 Play (M)(M14) (SUB)</t>
  </si>
  <si>
    <t>Flex Moto G8 Plus (F) (SUB)</t>
  </si>
  <si>
    <t>Flex Moto G8 Plus (M) (SUB)</t>
  </si>
  <si>
    <t>Flex Moto G8 Power (SUB)</t>
  </si>
  <si>
    <t>Flex Moto One Macro (SUB)</t>
  </si>
  <si>
    <t>Flex Moto G8 Play (F) (SUB)</t>
  </si>
  <si>
    <t>Flex Redmi Note 10 4G (OCTA)</t>
  </si>
  <si>
    <t>Flex Redmi Note 10s 4G (OCTA)</t>
  </si>
  <si>
    <t>Flex Redmi Note 10 4G (SUB)</t>
  </si>
  <si>
    <t>Flex Redmi Note 10s 4G (SUB)</t>
  </si>
  <si>
    <t>Flex Redmi Note 11 4G (SUB)</t>
  </si>
  <si>
    <t>Flex Redmi Note 11s 4G (SUB)</t>
  </si>
  <si>
    <t>Flex Poco M4 Pro 4G (SUB)</t>
  </si>
  <si>
    <t>Flex Redmi Note 8 Pro (SUB)</t>
  </si>
  <si>
    <t>Flex Redmi Note 9 (SUB)</t>
  </si>
  <si>
    <t>Flex Redmi Note 9 Pro (SUB)</t>
  </si>
  <si>
    <t>Flex Redmi Note 9s (SUB)</t>
  </si>
  <si>
    <t>Flex Poco M3 (SUB)</t>
  </si>
  <si>
    <t>Flex Redmi 9T (SUB)</t>
  </si>
  <si>
    <t>Flex Poco M3 Pro 4G (SUB)</t>
  </si>
  <si>
    <t>Flex SAM A10s (M12/M15)(SUB)</t>
  </si>
  <si>
    <t>Flex SAM A10s (M16)(SUB)</t>
  </si>
  <si>
    <t>Flex SAM A20 (SUB)</t>
  </si>
  <si>
    <t>Flex SAM A30s (SUB/OCTA)</t>
  </si>
  <si>
    <t>Flex SAM A50 (SUB)</t>
  </si>
  <si>
    <t>Flex SAM A51 (SUB)</t>
  </si>
  <si>
    <t>Flex SAM A53 (SUB/OCTA)</t>
  </si>
  <si>
    <t>Flex SAM A73 (OCTA/SUB)</t>
  </si>
  <si>
    <t>Flex SAM M21s (SUB)</t>
  </si>
  <si>
    <t>Flex SAM M30s (SUB)</t>
  </si>
  <si>
    <t>Flex SAM M31 (SUB)</t>
  </si>
  <si>
    <t>Flex Xiaomi Mi 9 Lite (SUB)</t>
  </si>
  <si>
    <t>Flex Xiaomi Mi A3 (SUB)</t>
  </si>
  <si>
    <t>Flex Xiaomi Redmi Note 11 5G</t>
  </si>
  <si>
    <t>Flex Xiaomi Redmi Note 11s 5G</t>
  </si>
  <si>
    <t>Flex Xiaomi Poco M4 Pro 5G</t>
  </si>
  <si>
    <t>Flex SUB SAM A30s (SUB/OCTA)</t>
  </si>
  <si>
    <t>Flex SUB SAM A53 (SUB/OCTA)</t>
  </si>
  <si>
    <t>Flex SUB SAM A73 (OCTA/SUB)</t>
  </si>
  <si>
    <t>Flex SUB Xiaomi Redmi Note 11 5G</t>
  </si>
  <si>
    <t>Flex SUB Xiaomi Redmi Note 11s 5G</t>
  </si>
  <si>
    <t>Flex SUB Xiaomi Poco M4 Pro 5G</t>
  </si>
  <si>
    <t xml:space="preserve">Flex SUB Moto E7 </t>
  </si>
  <si>
    <t xml:space="preserve">Flex SUB Moto G60 </t>
  </si>
  <si>
    <t xml:space="preserve">Flex SUB Moto G60s </t>
  </si>
  <si>
    <t xml:space="preserve">Flex SUB Moto G62 </t>
  </si>
  <si>
    <t xml:space="preserve">Flex SUB Moto G8 Play (M)(M14) </t>
  </si>
  <si>
    <t xml:space="preserve">Flex SUB Moto G8 Plus (F) </t>
  </si>
  <si>
    <t xml:space="preserve">Flex SUB Moto G8 Plus (M) </t>
  </si>
  <si>
    <t xml:space="preserve">Flex SUB Moto G8 Power </t>
  </si>
  <si>
    <t xml:space="preserve">Flex SUB Moto One Macro </t>
  </si>
  <si>
    <t xml:space="preserve">Flex SUB Moto G8 Play (F) </t>
  </si>
  <si>
    <t xml:space="preserve">Flex SUB Redmi Note 10 4G </t>
  </si>
  <si>
    <t xml:space="preserve">Flex SUB Redmi Note 10s 4G </t>
  </si>
  <si>
    <t xml:space="preserve">Flex SUB Redmi Note 11 4G </t>
  </si>
  <si>
    <t xml:space="preserve">Flex SUB Redmi Note 11s 4G </t>
  </si>
  <si>
    <t xml:space="preserve">Flex SUB Poco M4 Pro 4G </t>
  </si>
  <si>
    <t xml:space="preserve">Flex SUB Redmi Note 8 Pro </t>
  </si>
  <si>
    <t xml:space="preserve">Flex SUB Redmi Note 9 </t>
  </si>
  <si>
    <t xml:space="preserve">Flex SUB Redmi Note 9 Pro </t>
  </si>
  <si>
    <t xml:space="preserve">Flex SUB Redmi Note 9s </t>
  </si>
  <si>
    <t xml:space="preserve">Flex SUB Poco M3 </t>
  </si>
  <si>
    <t xml:space="preserve">Flex SUB Redmi 9T </t>
  </si>
  <si>
    <t xml:space="preserve">Flex SUB Poco M3 Pro 4G </t>
  </si>
  <si>
    <t>Flex SUB SAM A10s (M12/M15)</t>
  </si>
  <si>
    <t>Flex SUB SAM A10s (M16)</t>
  </si>
  <si>
    <t xml:space="preserve">Flex SUB SAM A20 </t>
  </si>
  <si>
    <t xml:space="preserve">Flex SUB SAM A50 </t>
  </si>
  <si>
    <t xml:space="preserve">Flex SUB SAM A51 </t>
  </si>
  <si>
    <t xml:space="preserve">Flex SUB SAM M21s </t>
  </si>
  <si>
    <t xml:space="preserve">Flex SUB SAM M30s </t>
  </si>
  <si>
    <t xml:space="preserve">Flex SUB SAM M31 </t>
  </si>
  <si>
    <t xml:space="preserve">Flex SUB Xiaomi Mi 9 Lite </t>
  </si>
  <si>
    <t xml:space="preserve">Flex SUB Xiaomi Mi A3 </t>
  </si>
  <si>
    <t>Flex OCTA Redmi Note 10 4G</t>
  </si>
  <si>
    <t>Flex OCTA Redmi Note 10s 4G</t>
  </si>
  <si>
    <t>Flex Power Biometria SAM A13 4G</t>
  </si>
  <si>
    <t>Flex Power Biometria SAM A13 5G</t>
  </si>
  <si>
    <t>Flex Power Biometria SAM A12</t>
  </si>
  <si>
    <t>Flex Power Biometria SAM A14 4G</t>
  </si>
  <si>
    <t>Flex Power Biometria SAM A14 5G</t>
  </si>
  <si>
    <t>Flex Power Biometria SAM M12</t>
  </si>
  <si>
    <t>Flex Power Biometria SAM A22 5G</t>
  </si>
  <si>
    <t>Flex Power Biometria SAM A7 2018</t>
  </si>
  <si>
    <t>Flex Power Biometria SAM A750</t>
  </si>
  <si>
    <t>Flex Power Biometria SAM J6+</t>
  </si>
  <si>
    <t>Flex Power Biometria SAM M33</t>
  </si>
  <si>
    <t>Flex Power Biometria SAM A23 4G</t>
  </si>
  <si>
    <t>Flex Power Biometria SAM M23</t>
  </si>
  <si>
    <t>Flex Power Biometria SAM A23 5G</t>
  </si>
  <si>
    <t>Flex Power Biometria SAM M51</t>
  </si>
  <si>
    <t>Flex Power Biometria SAM A22 4G</t>
  </si>
  <si>
    <t>Flex Power Biometria SAM A32 5G</t>
  </si>
  <si>
    <t>Flex Power Biometria SAM M22</t>
  </si>
  <si>
    <t>Flex Power Biometria Xiaomi Mi 11 Lite</t>
  </si>
  <si>
    <t>Flex Power Biometria Xiaomi 11 Lite 5G NE</t>
  </si>
  <si>
    <t>Flex Power e Volume Asus Zenfone 4 Selfie Pro</t>
  </si>
  <si>
    <t>Flex Power e Volume ZD552KL</t>
  </si>
  <si>
    <t>Flex Power e Volume Mi 8 Pro</t>
  </si>
  <si>
    <t>Flex Power e Volume Mi 8 SE</t>
  </si>
  <si>
    <t>Flex Power e Volume Moto E20</t>
  </si>
  <si>
    <t>Flex Power e Volume Moto E30</t>
  </si>
  <si>
    <t>Flex Power e Volume Moto E40</t>
  </si>
  <si>
    <t>Flex Power e Volume Moto E5 Play</t>
  </si>
  <si>
    <t>Flex Power e Volume Moto E6i</t>
  </si>
  <si>
    <t>Flex Power e Volume Moto E7 Power</t>
  </si>
  <si>
    <t>Flex Power e Volume Moto G20</t>
  </si>
  <si>
    <t>Flex Power e Volume Moto G10</t>
  </si>
  <si>
    <t>Flex Power e Volume Moto G30</t>
  </si>
  <si>
    <t>Flex Power e Volume Moto G31</t>
  </si>
  <si>
    <t>Flex Power e Volume Moto G41</t>
  </si>
  <si>
    <t>Flex Power e Volume Moto G51</t>
  </si>
  <si>
    <t>Flex Power e Volume Moto G4 Plus</t>
  </si>
  <si>
    <t>Flex Power e Volume Moto G4 Play</t>
  </si>
  <si>
    <t>Flex Power e Volume Moto G50 5G</t>
  </si>
  <si>
    <t>Flex Power e Volume Moto G52</t>
  </si>
  <si>
    <t>Flex Power e Volume Moto G82</t>
  </si>
  <si>
    <t>Flex Power e Volume Moto G5G</t>
  </si>
  <si>
    <t>Flex Power e Volume Moto G 5G</t>
  </si>
  <si>
    <t>Flex Power e Volume Moto G5G Plus</t>
  </si>
  <si>
    <t>Flex Power e Volume Moto G5s Plus</t>
  </si>
  <si>
    <t>Flex Power e Volume Moto G5 Plus</t>
  </si>
  <si>
    <t>Flex Power e Volume Moto G6 Play</t>
  </si>
  <si>
    <t>Flex Power e Volume Moto E5</t>
  </si>
  <si>
    <t>Flex Power e Volume Moto G60</t>
  </si>
  <si>
    <t>Flex Power e Volume Moto G60s</t>
  </si>
  <si>
    <t>Flex Power e Volume Moto G7</t>
  </si>
  <si>
    <t>Flex Power e Volume Moto G7 Plus</t>
  </si>
  <si>
    <t>Flex Power e Volume Moto G9 Play</t>
  </si>
  <si>
    <t>Flex Power e Volume Moto E7 Plus</t>
  </si>
  <si>
    <t>Flex Power e Volume Moto One Macro</t>
  </si>
  <si>
    <t>Flex Power e Volume Moto G8 Play</t>
  </si>
  <si>
    <t>Flex Power e Volume Moto One Action</t>
  </si>
  <si>
    <t>Flex Power e Volume Moto One Vision</t>
  </si>
  <si>
    <t>Flex Power e Volume Redmi 10</t>
  </si>
  <si>
    <t>Flex Power e Volume Redmi 10 Prime</t>
  </si>
  <si>
    <t>Flex Power e Volume Redmi 9C</t>
  </si>
  <si>
    <t>Flex Power e Volume Redmi 9A</t>
  </si>
  <si>
    <t>Flex Power e Volume Redmi 10A</t>
  </si>
  <si>
    <t>Flex Power e Volume Redmi Note 10 4G</t>
  </si>
  <si>
    <t>Flex Power e Volume Redmi Note 10s 4G</t>
  </si>
  <si>
    <t>Flex Power e Volume Redmi Note 11 4G</t>
  </si>
  <si>
    <t>Flex Power e Volume Redmi Note 11s 4G</t>
  </si>
  <si>
    <t>Flex Power e Volume Poco M4 Pro 4G</t>
  </si>
  <si>
    <t>Flex Power e Volume Redmi Note 8</t>
  </si>
  <si>
    <t>Flex Power e Volume Redmi Note 8T</t>
  </si>
  <si>
    <t>Flex Power e Volume Redmi Note 7</t>
  </si>
  <si>
    <t>Flex Power e Volume Redmi Note 7 Pro</t>
  </si>
  <si>
    <t>Flex Power e Volume Redmi Note 9 Pro</t>
  </si>
  <si>
    <t>Flex Power e Volume Redmi Note 9s</t>
  </si>
  <si>
    <t>Flex Power e Volume SAM A02</t>
  </si>
  <si>
    <t>Flex Power e Volume SAM A32 4G</t>
  </si>
  <si>
    <t>Flex Power e Volume SAM A03</t>
  </si>
  <si>
    <t>Flex Power e Volume SAM A02s</t>
  </si>
  <si>
    <t>Flex Power e Volume SAM A04E</t>
  </si>
  <si>
    <t>Flex Power e Volume SAM A20</t>
  </si>
  <si>
    <t>Flex Power e Volume SAM A30</t>
  </si>
  <si>
    <t>Flex Power e Volume SAM A50</t>
  </si>
  <si>
    <t>Flex Power e Volume SAM A70</t>
  </si>
  <si>
    <t>Flex Power e Volume SAM A30s</t>
  </si>
  <si>
    <t>Flex Power e Volume SAM A31</t>
  </si>
  <si>
    <t>Flex Power e Volume SAM A33 5G</t>
  </si>
  <si>
    <t>Flex Power e Volume SAM A73 5G</t>
  </si>
  <si>
    <t>Flex Power e Volume SAM A52 5G</t>
  </si>
  <si>
    <t>Flex Power e Volume SAM A52 4G</t>
  </si>
  <si>
    <t>Flex Power e Volume SAM A72</t>
  </si>
  <si>
    <t>Flex Power e Volume SAM S20 FE</t>
  </si>
  <si>
    <t>Flex Power e Volume SAM A53</t>
  </si>
  <si>
    <t>Flex Power e Volume SAM M53</t>
  </si>
  <si>
    <t>Flex Power e Volume SAM M20</t>
  </si>
  <si>
    <t>Flex Power e Volume SAM A10</t>
  </si>
  <si>
    <t>Flex Power e Volume SAM M10</t>
  </si>
  <si>
    <t>Flex Power e Volume SAM M30</t>
  </si>
  <si>
    <t>Flex Power e Volume Xiaomi Mi 9T</t>
  </si>
  <si>
    <t>Flex Power e Volume Xiaomi Mi 9T Pro</t>
  </si>
  <si>
    <t>Flex Power e Volume Xiaomi Poco X3</t>
  </si>
  <si>
    <t>Flex Power e Volume Xiaomi Poco X3 Pro</t>
  </si>
  <si>
    <t>Flex Power e Volume Xiaomi Poco X3 NFC</t>
  </si>
  <si>
    <t>Flex Power e Volume Xiaomi Redmi 8</t>
  </si>
  <si>
    <t>Flex Power e Volume Xiaomi Redmi 8A</t>
  </si>
  <si>
    <t>Flex Power LG K12 Prime</t>
  </si>
  <si>
    <t>Flex Power LG K12 Max</t>
  </si>
  <si>
    <t>Flex Power LG K50</t>
  </si>
  <si>
    <t>Flex Power LG K12</t>
  </si>
  <si>
    <t>Flex Power LG K12 Plus</t>
  </si>
  <si>
    <t>Flex Power SAM A01</t>
  </si>
  <si>
    <t>Flex Power SAM A01 Core</t>
  </si>
  <si>
    <t>Flex Power SAM A20s (F)</t>
  </si>
  <si>
    <t>Flex Power SAM J4</t>
  </si>
  <si>
    <t>Flex Power SAM J400</t>
  </si>
  <si>
    <t>Flex Power SAM J4 Core</t>
  </si>
  <si>
    <t>Flex Power SAM J4 Plus</t>
  </si>
  <si>
    <t>Flex Power SAM J4+</t>
  </si>
  <si>
    <t>Flex Power SAM J6</t>
  </si>
  <si>
    <t>Flex Power SAM J600</t>
  </si>
  <si>
    <t>Flex Power SAM J8</t>
  </si>
  <si>
    <t>Flex Power SAM J800</t>
  </si>
  <si>
    <t>Flex Power SAM J8 Plus</t>
  </si>
  <si>
    <t>Flex Power SAM J5 Pro</t>
  </si>
  <si>
    <t>Flex Power SAM J530</t>
  </si>
  <si>
    <t>Flex Power SAM J7 Pro</t>
  </si>
  <si>
    <t>Flex Power SAM J730</t>
  </si>
  <si>
    <t>Flex Power SAM J3</t>
  </si>
  <si>
    <t>Flex Power SAM J330</t>
  </si>
  <si>
    <t>Flex Power SAM J7 Metal</t>
  </si>
  <si>
    <t>Flex Power SAM J710</t>
  </si>
  <si>
    <t>Flex Power SAM J5 Metal</t>
  </si>
  <si>
    <t>Flex Power SAM J510</t>
  </si>
  <si>
    <t>Flex Power SAM J7 Neo</t>
  </si>
  <si>
    <t>Flex Power SAM J701</t>
  </si>
  <si>
    <t>Flex Power SAM J5</t>
  </si>
  <si>
    <t>Flex Power SAM J7</t>
  </si>
  <si>
    <t>Flex Power SAM J700</t>
  </si>
  <si>
    <t>Flex Sensor Biometria SAM A51</t>
  </si>
  <si>
    <t>Flex Sensor Biometria SAM A71</t>
  </si>
  <si>
    <t>Flex Voltar SAM J8</t>
  </si>
  <si>
    <t>Flex Voltar SAM J800</t>
  </si>
  <si>
    <t>Flex Voltar SAM J6</t>
  </si>
  <si>
    <t>Flex Voltar SAM J600</t>
  </si>
  <si>
    <t>Flex Volume LG K12</t>
  </si>
  <si>
    <t>Flex Volume LG K12 Plus</t>
  </si>
  <si>
    <t>Flex Volume LG K51</t>
  </si>
  <si>
    <t>Flex Volume LG K51s</t>
  </si>
  <si>
    <t>Flex Volume SAM A01</t>
  </si>
  <si>
    <t>Flex Volume SAM A01 Core</t>
  </si>
  <si>
    <t>Flex Volume SAM A22 4G</t>
  </si>
  <si>
    <t>Flex Volume SAM M22</t>
  </si>
  <si>
    <t>Flex Volume SAM J4</t>
  </si>
  <si>
    <t>Flex Volume SAM J400</t>
  </si>
  <si>
    <t>Flex Volume SAM J6</t>
  </si>
  <si>
    <t>Flex Volume SAM J600</t>
  </si>
  <si>
    <t>Flex Volume SAM J8</t>
  </si>
  <si>
    <t>Flex Volume SAM J800</t>
  </si>
  <si>
    <t>Flex Volume SAM J8 Plus</t>
  </si>
  <si>
    <t>Flex Volume SAM J4 Core</t>
  </si>
  <si>
    <t>Flex Volume SAM J4 Plus</t>
  </si>
  <si>
    <t>Flex Volume SAM J4+</t>
  </si>
  <si>
    <t>Flex Volume SAM J6 Plus</t>
  </si>
  <si>
    <t>Flex Volume SAM J6 Core</t>
  </si>
  <si>
    <t>Flex Volume SAM J6+</t>
  </si>
  <si>
    <t>Flex Volume SAM J5 Pro</t>
  </si>
  <si>
    <t>Flex Volume SAM J530</t>
  </si>
  <si>
    <t>Flex Volume SAM J7 Pro</t>
  </si>
  <si>
    <t>Flex Volume SAM J730</t>
  </si>
  <si>
    <t>Flex Volume SAM J3</t>
  </si>
  <si>
    <t>Flex Volume SAM J330</t>
  </si>
  <si>
    <t>Gaveta SAM A30s</t>
  </si>
  <si>
    <t>Gaveta SAM A5 2016</t>
  </si>
  <si>
    <t>Gaveta SAM A510</t>
  </si>
  <si>
    <t>Gaveta SAM A7 2016</t>
  </si>
  <si>
    <t>Gaveta SAM A710</t>
  </si>
  <si>
    <t>Gaveta SAM A5 2017</t>
  </si>
  <si>
    <t>Gaveta SAM A520</t>
  </si>
  <si>
    <t>Gaveta SAM A7 2017</t>
  </si>
  <si>
    <t>Gaveta SAM A720</t>
  </si>
  <si>
    <t>Gaveta SAM A3 2017</t>
  </si>
  <si>
    <t>Gaveta SAM A320</t>
  </si>
  <si>
    <t>Gaveta SAM A51</t>
  </si>
  <si>
    <t>Gaveta SAM A71</t>
  </si>
  <si>
    <t>Gaveta SAM A52 4G</t>
  </si>
  <si>
    <t>Gaveta SAM A52 5G</t>
  </si>
  <si>
    <t>Gaveta SAM A72</t>
  </si>
  <si>
    <t>Gaveta SAM Galaxy S10</t>
  </si>
  <si>
    <t>Gaveta SAM Galaxy S10 Plus</t>
  </si>
  <si>
    <t>Gaveta SAM Galaxy S9</t>
  </si>
  <si>
    <t>Gaveta SAM Galaxy S9 Plus</t>
  </si>
  <si>
    <t>Gaveta SAM J4</t>
  </si>
  <si>
    <t>Gaveta SAM J400</t>
  </si>
  <si>
    <t>Gaveta SAM J6</t>
  </si>
  <si>
    <t>Gaveta SAM J600</t>
  </si>
  <si>
    <t>Gaveta SAM J8</t>
  </si>
  <si>
    <t>Gaveta SAM J5 Pro</t>
  </si>
  <si>
    <t>Gaveta SAM J530</t>
  </si>
  <si>
    <t>Gaveta SAM J6 Plus</t>
  </si>
  <si>
    <t>Gaveta SAM J8 Plus</t>
  </si>
  <si>
    <t>Gaveta SAM J4 Plus</t>
  </si>
  <si>
    <t>Gaveta SAM S21</t>
  </si>
  <si>
    <t>Gaveta SAM S21 Plus</t>
  </si>
  <si>
    <t>Gaveta SAM S8</t>
  </si>
  <si>
    <t>Gaveta SAM S8 Plus</t>
  </si>
  <si>
    <t>Gaveta Xiaomi Redmi 8</t>
  </si>
  <si>
    <t>Gaveta Xiaomi Redmi 8A</t>
  </si>
  <si>
    <t>Gaveta Xiaomi Redmi 9A</t>
  </si>
  <si>
    <t>Gaveta Xiaomi Redmi 9C</t>
  </si>
  <si>
    <t>Gaveta Xiaomi Redmi Note 11</t>
  </si>
  <si>
    <t>Gaveta Xiaomi Redmi Note 11 4G</t>
  </si>
  <si>
    <t>Moto G35</t>
  </si>
  <si>
    <t>Moto G35 c/aro</t>
  </si>
  <si>
    <t xml:space="preserve">Moto G35        = R$ </t>
  </si>
  <si>
    <t xml:space="preserve">Moto G35 c/aro   = R$  </t>
  </si>
  <si>
    <t>Moto G35 sem aro original</t>
  </si>
  <si>
    <t>Moto G35 com aro original</t>
  </si>
  <si>
    <t>Moto G35 original sem aro</t>
  </si>
  <si>
    <t>Moto G35 original com aro</t>
  </si>
  <si>
    <t>Flex Power e Volume E13</t>
  </si>
  <si>
    <t>Flex Power e Volume E20</t>
  </si>
  <si>
    <t>Flex Power e Volume E30</t>
  </si>
  <si>
    <t>Flex Power e Volume E40</t>
  </si>
  <si>
    <t>Flex Power e Volume E22</t>
  </si>
  <si>
    <t>Flex Power e Volume E32</t>
  </si>
  <si>
    <t>Flex Power e Volume E5 Play</t>
  </si>
  <si>
    <t>Flex Power e Volume E5 Plus</t>
  </si>
  <si>
    <t>Flex Power e Volume E6 Play</t>
  </si>
  <si>
    <t>Flex Power e Volume E6 Plus</t>
  </si>
  <si>
    <t>Flex Power e Volume E6i</t>
  </si>
  <si>
    <t>Flex Power e Volume E7</t>
  </si>
  <si>
    <t>Flex Power e Volume E7 Power</t>
  </si>
  <si>
    <t>Flex Power e Volume G100</t>
  </si>
  <si>
    <t>Flex Power e Volume G14</t>
  </si>
  <si>
    <t>Flex Power e Volume G10</t>
  </si>
  <si>
    <t>Flex Power e Volume G20</t>
  </si>
  <si>
    <t>Flex Power e Volume G30</t>
  </si>
  <si>
    <t>Flex Power e Volume G22</t>
  </si>
  <si>
    <t>Flex Power e Volume G31</t>
  </si>
  <si>
    <t>Flex Power e Volume G41</t>
  </si>
  <si>
    <t>Flex Power e Volume G51</t>
  </si>
  <si>
    <t>Flex Power e Volume G32</t>
  </si>
  <si>
    <t>Flex Power e Volume G4 Plus</t>
  </si>
  <si>
    <t>Flex Power e Volume G4 Play</t>
  </si>
  <si>
    <t>Flex Power e Volume G5</t>
  </si>
  <si>
    <t>Flex Power e Volume G50 5G</t>
  </si>
  <si>
    <t>Flex Power e Volume G52</t>
  </si>
  <si>
    <t>Flex Power e Volume G82</t>
  </si>
  <si>
    <t>Flex Power e Volume G5G</t>
  </si>
  <si>
    <t>Flex Power e Volume G 5G</t>
  </si>
  <si>
    <t>Flex Power e Volume G5G Plus</t>
  </si>
  <si>
    <t>Flex Power e Volume G5s</t>
  </si>
  <si>
    <t>Flex Power e Volume G5s Plus</t>
  </si>
  <si>
    <t>Flex Power e Volume G5 Plus</t>
  </si>
  <si>
    <t>Flex Power e Volume G6</t>
  </si>
  <si>
    <t>Flex Power e Volume G6 Play</t>
  </si>
  <si>
    <t>Flex Power e Volume E5</t>
  </si>
  <si>
    <t>Flex Power e Volume G6 Plus</t>
  </si>
  <si>
    <t>Flex Power e Volume G60</t>
  </si>
  <si>
    <t>Flex Power e Volume G60s</t>
  </si>
  <si>
    <t>Flex Power e Volume G62</t>
  </si>
  <si>
    <t>Flex Power e Volume G7</t>
  </si>
  <si>
    <t>Flex Power e Volume G7 Play</t>
  </si>
  <si>
    <t>Flex Power e Volume G7 Plus</t>
  </si>
  <si>
    <t>Flex Power e Volume G7 Power</t>
  </si>
  <si>
    <t>Flex Power e Volume G71 5G</t>
  </si>
  <si>
    <t>Flex Power e Volume G73</t>
  </si>
  <si>
    <t>Flex Power e Volume G8</t>
  </si>
  <si>
    <t>Flex Power e Volume G8 Plus</t>
  </si>
  <si>
    <t>Flex Power e Volume G8 Power</t>
  </si>
  <si>
    <t>Flex Power e Volume G8 Power Lite</t>
  </si>
  <si>
    <t>Flex Power e Volume G9 Play</t>
  </si>
  <si>
    <t>Flex Power e Volume E7 Plus</t>
  </si>
  <si>
    <t>Flex Power e Volume G9 Plus</t>
  </si>
  <si>
    <t>Flex Power e Volume G9 Power</t>
  </si>
  <si>
    <t>Flex Power e Volume One</t>
  </si>
  <si>
    <t>Flex Power e Volume One Fusion</t>
  </si>
  <si>
    <t>Flex Power e Volume One Fusion Plus</t>
  </si>
  <si>
    <t>Flex Power e Volume One Hyper</t>
  </si>
  <si>
    <t>Flex Power e Volume One Macro</t>
  </si>
  <si>
    <t>Flex Power e Volume G8 Play</t>
  </si>
  <si>
    <t>Flex Power e Volume One Vision</t>
  </si>
  <si>
    <t>Flex Power e Volume One Action</t>
  </si>
  <si>
    <t>Flex Power e Volume One Zoom</t>
  </si>
  <si>
    <t>Flex Power e Volume A02</t>
  </si>
  <si>
    <t>Flex Power e Volume A32 4G</t>
  </si>
  <si>
    <t>Flex Power e Volume A03</t>
  </si>
  <si>
    <t>Flex Power e Volume A03 Core</t>
  </si>
  <si>
    <t>Flex Power e Volume A02s</t>
  </si>
  <si>
    <t>Flex Power e Volume A04E</t>
  </si>
  <si>
    <t>Flex Power e Volume A03s</t>
  </si>
  <si>
    <t>Flex Power e Volume A04 (M13)</t>
  </si>
  <si>
    <t>Flex Power e Volume A11</t>
  </si>
  <si>
    <t>Flex Power e Volume A20</t>
  </si>
  <si>
    <t>Flex Power e Volume A30</t>
  </si>
  <si>
    <t>Flex Power e Volume A50</t>
  </si>
  <si>
    <t>Flex Power e Volume A70</t>
  </si>
  <si>
    <t>Flex Power e Volume A30s</t>
  </si>
  <si>
    <t>Flex Power e Volume A21s</t>
  </si>
  <si>
    <t>Flex Power e Volume A31</t>
  </si>
  <si>
    <t>Flex Power e Volume A33 5G</t>
  </si>
  <si>
    <t>Flex Power e Volume A73 5G</t>
  </si>
  <si>
    <t>Flex Power e Volume A51/A71</t>
  </si>
  <si>
    <t>Flex Power e Volume A52 4G</t>
  </si>
  <si>
    <t>Flex Power e Volume A52 5G</t>
  </si>
  <si>
    <t>Flex Power e Volume A72</t>
  </si>
  <si>
    <t>Flex Power e Volume S20 FE</t>
  </si>
  <si>
    <t>Flex Power e Volume A53</t>
  </si>
  <si>
    <t>Flex Power e Volume M53</t>
  </si>
  <si>
    <t>Flex Power e Volume M20</t>
  </si>
  <si>
    <t>Flex Power e Volume A10</t>
  </si>
  <si>
    <t>Flex Power e Volume M10</t>
  </si>
  <si>
    <t>Flex Power e Volume M30</t>
  </si>
  <si>
    <t>Flex Power e Volume M21S</t>
  </si>
  <si>
    <t>Flex Power e Volume M31</t>
  </si>
  <si>
    <t>Flex Power e Volume Mi 8</t>
  </si>
  <si>
    <t>Flex Power e Volume Mi 9</t>
  </si>
  <si>
    <t>Flex Power e Volume Mi 9 Lite</t>
  </si>
  <si>
    <t>Flex Power e Volume Mi 9 SE</t>
  </si>
  <si>
    <t>Flex Power e Volume Mi 9T</t>
  </si>
  <si>
    <t>Flex Power e Volume Mi 9T Pro</t>
  </si>
  <si>
    <t>Flex Power e Volume Mi A3</t>
  </si>
  <si>
    <t>Flex Power e Volume Poco X3</t>
  </si>
  <si>
    <t>Flex Power e Volume Poco X3 Pro</t>
  </si>
  <si>
    <t>Flex Power e Volume Poco X3 NFC</t>
  </si>
  <si>
    <t>Flex Power e Volume Redmi 8</t>
  </si>
  <si>
    <t>Flex Power e Volume Redmi 8A</t>
  </si>
  <si>
    <t>Flex Power e Volume Zenfone 4 Selfie Pro</t>
  </si>
  <si>
    <t>Flex Power e Volume Moto E6s</t>
  </si>
  <si>
    <t>Flex Power e Volume E6s</t>
  </si>
  <si>
    <t>Flex Power Asus Zenfone 4 Selfie Pro</t>
  </si>
  <si>
    <t>Flex Power ZD552KL</t>
  </si>
  <si>
    <t>Flex Power iPhone 8 Plus</t>
  </si>
  <si>
    <t>Flex Power iPhone XR</t>
  </si>
  <si>
    <t>Flex Power Mi 8 Lite</t>
  </si>
  <si>
    <t>Flex Power Mi 8 Pro</t>
  </si>
  <si>
    <t>Flex Power Mi 8 SE</t>
  </si>
  <si>
    <t>Flex Power Moto Moto C</t>
  </si>
  <si>
    <t>Flex Power Moto E13</t>
  </si>
  <si>
    <t>Flex Power Moto E20</t>
  </si>
  <si>
    <t>Flex Power Moto E30</t>
  </si>
  <si>
    <t>Flex Power Moto E40</t>
  </si>
  <si>
    <t>Flex Power Moto E22</t>
  </si>
  <si>
    <t>Flex Power Moto E32</t>
  </si>
  <si>
    <t>Flex Power Moto E5 Play</t>
  </si>
  <si>
    <t>Flex Power Moto E5 Plus</t>
  </si>
  <si>
    <t>Flex Power Moto E6 Play</t>
  </si>
  <si>
    <t>Flex Power Moto E6 Plus</t>
  </si>
  <si>
    <t>Flex Power Moto E6s</t>
  </si>
  <si>
    <t>Flex Power Moto E6i</t>
  </si>
  <si>
    <t>Flex Power Moto E7</t>
  </si>
  <si>
    <t>Flex Power Moto E7 Power</t>
  </si>
  <si>
    <t>Flex Power Moto G100</t>
  </si>
  <si>
    <t>Flex Power Moto G14</t>
  </si>
  <si>
    <t>Flex Power Moto G10</t>
  </si>
  <si>
    <t>Flex Power Moto G20</t>
  </si>
  <si>
    <t>Flex Power Moto G30</t>
  </si>
  <si>
    <t>Flex Power Moto G22</t>
  </si>
  <si>
    <t>Flex Power Moto G31</t>
  </si>
  <si>
    <t>Flex Power Moto G41</t>
  </si>
  <si>
    <t>Flex Power Moto G51</t>
  </si>
  <si>
    <t>Flex Power Moto G32</t>
  </si>
  <si>
    <t>Flex Power Moto G4 Plus</t>
  </si>
  <si>
    <t>Flex Power Moto G4 Play</t>
  </si>
  <si>
    <t>Flex Power Moto G5</t>
  </si>
  <si>
    <t>Flex Power Moto G50 5G</t>
  </si>
  <si>
    <t>Flex Power Moto G52</t>
  </si>
  <si>
    <t>Flex Power Moto G82</t>
  </si>
  <si>
    <t>Flex Power Moto G5G</t>
  </si>
  <si>
    <t>Flex Power Moto G 5G</t>
  </si>
  <si>
    <t>Flex Power Moto G5G Plus</t>
  </si>
  <si>
    <t>Flex Power Moto G5s</t>
  </si>
  <si>
    <t>Flex Power Moto G5s Plus</t>
  </si>
  <si>
    <t>Flex Power Moto G5 Plus</t>
  </si>
  <si>
    <t>Flex Power Moto G6</t>
  </si>
  <si>
    <t>Flex Power Moto G6 Play</t>
  </si>
  <si>
    <t>Flex Power Moto E5</t>
  </si>
  <si>
    <t>Flex Power Moto G6 Plus</t>
  </si>
  <si>
    <t>Flex Power Moto G60</t>
  </si>
  <si>
    <t>Flex Power Moto G60s</t>
  </si>
  <si>
    <t>Flex Power Moto G62</t>
  </si>
  <si>
    <t>Flex Power Moto G7</t>
  </si>
  <si>
    <t>Flex Power Moto G7 Play</t>
  </si>
  <si>
    <t>Flex Power Moto G7 Plus</t>
  </si>
  <si>
    <t>Flex Power Moto G7 Power</t>
  </si>
  <si>
    <t>Flex Power Moto G71 5G</t>
  </si>
  <si>
    <t>Flex Power Moto G73</t>
  </si>
  <si>
    <t>Flex Power Moto G8</t>
  </si>
  <si>
    <t>Flex Power Moto G8 Plus</t>
  </si>
  <si>
    <t>Flex Power Moto G8 Power</t>
  </si>
  <si>
    <t>Flex Power Moto G8 Power Lite</t>
  </si>
  <si>
    <t>Flex Power Moto G9 Play</t>
  </si>
  <si>
    <t>Flex Power Moto E7 Plus</t>
  </si>
  <si>
    <t>Flex Power Moto G9 Plus</t>
  </si>
  <si>
    <t>Flex Power Moto G9 Power</t>
  </si>
  <si>
    <t>Flex Power Moto One</t>
  </si>
  <si>
    <t>Flex Power Moto One Fusion</t>
  </si>
  <si>
    <t>Flex Power Moto One Fusion Plus</t>
  </si>
  <si>
    <t>Flex Power Moto One Hyper</t>
  </si>
  <si>
    <t>Flex Power Moto One Macro</t>
  </si>
  <si>
    <t>Flex Power Moto G8 Play</t>
  </si>
  <si>
    <t>Flex Power Moto One Vision</t>
  </si>
  <si>
    <t>Flex Power Moto One Action</t>
  </si>
  <si>
    <t>Flex Power Moto One Zoom</t>
  </si>
  <si>
    <t>Flex Power Redmi 10</t>
  </si>
  <si>
    <t>Flex Power Redmi 10 Prime</t>
  </si>
  <si>
    <t>Flex Power Redmi 9</t>
  </si>
  <si>
    <t>Flex Power Redmi 9C</t>
  </si>
  <si>
    <t>Flex Power Redmi 9A</t>
  </si>
  <si>
    <t>Flex Power Redmi 10A</t>
  </si>
  <si>
    <t>Flex Power Redmi Note 10 4G</t>
  </si>
  <si>
    <t>Flex Power Redmi Note 10s 4G</t>
  </si>
  <si>
    <t>Flex Power Redmi Note 11 4G</t>
  </si>
  <si>
    <t>Flex Power Redmi Note 11s 4G</t>
  </si>
  <si>
    <t>Flex Power Poco M4 Pro 4G</t>
  </si>
  <si>
    <t>Flex Power Redmi Note 12 4G</t>
  </si>
  <si>
    <t>Flex Power Redmi Note 12 5G</t>
  </si>
  <si>
    <t>Flex Power Redmi Note 8</t>
  </si>
  <si>
    <t>Flex Power Redmi Note 8T</t>
  </si>
  <si>
    <t>Flex Power Redmi Note 7</t>
  </si>
  <si>
    <t>Flex Power Redmi Note 7 Pro</t>
  </si>
  <si>
    <t>Flex Power Redmi Note 9</t>
  </si>
  <si>
    <t>Flex Power Redmi Note 9 Pro</t>
  </si>
  <si>
    <t>Flex Power Redmi Note 9s</t>
  </si>
  <si>
    <t>Flex Power SAM A02</t>
  </si>
  <si>
    <t>Flex Power SAM A32 4G</t>
  </si>
  <si>
    <t>Flex Power SAM A03</t>
  </si>
  <si>
    <t>Flex Power SAM A03 Core</t>
  </si>
  <si>
    <t>Flex Power SAM A02s</t>
  </si>
  <si>
    <t>Flex Power SAM A04E</t>
  </si>
  <si>
    <t>Flex Power SAM A03s</t>
  </si>
  <si>
    <t>Flex Power SAM A04 (M13)</t>
  </si>
  <si>
    <t>Flex Power SAM A11</t>
  </si>
  <si>
    <t>Flex Power SAM A20</t>
  </si>
  <si>
    <t>Flex Power SAM A30</t>
  </si>
  <si>
    <t>Flex Power SAM A50</t>
  </si>
  <si>
    <t>Flex Power SAM A70</t>
  </si>
  <si>
    <t>Flex Power SAM A30s</t>
  </si>
  <si>
    <t>Flex Power SAM A21s</t>
  </si>
  <si>
    <t>Flex Power SAM A31</t>
  </si>
  <si>
    <t>Flex Power SAM A33 5G</t>
  </si>
  <si>
    <t>Flex Power SAM A73 5G</t>
  </si>
  <si>
    <t>Flex Power SAM A51/A71</t>
  </si>
  <si>
    <t>Flex Power SAM A52 4G</t>
  </si>
  <si>
    <t>Flex Power SAM A52 5G</t>
  </si>
  <si>
    <t>Flex Power SAM A72</t>
  </si>
  <si>
    <t>Flex Power SAM S20 FE</t>
  </si>
  <si>
    <t>Flex Power SAM A53</t>
  </si>
  <si>
    <t>Flex Power SAM M53</t>
  </si>
  <si>
    <t>Flex Power SAM M20</t>
  </si>
  <si>
    <t>Flex Power SAM A10</t>
  </si>
  <si>
    <t>Flex Power SAM M10</t>
  </si>
  <si>
    <t>Flex Power SAM M30</t>
  </si>
  <si>
    <t>Flex Power SAM M21S</t>
  </si>
  <si>
    <t>Flex Power SAM M31</t>
  </si>
  <si>
    <t>Flex Power Xiaomi Mi 8</t>
  </si>
  <si>
    <t>Flex Power Xiaomi Mi 9</t>
  </si>
  <si>
    <t>Flex Power Xiaomi Mi 9 Lite</t>
  </si>
  <si>
    <t>Flex Power Xiaomi Mi 9 SE</t>
  </si>
  <si>
    <t>Flex Power Xiaomi Mi 9T</t>
  </si>
  <si>
    <t>Flex Power Xiaomi Mi 9T Pro</t>
  </si>
  <si>
    <t>Flex Power Xiaomi Mi A3</t>
  </si>
  <si>
    <t>Flex Power Xiaomi Poco X3</t>
  </si>
  <si>
    <t>Flex Power Xiaomi Poco X3 Pro</t>
  </si>
  <si>
    <t>Flex Power Xiaomi Poco X3 NFC</t>
  </si>
  <si>
    <t>Flex Power Xiaomi Redmi 8</t>
  </si>
  <si>
    <t>Flex Power Xiaomi Redmi 8A</t>
  </si>
  <si>
    <t>Flex Volume Asus Zenfone 4 Selfie Pro</t>
  </si>
  <si>
    <t>Flex Volume ZD552KL</t>
  </si>
  <si>
    <t>Flex Volume iPhone 8 Plus</t>
  </si>
  <si>
    <t>Flex Volume iPhone XR</t>
  </si>
  <si>
    <t>Flex Volume Mi 8 Lite</t>
  </si>
  <si>
    <t>Flex Volume Mi 8 Pro</t>
  </si>
  <si>
    <t>Flex Volume Mi 8 SE</t>
  </si>
  <si>
    <t>Flex Volume Moto Moto C</t>
  </si>
  <si>
    <t>Flex Volume Moto E13</t>
  </si>
  <si>
    <t>Flex Volume Moto E20</t>
  </si>
  <si>
    <t>Flex Volume Moto E30</t>
  </si>
  <si>
    <t>Flex Volume Moto E40</t>
  </si>
  <si>
    <t>Flex Volume Moto E22</t>
  </si>
  <si>
    <t>Flex Volume Moto E32</t>
  </si>
  <si>
    <t>Flex Volume Moto E5 Play</t>
  </si>
  <si>
    <t>Flex Volume Moto E5 Plus</t>
  </si>
  <si>
    <t>Flex Volume Moto E6 Play</t>
  </si>
  <si>
    <t>Flex Volume Moto E6 Plus</t>
  </si>
  <si>
    <t>Flex Volume Moto E6s</t>
  </si>
  <si>
    <t>Flex Volume Moto E6i</t>
  </si>
  <si>
    <t>Flex Volume Moto E7</t>
  </si>
  <si>
    <t>Flex Volume Moto E7 Power</t>
  </si>
  <si>
    <t>Flex Volume Moto G100</t>
  </si>
  <si>
    <t>Flex Volume Moto G14</t>
  </si>
  <si>
    <t>Flex Volume Moto G10</t>
  </si>
  <si>
    <t>Flex Volume Moto G20</t>
  </si>
  <si>
    <t>Flex Volume Moto G30</t>
  </si>
  <si>
    <t>Flex Volume Moto G22</t>
  </si>
  <si>
    <t>Flex Volume Moto G31</t>
  </si>
  <si>
    <t>Flex Volume Moto G41</t>
  </si>
  <si>
    <t>Flex Volume Moto G51</t>
  </si>
  <si>
    <t>Flex Volume Moto G32</t>
  </si>
  <si>
    <t>Flex Volume Moto G4 Plus</t>
  </si>
  <si>
    <t>Flex Volume Moto G4 Play</t>
  </si>
  <si>
    <t>Flex Volume Moto G5</t>
  </si>
  <si>
    <t>Flex Volume Moto G50 5G</t>
  </si>
  <si>
    <t>Flex Volume Moto G52</t>
  </si>
  <si>
    <t>Flex Volume Moto G82</t>
  </si>
  <si>
    <t>Flex Volume Moto G5G</t>
  </si>
  <si>
    <t>Flex Volume Moto G 5G</t>
  </si>
  <si>
    <t>Flex Volume Moto G5G Plus</t>
  </si>
  <si>
    <t>Flex Volume Moto G5s</t>
  </si>
  <si>
    <t>Flex Volume Moto G5s Plus</t>
  </si>
  <si>
    <t>Flex Volume Moto G5 Plus</t>
  </si>
  <si>
    <t>Flex Volume Moto G6</t>
  </si>
  <si>
    <t>Flex Volume Moto G6 Play</t>
  </si>
  <si>
    <t>Flex Volume Moto E5</t>
  </si>
  <si>
    <t>Flex Volume Moto G6 Plus</t>
  </si>
  <si>
    <t>Flex Volume Moto G60</t>
  </si>
  <si>
    <t>Flex Volume Moto G60s</t>
  </si>
  <si>
    <t>Flex Volume Moto G62</t>
  </si>
  <si>
    <t>Flex Volume Moto G7</t>
  </si>
  <si>
    <t>Flex Volume Moto G7 Play</t>
  </si>
  <si>
    <t>Flex Volume Moto G7 Plus</t>
  </si>
  <si>
    <t>Flex Volume Moto G7 Power</t>
  </si>
  <si>
    <t>Flex Volume Moto G71 5G</t>
  </si>
  <si>
    <t>Flex Volume Moto G73</t>
  </si>
  <si>
    <t>Flex Volume Moto G8</t>
  </si>
  <si>
    <t>Flex Volume Moto G8 Plus</t>
  </si>
  <si>
    <t>Flex Volume Moto G8 Power</t>
  </si>
  <si>
    <t>Flex Volume Moto G8 Power Lite</t>
  </si>
  <si>
    <t>Flex Volume Moto G9 Play</t>
  </si>
  <si>
    <t>Flex Volume Moto E7 Plus</t>
  </si>
  <si>
    <t>Flex Volume Moto G9 Plus</t>
  </si>
  <si>
    <t>Flex Volume Moto G9 Power</t>
  </si>
  <si>
    <t>Flex Volume Moto One</t>
  </si>
  <si>
    <t>Flex Volume Moto One Fusion</t>
  </si>
  <si>
    <t>Flex Volume Moto One Fusion Plus</t>
  </si>
  <si>
    <t>Flex Volume Moto One Hyper</t>
  </si>
  <si>
    <t>Flex Volume Moto One Macro</t>
  </si>
  <si>
    <t>Flex Volume Moto G8 Play</t>
  </si>
  <si>
    <t>Flex Volume Moto One Vision</t>
  </si>
  <si>
    <t>Flex Volume Moto One Action</t>
  </si>
  <si>
    <t>Flex Volume Moto One Zoom</t>
  </si>
  <si>
    <t>Flex Volume Redmi 10</t>
  </si>
  <si>
    <t>Flex Volume Redmi 10 Prime</t>
  </si>
  <si>
    <t>Flex Volume Redmi 9</t>
  </si>
  <si>
    <t>Flex Volume Redmi 9C</t>
  </si>
  <si>
    <t>Flex Volume Redmi 9A</t>
  </si>
  <si>
    <t>Flex Volume Redmi 10A</t>
  </si>
  <si>
    <t>Flex Volume Redmi Note 10 4G</t>
  </si>
  <si>
    <t>Flex Volume Redmi Note 10s 4G</t>
  </si>
  <si>
    <t>Flex Volume Redmi Note 11 4G</t>
  </si>
  <si>
    <t>Flex Volume Redmi Note 11s 4G</t>
  </si>
  <si>
    <t>Flex Volume Poco M4 Pro 4G</t>
  </si>
  <si>
    <t>Flex Volume Redmi Note 12 4G</t>
  </si>
  <si>
    <t>Flex Volume Redmi Note 12 5G</t>
  </si>
  <si>
    <t>Flex Volume Redmi Note 8</t>
  </si>
  <si>
    <t>Flex Volume Redmi Note 8T</t>
  </si>
  <si>
    <t>Flex Volume Redmi Note 7</t>
  </si>
  <si>
    <t>Flex Volume Redmi Note 7 Pro</t>
  </si>
  <si>
    <t>Flex Volume Redmi Note 9</t>
  </si>
  <si>
    <t>Flex Volume Redmi Note 9 Pro</t>
  </si>
  <si>
    <t>Flex Volume Redmi Note 9s</t>
  </si>
  <si>
    <t>Flex Volume SAM A02</t>
  </si>
  <si>
    <t>Flex Volume SAM A32 4G</t>
  </si>
  <si>
    <t>Flex Volume SAM A03</t>
  </si>
  <si>
    <t>Flex Volume SAM A03 Core</t>
  </si>
  <si>
    <t>Flex Volume SAM A02s</t>
  </si>
  <si>
    <t>Flex Volume SAM A04E</t>
  </si>
  <si>
    <t>Flex Volume SAM A03s</t>
  </si>
  <si>
    <t>Flex Volume SAM A04 (M13)</t>
  </si>
  <si>
    <t>Flex Volume SAM A11</t>
  </si>
  <si>
    <t>Flex Volume SAM A20</t>
  </si>
  <si>
    <t>Flex Volume SAM A30</t>
  </si>
  <si>
    <t>Flex Volume SAM A50</t>
  </si>
  <si>
    <t>Flex Volume SAM A70</t>
  </si>
  <si>
    <t>Flex Volume SAM A30s</t>
  </si>
  <si>
    <t>Flex Volume SAM A21s</t>
  </si>
  <si>
    <t>Flex Volume SAM A31</t>
  </si>
  <si>
    <t>Flex Volume SAM A33 5G</t>
  </si>
  <si>
    <t>Flex Volume SAM A73 5G</t>
  </si>
  <si>
    <t>Flex Volume SAM A51/A71</t>
  </si>
  <si>
    <t>Flex Volume SAM A52 4G</t>
  </si>
  <si>
    <t>Flex Volume SAM A52 5G</t>
  </si>
  <si>
    <t>Flex Volume SAM A72</t>
  </si>
  <si>
    <t>Flex Volume SAM S20 FE</t>
  </si>
  <si>
    <t>Flex Volume SAM M52</t>
  </si>
  <si>
    <t>Flex Volume SAM A53</t>
  </si>
  <si>
    <t>Flex Volume SAM M53</t>
  </si>
  <si>
    <t>Flex Volume SAM M20</t>
  </si>
  <si>
    <t>Flex Volume SAM A10</t>
  </si>
  <si>
    <t>Flex Volume SAM M10</t>
  </si>
  <si>
    <t>Flex Volume SAM M30</t>
  </si>
  <si>
    <t>Flex Volume SAM M21S</t>
  </si>
  <si>
    <t>Flex Volume SAM M31</t>
  </si>
  <si>
    <t>Flex Volume Xiaomi Mi 8</t>
  </si>
  <si>
    <t>Flex Volume Xiaomi Mi 9</t>
  </si>
  <si>
    <t>Flex Volume Xiaomi Mi 9 Lite</t>
  </si>
  <si>
    <t>Flex Volume Xiaomi Mi 9 SE</t>
  </si>
  <si>
    <t>Flex Volume Xiaomi Mi 9T</t>
  </si>
  <si>
    <t>Flex Volume Xiaomi Mi 9T Pro</t>
  </si>
  <si>
    <t>Flex Volume Xiaomi Mi A3</t>
  </si>
  <si>
    <t>Flex Volume Xiaomi Poco X3</t>
  </si>
  <si>
    <t>Flex Volume Xiaomi Poco X3 Pro</t>
  </si>
  <si>
    <t>Flex Volume Xiaomi Poco X3 NFC</t>
  </si>
  <si>
    <t>Flex Volume Xiaomi Redmi 8</t>
  </si>
  <si>
    <t>Flex Volume Xiaomi Redmi 8A</t>
  </si>
  <si>
    <t>Flex Volume Zenfone 4 Selfie Pro</t>
  </si>
  <si>
    <t>Flex Volume Moto C</t>
  </si>
  <si>
    <t>Flex Volume E13</t>
  </si>
  <si>
    <t>Flex Volume E20</t>
  </si>
  <si>
    <t>Flex Volume E30</t>
  </si>
  <si>
    <t>Flex Volume E40</t>
  </si>
  <si>
    <t>Flex Volume E22</t>
  </si>
  <si>
    <t>Flex Volume E32</t>
  </si>
  <si>
    <t>Flex Volume E5 Play</t>
  </si>
  <si>
    <t>Flex Volume E5 Plus</t>
  </si>
  <si>
    <t>Flex Volume E6 Play</t>
  </si>
  <si>
    <t>Flex Volume E6 Plus</t>
  </si>
  <si>
    <t>Flex Volume E6s</t>
  </si>
  <si>
    <t>Flex Volume E6i</t>
  </si>
  <si>
    <t>Flex Volume E7</t>
  </si>
  <si>
    <t>Flex Volume E7 Power</t>
  </si>
  <si>
    <t>Flex Volume G100</t>
  </si>
  <si>
    <t>Flex Volume G14</t>
  </si>
  <si>
    <t>Flex Volume G10</t>
  </si>
  <si>
    <t>Flex Volume G20</t>
  </si>
  <si>
    <t>Flex Volume G30</t>
  </si>
  <si>
    <t>Flex Volume G22</t>
  </si>
  <si>
    <t>Flex Volume G31</t>
  </si>
  <si>
    <t>Flex Volume G41</t>
  </si>
  <si>
    <t>Flex Volume G51</t>
  </si>
  <si>
    <t>Flex Volume G32</t>
  </si>
  <si>
    <t>Flex Volume G4 Plus</t>
  </si>
  <si>
    <t>Flex Volume G4 Play</t>
  </si>
  <si>
    <t>Flex Volume G5</t>
  </si>
  <si>
    <t>Flex Volume G50 5G</t>
  </si>
  <si>
    <t>Flex Volume G52</t>
  </si>
  <si>
    <t>Flex Volume G82</t>
  </si>
  <si>
    <t>Flex Volume G5G</t>
  </si>
  <si>
    <t>Flex Volume G 5G</t>
  </si>
  <si>
    <t>Flex Volume G5G Plus</t>
  </si>
  <si>
    <t>Flex Volume G5s</t>
  </si>
  <si>
    <t>Flex Volume G5s Plus</t>
  </si>
  <si>
    <t>Flex Volume G5 Plus</t>
  </si>
  <si>
    <t>Flex Volume G6</t>
  </si>
  <si>
    <t>Flex Volume G6 Play</t>
  </si>
  <si>
    <t>Flex Volume E5</t>
  </si>
  <si>
    <t>Flex Volume G6 Plus</t>
  </si>
  <si>
    <t>Flex Volume G60</t>
  </si>
  <si>
    <t>Flex Volume G60s</t>
  </si>
  <si>
    <t>Flex Volume G62</t>
  </si>
  <si>
    <t>Flex Volume G7</t>
  </si>
  <si>
    <t>Flex Volume G7 Play</t>
  </si>
  <si>
    <t>Flex Volume G7 Plus</t>
  </si>
  <si>
    <t>Flex Volume G7 Power</t>
  </si>
  <si>
    <t>Flex Volume G71 5G</t>
  </si>
  <si>
    <t>Flex Volume G73</t>
  </si>
  <si>
    <t>Flex Volume G8</t>
  </si>
  <si>
    <t>Flex Volume G8 Plus</t>
  </si>
  <si>
    <t>Flex Volume G8 Power</t>
  </si>
  <si>
    <t>Flex Volume G8 Power Lite</t>
  </si>
  <si>
    <t>Flex Volume G9 Play</t>
  </si>
  <si>
    <t>Flex Volume E7 Plus</t>
  </si>
  <si>
    <t>Flex Volume G9 Plus</t>
  </si>
  <si>
    <t>Flex Volume G9 Power</t>
  </si>
  <si>
    <t>Flex Volume One</t>
  </si>
  <si>
    <t>Flex Volume One Fusion</t>
  </si>
  <si>
    <t>Flex Volume One Fusion Plus</t>
  </si>
  <si>
    <t>Flex Volume One Hyper</t>
  </si>
  <si>
    <t>Flex Volume One Macro</t>
  </si>
  <si>
    <t>Flex Volume G8 Play</t>
  </si>
  <si>
    <t>Flex Volume One Vision</t>
  </si>
  <si>
    <t>Flex Volume One Action</t>
  </si>
  <si>
    <t>Flex Volume One Zoom</t>
  </si>
  <si>
    <t>Flex Volume A02</t>
  </si>
  <si>
    <t>Flex Volume A32 4G</t>
  </si>
  <si>
    <t>Flex Volume A03</t>
  </si>
  <si>
    <t>Flex Volume A03 Core</t>
  </si>
  <si>
    <t>Flex Volume A02s</t>
  </si>
  <si>
    <t>Flex Volume A04E</t>
  </si>
  <si>
    <t>Flex Volume A03s</t>
  </si>
  <si>
    <t>Flex Volume A04 (M13)</t>
  </si>
  <si>
    <t>Flex Volume A11</t>
  </si>
  <si>
    <t>Flex Volume A20</t>
  </si>
  <si>
    <t>Flex Volume A30</t>
  </si>
  <si>
    <t>Flex Volume A50</t>
  </si>
  <si>
    <t>Flex Volume A70</t>
  </si>
  <si>
    <t>Flex Volume A30s</t>
  </si>
  <si>
    <t>Flex Volume A21s</t>
  </si>
  <si>
    <t>Flex Volume A31</t>
  </si>
  <si>
    <t>Flex Volume A33 5G</t>
  </si>
  <si>
    <t>Flex Volume A73 5G</t>
  </si>
  <si>
    <t>Flex Volume A51/A71</t>
  </si>
  <si>
    <t>Flex Volume A52 4G</t>
  </si>
  <si>
    <t>Flex Volume A52 5G</t>
  </si>
  <si>
    <t>Flex Volume A72</t>
  </si>
  <si>
    <t>Flex Volume S20 FE</t>
  </si>
  <si>
    <t>Flex Volume M52</t>
  </si>
  <si>
    <t>Flex Volume A53</t>
  </si>
  <si>
    <t>Flex Volume M53</t>
  </si>
  <si>
    <t>Flex Volume M20</t>
  </si>
  <si>
    <t>Flex Volume A10</t>
  </si>
  <si>
    <t>Flex Volume M10</t>
  </si>
  <si>
    <t>Flex Volume M30</t>
  </si>
  <si>
    <t>Flex Volume M21S</t>
  </si>
  <si>
    <t>Flex Volume M31</t>
  </si>
  <si>
    <t>Flex Volume Mi 8</t>
  </si>
  <si>
    <t>Flex Volume Mi 9</t>
  </si>
  <si>
    <t>Flex Volume Mi 9 Lite</t>
  </si>
  <si>
    <t>Flex Volume Mi 9 SE</t>
  </si>
  <si>
    <t>Flex Volume Mi 9T</t>
  </si>
  <si>
    <t>Flex Volume Mi 9T Pro</t>
  </si>
  <si>
    <t>Flex Volume Mi A3</t>
  </si>
  <si>
    <t>Flex Volume Poco X3</t>
  </si>
  <si>
    <t>Flex Volume Poco X3 Pro</t>
  </si>
  <si>
    <t>Flex Volume Poco X3 NFC</t>
  </si>
  <si>
    <t>Flex Volume Redmi 8</t>
  </si>
  <si>
    <t>Flex Volume Redmi 8A</t>
  </si>
  <si>
    <t>Flex Power Zenfone 4 Selfie Pro</t>
  </si>
  <si>
    <t>Flex Power Moto C</t>
  </si>
  <si>
    <t>Flex Power E13</t>
  </si>
  <si>
    <t>Flex Power E20</t>
  </si>
  <si>
    <t>Flex Power E30</t>
  </si>
  <si>
    <t>Flex Power E40</t>
  </si>
  <si>
    <t>Flex Power E22</t>
  </si>
  <si>
    <t>Flex Power E32</t>
  </si>
  <si>
    <t>Flex Power E5 Play</t>
  </si>
  <si>
    <t>Flex Power E5 Plus</t>
  </si>
  <si>
    <t>Flex Power E6 Play</t>
  </si>
  <si>
    <t>Flex Power E6 Plus</t>
  </si>
  <si>
    <t>Flex Power E6s</t>
  </si>
  <si>
    <t>Flex Power E6i</t>
  </si>
  <si>
    <t>Flex Power E7</t>
  </si>
  <si>
    <t>Flex Power E7 Power</t>
  </si>
  <si>
    <t>Flex Power G100</t>
  </si>
  <si>
    <t>Flex Power G14</t>
  </si>
  <si>
    <t>Flex Power G10</t>
  </si>
  <si>
    <t>Flex Power G20</t>
  </si>
  <si>
    <t>Flex Power G30</t>
  </si>
  <si>
    <t>Flex Power G22</t>
  </si>
  <si>
    <t>Flex Power G31</t>
  </si>
  <si>
    <t>Flex Power G41</t>
  </si>
  <si>
    <t>Flex Power G51</t>
  </si>
  <si>
    <t>Flex Power G32</t>
  </si>
  <si>
    <t>Flex Power G4 Plus</t>
  </si>
  <si>
    <t>Flex Power G4 Play</t>
  </si>
  <si>
    <t>Flex Power G5</t>
  </si>
  <si>
    <t>Flex Power G50 5G</t>
  </si>
  <si>
    <t>Flex Power G52</t>
  </si>
  <si>
    <t>Flex Power G82</t>
  </si>
  <si>
    <t>Flex Power G5G</t>
  </si>
  <si>
    <t>Flex Power G 5G</t>
  </si>
  <si>
    <t>Flex Power G5G Plus</t>
  </si>
  <si>
    <t>Flex Power G5s</t>
  </si>
  <si>
    <t>Flex Power G5s Plus</t>
  </si>
  <si>
    <t>Flex Power G5 Plus</t>
  </si>
  <si>
    <t>Flex Power G6</t>
  </si>
  <si>
    <t>Flex Power G6 Play</t>
  </si>
  <si>
    <t>Flex Power E5</t>
  </si>
  <si>
    <t>Flex Power G6 Plus</t>
  </si>
  <si>
    <t>Flex Power G60</t>
  </si>
  <si>
    <t>Flex Power G60s</t>
  </si>
  <si>
    <t>Flex Power G62</t>
  </si>
  <si>
    <t>Flex Power G7</t>
  </si>
  <si>
    <t>Flex Power G7 Play</t>
  </si>
  <si>
    <t>Flex Power G7 Plus</t>
  </si>
  <si>
    <t>Flex Power G7 Power</t>
  </si>
  <si>
    <t>Flex Power G71 5G</t>
  </si>
  <si>
    <t>Flex Power G73</t>
  </si>
  <si>
    <t>Flex Power G8</t>
  </si>
  <si>
    <t>Flex Power G8 Plus</t>
  </si>
  <si>
    <t>Flex Power G8 Power</t>
  </si>
  <si>
    <t>Flex Power G8 Power Lite</t>
  </si>
  <si>
    <t>Flex Power G9 Play</t>
  </si>
  <si>
    <t>Flex Power E7 Plus</t>
  </si>
  <si>
    <t>Flex Power G9 Plus</t>
  </si>
  <si>
    <t>Flex Power G9 Power</t>
  </si>
  <si>
    <t>Flex Power One</t>
  </si>
  <si>
    <t>Flex Power One Fusion</t>
  </si>
  <si>
    <t>Flex Power One Fusion Plus</t>
  </si>
  <si>
    <t>Flex Power One Hyper</t>
  </si>
  <si>
    <t>Flex Power One Macro</t>
  </si>
  <si>
    <t>Flex Power G8 Play</t>
  </si>
  <si>
    <t>Flex Power One Vision</t>
  </si>
  <si>
    <t>Flex Power One Action</t>
  </si>
  <si>
    <t>Flex Power One Zoom</t>
  </si>
  <si>
    <t>Flex Power A02</t>
  </si>
  <si>
    <t>Flex Power A32 4G</t>
  </si>
  <si>
    <t>Flex Power A03</t>
  </si>
  <si>
    <t>Flex Power A03 Core</t>
  </si>
  <si>
    <t>Flex Power A02s</t>
  </si>
  <si>
    <t>Flex Power A04E</t>
  </si>
  <si>
    <t>Flex Power A03s</t>
  </si>
  <si>
    <t>Flex Power A04 (M13)</t>
  </si>
  <si>
    <t>Flex Power A11</t>
  </si>
  <si>
    <t>Flex Power A20</t>
  </si>
  <si>
    <t>Flex Power A30</t>
  </si>
  <si>
    <t>Flex Power A50</t>
  </si>
  <si>
    <t>Flex Power A70</t>
  </si>
  <si>
    <t>Flex Power A30s</t>
  </si>
  <si>
    <t>Flex Power A21s</t>
  </si>
  <si>
    <t>Flex Power A31</t>
  </si>
  <si>
    <t>Flex Power A33 5G</t>
  </si>
  <si>
    <t>Flex Power A73 5G</t>
  </si>
  <si>
    <t>Flex Power A51/A71</t>
  </si>
  <si>
    <t>Flex Power A52 4G</t>
  </si>
  <si>
    <t>Flex Power A52 5G</t>
  </si>
  <si>
    <t>Flex Power A72</t>
  </si>
  <si>
    <t>Flex Power S20 FE</t>
  </si>
  <si>
    <t>Flex Power A53</t>
  </si>
  <si>
    <t>Flex Power M53</t>
  </si>
  <si>
    <t>Flex Power M20</t>
  </si>
  <si>
    <t>Flex Power A10</t>
  </si>
  <si>
    <t>Flex Power M10</t>
  </si>
  <si>
    <t>Flex Power M30</t>
  </si>
  <si>
    <t>Flex Power M21S</t>
  </si>
  <si>
    <t>Flex Power M31</t>
  </si>
  <si>
    <t>Flex Power Mi 8</t>
  </si>
  <si>
    <t>Flex Power Mi 9</t>
  </si>
  <si>
    <t>Flex Power Mi 9 Lite</t>
  </si>
  <si>
    <t>Flex Power Mi 9 SE</t>
  </si>
  <si>
    <t>Flex Power Mi 9T</t>
  </si>
  <si>
    <t>Flex Power Mi 9T Pro</t>
  </si>
  <si>
    <t>Flex Power Mi A3</t>
  </si>
  <si>
    <t>Flex Power Poco X3</t>
  </si>
  <si>
    <t>Flex Power Poco X3 Pro</t>
  </si>
  <si>
    <t>Flex Power Poco X3 NFC</t>
  </si>
  <si>
    <t>Flex Power Redmi 8</t>
  </si>
  <si>
    <t>Flex Power Redmi 8A</t>
  </si>
  <si>
    <t>Flex Sensor Biometria A30s</t>
  </si>
  <si>
    <t>Flex Sensor Biometria A31</t>
  </si>
  <si>
    <t>Flex Sensor Biometria A51</t>
  </si>
  <si>
    <t>Flex Sensor Biometria A71</t>
  </si>
  <si>
    <t>Flex Sensor Biometria A70</t>
  </si>
  <si>
    <t>Flex Power LG K22</t>
  </si>
  <si>
    <t>Flex Volume LG K22</t>
  </si>
  <si>
    <t>Flex Power LG K22 Plus</t>
  </si>
  <si>
    <t>Flex  Volume LG K22 Plus</t>
  </si>
  <si>
    <t>Flex Volume SAM A20s (M14)</t>
  </si>
  <si>
    <t>Flex Volume SAM A20s (M12)</t>
  </si>
  <si>
    <t>Flex Volume J4</t>
  </si>
  <si>
    <t>Flex Volume A01</t>
  </si>
  <si>
    <t>Flex Volume A01 Core</t>
  </si>
  <si>
    <t>Flex Volume A10s</t>
  </si>
  <si>
    <t>Flex Volume A12</t>
  </si>
  <si>
    <t>Flex Volume A20s (M14)</t>
  </si>
  <si>
    <t>Flex Volume A20s (M12)</t>
  </si>
  <si>
    <t>Flex Volume A22 4G</t>
  </si>
  <si>
    <t>Flex Volume M22</t>
  </si>
  <si>
    <t>Flex Volume J400</t>
  </si>
  <si>
    <t>Flex Volume J6</t>
  </si>
  <si>
    <t>Flex Volume J600</t>
  </si>
  <si>
    <t>Flex Volume J8</t>
  </si>
  <si>
    <t>Flex Volume J800</t>
  </si>
  <si>
    <t>Flex Volume J8 Plus</t>
  </si>
  <si>
    <t>Flex Volume J4 Core</t>
  </si>
  <si>
    <t>Flex Volume J4 Plus</t>
  </si>
  <si>
    <t>Flex Volume J4+</t>
  </si>
  <si>
    <t>Flex Volume J6 Plus</t>
  </si>
  <si>
    <t>Flex Volume J6 Core</t>
  </si>
  <si>
    <t>Flex Volume J6+</t>
  </si>
  <si>
    <t>Flex Volume J5 Pro</t>
  </si>
  <si>
    <t>Flex Volume J530</t>
  </si>
  <si>
    <t>Flex Volume J7 Pro</t>
  </si>
  <si>
    <t>Flex Volume J730</t>
  </si>
  <si>
    <t>Flex Volume J3</t>
  </si>
  <si>
    <t>Flex Volume J330</t>
  </si>
  <si>
    <t>Flex Volume K12</t>
  </si>
  <si>
    <t>Flex Volume K12 Plus</t>
  </si>
  <si>
    <t>Flex Volume K22</t>
  </si>
  <si>
    <t>Flex Volume K40s</t>
  </si>
  <si>
    <t>Flex Volume K50s</t>
  </si>
  <si>
    <t>Flex Volume K51</t>
  </si>
  <si>
    <t>Flex Volume K51s</t>
  </si>
  <si>
    <t>Flex Volume K61</t>
  </si>
  <si>
    <t>Flex Volume K22 Plus</t>
  </si>
  <si>
    <t>Flex Power K22</t>
  </si>
  <si>
    <t>Flex Power K22 Plus</t>
  </si>
  <si>
    <t>Gaveta A20s</t>
  </si>
  <si>
    <t>Gaveta A21</t>
  </si>
  <si>
    <t>Gaveta A21s</t>
  </si>
  <si>
    <t>Gaveta A22 4G</t>
  </si>
  <si>
    <t>Gaveta A30s</t>
  </si>
  <si>
    <t>Gaveta A31</t>
  </si>
  <si>
    <t>Gaveta A32 4g</t>
  </si>
  <si>
    <t>Gaveta A32 5G</t>
  </si>
  <si>
    <t>Gaveta A5 2016</t>
  </si>
  <si>
    <t>Gaveta A510</t>
  </si>
  <si>
    <t>Gaveta A7 2016</t>
  </si>
  <si>
    <t>Gaveta A710</t>
  </si>
  <si>
    <t>Gaveta A5 2017</t>
  </si>
  <si>
    <t>Gaveta A520</t>
  </si>
  <si>
    <t>Gaveta A7 2017</t>
  </si>
  <si>
    <t>Gaveta A720</t>
  </si>
  <si>
    <t>Gaveta A3 2017</t>
  </si>
  <si>
    <t>Gaveta A320</t>
  </si>
  <si>
    <t>Gaveta A51</t>
  </si>
  <si>
    <t>Gaveta A71</t>
  </si>
  <si>
    <t>Gaveta A52 4G</t>
  </si>
  <si>
    <t>Gaveta A52 5G</t>
  </si>
  <si>
    <t>Gaveta A72</t>
  </si>
  <si>
    <t>Gaveta A53</t>
  </si>
  <si>
    <t>Gaveta A70</t>
  </si>
  <si>
    <t>Gaveta J4 Core</t>
  </si>
  <si>
    <t>Gaveta J4</t>
  </si>
  <si>
    <t>Gaveta J400</t>
  </si>
  <si>
    <t>Gaveta J6</t>
  </si>
  <si>
    <t>Gaveta J600</t>
  </si>
  <si>
    <t>Gaveta J8</t>
  </si>
  <si>
    <t>Gaveta J5 Pro</t>
  </si>
  <si>
    <t>Gaveta J530</t>
  </si>
  <si>
    <t>Gaveta J6 Plus</t>
  </si>
  <si>
    <t>Gaveta J4 Plus</t>
  </si>
  <si>
    <t>Gaveta J8 Plus</t>
  </si>
  <si>
    <t>Gaveta S20 Plus</t>
  </si>
  <si>
    <t>Gaveta S20 Ultra</t>
  </si>
  <si>
    <t>Gaveta S21</t>
  </si>
  <si>
    <t>Gaveta S21 Plus</t>
  </si>
  <si>
    <t>Gaveta S8</t>
  </si>
  <si>
    <t>Gaveta S8 Plus</t>
  </si>
  <si>
    <t>Gaveta S10</t>
  </si>
  <si>
    <t>Gaveta S10 Plus</t>
  </si>
  <si>
    <t>Gaveta S9</t>
  </si>
  <si>
    <t>Gaveta S9 Plus</t>
  </si>
  <si>
    <t>Gaveta 7</t>
  </si>
  <si>
    <t>Gaveta Note 12 Pro</t>
  </si>
  <si>
    <t>Gaveta Note 7</t>
  </si>
  <si>
    <t>Gaveta Note 9</t>
  </si>
  <si>
    <t>Gaveta 8</t>
  </si>
  <si>
    <t>Gaveta 8A</t>
  </si>
  <si>
    <t>Gaveta 9A</t>
  </si>
  <si>
    <t>Gaveta 9C</t>
  </si>
  <si>
    <t>Gaveta Note 10 5G</t>
  </si>
  <si>
    <t>Gaveta Note 11</t>
  </si>
  <si>
    <t>Gaveta Note 11 4G</t>
  </si>
  <si>
    <t>Gaveta Note 8</t>
  </si>
  <si>
    <t>Lente Asus Zenfone Max Shot (ZB634KL)</t>
  </si>
  <si>
    <t>Lente ZB634KL</t>
  </si>
  <si>
    <t>Lente iPhone 11 Pro</t>
  </si>
  <si>
    <t>Lente iPhone 11 Pro Max</t>
  </si>
  <si>
    <t>Lente iPhone 12 Pro</t>
  </si>
  <si>
    <t>Lente iPhone 12 Pro Max</t>
  </si>
  <si>
    <t>Lente iPhone 12 Mini</t>
  </si>
  <si>
    <t>Lente iPhone 13 Pro</t>
  </si>
  <si>
    <t>Lente iPhone 13 Pro Max</t>
  </si>
  <si>
    <t>Lente iPhone 14 Pro</t>
  </si>
  <si>
    <t>Lente iPhone 14 Pro Max</t>
  </si>
  <si>
    <t>Lente iPhone 14 Plus</t>
  </si>
  <si>
    <t>Lente iPhone 15 Pro</t>
  </si>
  <si>
    <t>Lente iPhone 15 Pro Max</t>
  </si>
  <si>
    <t>Lente iPhone 6s</t>
  </si>
  <si>
    <t>Lente iPhone 6 Plus</t>
  </si>
  <si>
    <t>Lente iPhone 6s Plus</t>
  </si>
  <si>
    <t>Lente iPhone 7 Plus</t>
  </si>
  <si>
    <t>Lente iPhone 8 Plus</t>
  </si>
  <si>
    <t>Lente iPhone XS</t>
  </si>
  <si>
    <t>Lente iPhone XS Max</t>
  </si>
  <si>
    <t>Lente iPhone XR</t>
  </si>
  <si>
    <t>Lente LG K12 Prime</t>
  </si>
  <si>
    <t>Lente LG K22</t>
  </si>
  <si>
    <t>Lente LG K22 Plus</t>
  </si>
  <si>
    <t>Lente LG K42</t>
  </si>
  <si>
    <t>Lente LG K52</t>
  </si>
  <si>
    <t>Lente LG K50s</t>
  </si>
  <si>
    <t>Lente LG K51s</t>
  </si>
  <si>
    <t>Lente LG K41s</t>
  </si>
  <si>
    <t>Lente LG K61</t>
  </si>
  <si>
    <t>Lente LG K62</t>
  </si>
  <si>
    <t>Lente LG K62 Plus</t>
  </si>
  <si>
    <t>Lente Moto E20</t>
  </si>
  <si>
    <t>Lente Moto E32</t>
  </si>
  <si>
    <t>Lente Moto E6 Play</t>
  </si>
  <si>
    <t>Lente Moto E6 Plus</t>
  </si>
  <si>
    <t>Lente Moto E6s</t>
  </si>
  <si>
    <t>Lente Moto E6i</t>
  </si>
  <si>
    <t>Lente Moto E7</t>
  </si>
  <si>
    <t>Lente Moto E7 Plus</t>
  </si>
  <si>
    <t>Lente Moto E7 Power</t>
  </si>
  <si>
    <t>Lente Moto G100</t>
  </si>
  <si>
    <t>Lente Moto G22</t>
  </si>
  <si>
    <t>Lente Moto G10</t>
  </si>
  <si>
    <t>Lente Moto G20</t>
  </si>
  <si>
    <t>Lente Moto G30</t>
  </si>
  <si>
    <t>Lente Moto G5</t>
  </si>
  <si>
    <t>Lente Moto G50 5G</t>
  </si>
  <si>
    <t>Lente Moto G5s Plus</t>
  </si>
  <si>
    <t>Lente Moto G6</t>
  </si>
  <si>
    <t>Lente Moto G6 Play</t>
  </si>
  <si>
    <t>Lente Moto E5</t>
  </si>
  <si>
    <t>Lente Moto G6 Plus</t>
  </si>
  <si>
    <t>Lente Moto G7</t>
  </si>
  <si>
    <t>Lente Moto G7 Play</t>
  </si>
  <si>
    <t>Lente Moto G7 Plus</t>
  </si>
  <si>
    <t>Lente Moto G8 Play</t>
  </si>
  <si>
    <t>Lente Moto G8 Plus</t>
  </si>
  <si>
    <t>Lente Moto G8 Power</t>
  </si>
  <si>
    <t>Lente Moto G8 Power Lite</t>
  </si>
  <si>
    <t>Lente Moto G9 Play</t>
  </si>
  <si>
    <t>Lente Moto G9 Plus</t>
  </si>
  <si>
    <t>Lente Moto One Action</t>
  </si>
  <si>
    <t>Lente Moto One Fusion</t>
  </si>
  <si>
    <t>Lente Moto One Fusion Plus</t>
  </si>
  <si>
    <t>Lente Moto One Vision</t>
  </si>
  <si>
    <t>Lente Realme C21</t>
  </si>
  <si>
    <t>Lente Redmi Note 10 5G</t>
  </si>
  <si>
    <t>Lente Redmi Note 11 4G</t>
  </si>
  <si>
    <t>Lente Redmi Note 11s 4G</t>
  </si>
  <si>
    <t>Lente SAM A01</t>
  </si>
  <si>
    <t>Lente SAM A01 Core</t>
  </si>
  <si>
    <t>Lente SAM A02s</t>
  </si>
  <si>
    <t>Lente SAM A03</t>
  </si>
  <si>
    <t>Lente SAM A03s</t>
  </si>
  <si>
    <t>Lente SAM A04</t>
  </si>
  <si>
    <t>Lente SAM A04S</t>
  </si>
  <si>
    <t>Lente SAM A10</t>
  </si>
  <si>
    <t>Lente SAM A20</t>
  </si>
  <si>
    <t>Lente SAM A30</t>
  </si>
  <si>
    <t>Lente SAM A10s</t>
  </si>
  <si>
    <t>Lente SAM A11</t>
  </si>
  <si>
    <t>Lente SAM A12</t>
  </si>
  <si>
    <t>Lente SAM M12</t>
  </si>
  <si>
    <t>Lente SAM M22</t>
  </si>
  <si>
    <t>Lente SAM M32</t>
  </si>
  <si>
    <t>Lente SAM M62</t>
  </si>
  <si>
    <t>Lente SAM A20s</t>
  </si>
  <si>
    <t>Lente SAM A21s</t>
  </si>
  <si>
    <t>Lente SAM A22 4G</t>
  </si>
  <si>
    <t>Lente SAM A22 5G</t>
  </si>
  <si>
    <t>Lente SAM A30s</t>
  </si>
  <si>
    <t>Lente SAM A31</t>
  </si>
  <si>
    <t>Lente SAM A32 4G</t>
  </si>
  <si>
    <t>Lente SAM A32 5G</t>
  </si>
  <si>
    <t>Lente SAM A50</t>
  </si>
  <si>
    <t>Lente SAM A70</t>
  </si>
  <si>
    <t>Lente SAM A51</t>
  </si>
  <si>
    <t>Lente SAM A52</t>
  </si>
  <si>
    <t>Lente SAM A7 2018</t>
  </si>
  <si>
    <t>Lente SAM A750</t>
  </si>
  <si>
    <t>Lente SAM A71</t>
  </si>
  <si>
    <t>Lente SAM A72</t>
  </si>
  <si>
    <t>Lente SAM A80</t>
  </si>
  <si>
    <t>Lente SAM Galaxy Note 10</t>
  </si>
  <si>
    <t>Lente SAM Galaxy Note 10 Lite</t>
  </si>
  <si>
    <t>Lente SAM J2 Core</t>
  </si>
  <si>
    <t>Lente SAM J260</t>
  </si>
  <si>
    <t>Lente SAM J4 Core</t>
  </si>
  <si>
    <t>Lente SAM J6</t>
  </si>
  <si>
    <t>Lente SAM J6 Plus</t>
  </si>
  <si>
    <t>Lente SAM J8</t>
  </si>
  <si>
    <t>Lente SAM J8 Plus</t>
  </si>
  <si>
    <t>Lente SAM M21s</t>
  </si>
  <si>
    <t>Lente SAM Note 20 Ultra</t>
  </si>
  <si>
    <t>Lente SAM Note 20</t>
  </si>
  <si>
    <t>Lente SAM Note 20 Plus</t>
  </si>
  <si>
    <t>Lente SAM S10 Lite</t>
  </si>
  <si>
    <t>Lente SAM S10</t>
  </si>
  <si>
    <t>Lente SAM S10 Plus</t>
  </si>
  <si>
    <t>Lente SAM S20</t>
  </si>
  <si>
    <t>Lente SAM S20 FE</t>
  </si>
  <si>
    <t>Lente SAM S20 Plus</t>
  </si>
  <si>
    <t>Lente SAM S20 Ultra</t>
  </si>
  <si>
    <t>Lente SAM S21</t>
  </si>
  <si>
    <t>Lente SAM S21 Plus</t>
  </si>
  <si>
    <t>Lente SAM S21 Ultra</t>
  </si>
  <si>
    <t>Lente Xiaomi 11 Lite</t>
  </si>
  <si>
    <t>Lente Xiaomi Mi 10 Lite</t>
  </si>
  <si>
    <t>Lente Xiaomi Mi 10T Lite</t>
  </si>
  <si>
    <t>Lente Xiaomi Mi 10T</t>
  </si>
  <si>
    <t>Lente Xiaomi Mi 10T Pro</t>
  </si>
  <si>
    <t>Lente Xiaomi Mi 8 Lite</t>
  </si>
  <si>
    <t>Lente Xiaomi Mi A1</t>
  </si>
  <si>
    <t>Lente Xiaomi Note 8 Pro</t>
  </si>
  <si>
    <t>Lente Xiaomi Poco M3 Pro</t>
  </si>
  <si>
    <t>Lente Xiaomi Poco X3</t>
  </si>
  <si>
    <t>Lente Xiaomi Poco X3 Pro</t>
  </si>
  <si>
    <t>Lente Xiaomi Redmi 10C</t>
  </si>
  <si>
    <t>Lente Xiaomi Redmi 9</t>
  </si>
  <si>
    <t>Lente Xiaomi Redmi 9A</t>
  </si>
  <si>
    <t>Lente Xiaomi Redmi 10A</t>
  </si>
  <si>
    <t>Lente Xiaomi Redmi 9C</t>
  </si>
  <si>
    <t>Lente Xiaomi Redmi 9i</t>
  </si>
  <si>
    <t>Lente Xiaomi Redmi 9T</t>
  </si>
  <si>
    <t>Lente Xiaomi Redmi Note 10 4G</t>
  </si>
  <si>
    <t>Lente Xiaomi Redmi Note 10s 4G</t>
  </si>
  <si>
    <t>Lente Xiaomi Redmi Note 6 Pro</t>
  </si>
  <si>
    <t>Lente Xiaomi Redmi Note 7</t>
  </si>
  <si>
    <t>Lente Xiaomi Redmi Note 7 Pro</t>
  </si>
  <si>
    <t>Lente Xiaomi Redmi Note 8</t>
  </si>
  <si>
    <t>Lente Xiaomi Redmi Note 8T</t>
  </si>
  <si>
    <t>Lente Xiaomi Redmi Note 9</t>
  </si>
  <si>
    <t>Lente Xiaomi Redmi Note 9 Pro</t>
  </si>
  <si>
    <t>Lente Xiaomi Redmi Note 9s</t>
  </si>
  <si>
    <t>Lente Xiaomi Redmi Note 9 Pro Max</t>
  </si>
  <si>
    <t>Flex Main Moto G14 (SUB)</t>
  </si>
  <si>
    <t>Flex Main Moto G54 (SUB)</t>
  </si>
  <si>
    <t>Flex SUB G14</t>
  </si>
  <si>
    <t>Flex SUB Moto G14</t>
  </si>
  <si>
    <t>Flex LCD Moto G14 (SUB)</t>
  </si>
  <si>
    <t>Flex LCD G14 (SUB)</t>
  </si>
  <si>
    <t>Flex SUB Moto G54</t>
  </si>
  <si>
    <t>Flex SUB G54</t>
  </si>
  <si>
    <t>Flex LCD Moto G54 (SUB)</t>
  </si>
  <si>
    <t>Flex LCD G54 (SUB)</t>
  </si>
  <si>
    <t>Bateria iPhone 14 (Gold-890)</t>
  </si>
  <si>
    <t>Bateria iPhone 15 (Gold-850)</t>
  </si>
  <si>
    <t>Placa de Carga Moto G23</t>
  </si>
  <si>
    <t>Placa de Carga Moto G34</t>
  </si>
  <si>
    <t>Redmi Note 10 original com aro (4G)</t>
  </si>
  <si>
    <t>Redmi Note 10 original sem aro (4G)</t>
  </si>
  <si>
    <t>SAM A15 4G com aro incell</t>
  </si>
  <si>
    <t>SAM A15 4G com aro original</t>
  </si>
  <si>
    <t>SAM A15 4G com aro OLED</t>
  </si>
  <si>
    <t xml:space="preserve">SAM A15 4G OLED com aro </t>
  </si>
  <si>
    <t>SAM A15 4G com aro Nacional</t>
  </si>
  <si>
    <t>SAM A15 4G Nacional com aro</t>
  </si>
  <si>
    <t>SAM A15 4G sem aro original</t>
  </si>
  <si>
    <t>SAM A15 4G sem aro OLED</t>
  </si>
  <si>
    <t>SAM A15 4G OLED sem aro</t>
  </si>
  <si>
    <t>Placa Carga iPhone 11</t>
  </si>
  <si>
    <t>Placa Carga iPhone 11 Pro</t>
  </si>
  <si>
    <t>Placa Carga iPhone 11 Pro Max</t>
  </si>
  <si>
    <t>Placa Carga iPhone 12</t>
  </si>
  <si>
    <t>Placa Carga iPhone 12 Pro</t>
  </si>
  <si>
    <t>Placa Carga iPhone 12 Mini</t>
  </si>
  <si>
    <t>Placa Carga iPhone 13</t>
  </si>
  <si>
    <t>Placa Carga iPhone 13 Pro</t>
  </si>
  <si>
    <t>Placa Carga iPhone 13 Pro Max</t>
  </si>
  <si>
    <t>Placa Carga iPhone 14</t>
  </si>
  <si>
    <t>Placa Carga iPhone 14 Pro</t>
  </si>
  <si>
    <t>Placa Carga iPhone 14 Pro Max</t>
  </si>
  <si>
    <t>Placa Carga iPhone 15</t>
  </si>
  <si>
    <t>Placa Carga iPhone 15 Pro</t>
  </si>
  <si>
    <t>Placa Carga iPhone 15 Pro Max</t>
  </si>
  <si>
    <t>Placa Carga iPhone 6</t>
  </si>
  <si>
    <t>Placa Carga iPhone 6 Plus</t>
  </si>
  <si>
    <t>Placa Carga iPhone 6s</t>
  </si>
  <si>
    <t>Placa Carga iPhone 6s Plus</t>
  </si>
  <si>
    <t>Placa Carga iPhone 7</t>
  </si>
  <si>
    <t>Placa Carga iPhone 7 Plus</t>
  </si>
  <si>
    <t>Placa Carga iPhone 8</t>
  </si>
  <si>
    <t>Placa Carga iPhone 8 Plus</t>
  </si>
  <si>
    <t>Placa Carga iPhone X</t>
  </si>
  <si>
    <t>Placa Carga iPhone XR</t>
  </si>
  <si>
    <t>Placa Carga iPhone XS</t>
  </si>
  <si>
    <t>Placa Carga iPhone XS Max</t>
  </si>
  <si>
    <t>Placa Carga LG K22/K22 Plus</t>
  </si>
  <si>
    <t>Placa Carga LG K40s</t>
  </si>
  <si>
    <t>Placa Carga LG K41s</t>
  </si>
  <si>
    <t>Placa Carga LG K42</t>
  </si>
  <si>
    <t>Placa Carga LG K52</t>
  </si>
  <si>
    <t>Placa Carga LG K62</t>
  </si>
  <si>
    <t>Placa Carga LG K62 Plus</t>
  </si>
  <si>
    <t>Placa Carga LG K50s</t>
  </si>
  <si>
    <t>Placa Carga LG K51</t>
  </si>
  <si>
    <t>Placa Carga LG K51s</t>
  </si>
  <si>
    <t>Placa Carga LG K61</t>
  </si>
  <si>
    <t>Placa Carga LG K8 Plus</t>
  </si>
  <si>
    <t>Placa Carga Moto E13</t>
  </si>
  <si>
    <t>Placa Carga Moto E20</t>
  </si>
  <si>
    <t>Placa Carga Moto E22</t>
  </si>
  <si>
    <t>Placa Carga Moto E32</t>
  </si>
  <si>
    <t>Placa Carga Moto E4 Plus</t>
  </si>
  <si>
    <t>Placa Carga Moto E40</t>
  </si>
  <si>
    <t>Placa Carga Moto E30</t>
  </si>
  <si>
    <t>Placa Carga Moto E5 Play</t>
  </si>
  <si>
    <t>Placa Carga Moto E6 Play</t>
  </si>
  <si>
    <t>Placa Carga Moto E6 Plus</t>
  </si>
  <si>
    <t>Placa Carga Moto E6s</t>
  </si>
  <si>
    <t>Placa Carga Moto E6i</t>
  </si>
  <si>
    <t>Placa Carga Moto E7</t>
  </si>
  <si>
    <t>Placa Carga Moto E7 Plus</t>
  </si>
  <si>
    <t>Placa Carga Moto E7 Power</t>
  </si>
  <si>
    <t>Placa Carga Moto Edge 20</t>
  </si>
  <si>
    <t>Placa Carga Moto G04</t>
  </si>
  <si>
    <t>Placa Carga Moto G04s</t>
  </si>
  <si>
    <t>Placa Carga Moto G14</t>
  </si>
  <si>
    <t>Placa Carga Moto G200</t>
  </si>
  <si>
    <t>Placa Carga Moto G22</t>
  </si>
  <si>
    <t>Placa Carga Moto G23</t>
  </si>
  <si>
    <t>Placa Carga G23</t>
  </si>
  <si>
    <t>Placa Moto G23 (Placa Carga)</t>
  </si>
  <si>
    <t>Placa G23 (Placa Carga)</t>
  </si>
  <si>
    <t>Placa Carga Moto G24</t>
  </si>
  <si>
    <t>Placa Carga Moto G30</t>
  </si>
  <si>
    <t>Placa Carga Moto G31</t>
  </si>
  <si>
    <t>Placa Carga Moto G32</t>
  </si>
  <si>
    <t>Placa Carga Moto G34</t>
  </si>
  <si>
    <t>Placa Carga G34</t>
  </si>
  <si>
    <t>Placa Moto G34 (Placa Carga)</t>
  </si>
  <si>
    <t>Placa G34 (Placa Carga)</t>
  </si>
  <si>
    <t>Placa Carga Moto G41</t>
  </si>
  <si>
    <t>Placa Carga Moto G5</t>
  </si>
  <si>
    <t>Placa Carga Moto G50 4G</t>
  </si>
  <si>
    <t>Placa Carga Moto G50 5G</t>
  </si>
  <si>
    <t>Placa Carga Moto G51</t>
  </si>
  <si>
    <t>Placa Carga Moto G52</t>
  </si>
  <si>
    <t>Placa Carga Moto G54</t>
  </si>
  <si>
    <t>Placa Carga Moto G6 Play</t>
  </si>
  <si>
    <t>Placa Carga Moto E5</t>
  </si>
  <si>
    <t>Placa Carga Moto G60</t>
  </si>
  <si>
    <t>Placa Carga Moto G60s</t>
  </si>
  <si>
    <t>Placa Carga Moto G62</t>
  </si>
  <si>
    <t>Placa Carga Moto G7 Play</t>
  </si>
  <si>
    <t>Placa Carga Moto G7 Power</t>
  </si>
  <si>
    <t>Placa Carga Moto G71</t>
  </si>
  <si>
    <t>Placa Carga Moto G72</t>
  </si>
  <si>
    <t>Placa Carga Moto G8</t>
  </si>
  <si>
    <t>Placa Carga Moto G8 Play (F)</t>
  </si>
  <si>
    <t>Placa Carga Moto G8 Play (M)</t>
  </si>
  <si>
    <t>Placa Carga Moto One Macro</t>
  </si>
  <si>
    <t>Placa Carga Moto G8 Plus (F)</t>
  </si>
  <si>
    <t>Placa Carga Moto G8 Plus (M)</t>
  </si>
  <si>
    <t>Placa Carga Moto G8 Power</t>
  </si>
  <si>
    <t>Placa Carga Moto G8 Power Lite</t>
  </si>
  <si>
    <t>Placa Carga Moto G9 Play</t>
  </si>
  <si>
    <t>Placa Carga Moto G9 Plus</t>
  </si>
  <si>
    <t>Placa Carga Moto G9 Power</t>
  </si>
  <si>
    <t>Placa Carga Moto One</t>
  </si>
  <si>
    <t>Placa Carga Moto One Fusion</t>
  </si>
  <si>
    <t>Placa Carga Moto One Fusion Plus</t>
  </si>
  <si>
    <t>Placa Carga Moto One Hyper</t>
  </si>
  <si>
    <t>Placa Carga Moto One Power</t>
  </si>
  <si>
    <t>Placa Carga Moto One Vision</t>
  </si>
  <si>
    <t>Placa Carga Moto One Action</t>
  </si>
  <si>
    <t>Placa Carga Redmi 9A</t>
  </si>
  <si>
    <t>Placa Carga Redmi 9C</t>
  </si>
  <si>
    <t>Placa Carga Redmi 9i</t>
  </si>
  <si>
    <t>Placa Carga Xiaomi Poco C3</t>
  </si>
  <si>
    <t>Placa Carga Redmi 10A</t>
  </si>
  <si>
    <t>Placa Carga Xiaomi Redmi Note 10 4G</t>
  </si>
  <si>
    <t>Placa Carga Xiaomi Redmi Note 10s 4G</t>
  </si>
  <si>
    <t>Placa Carga Redmi Note 10 Pro</t>
  </si>
  <si>
    <t>Placa Carga Redmi Note 10 Pro Max</t>
  </si>
  <si>
    <t>Placa Carga Redmi Note 11 4G</t>
  </si>
  <si>
    <t>Placa Carga Redmi Note 11s 4G</t>
  </si>
  <si>
    <t>Placa Carga Xiaomi Poco M4</t>
  </si>
  <si>
    <t>Placa Carga Xiaomi Poco M4 Pro 4G</t>
  </si>
  <si>
    <t>Placa Carga Redmi Note 11 5G</t>
  </si>
  <si>
    <t>Placa Carga Redmi Note 11s 5G</t>
  </si>
  <si>
    <t>Placa Carga Xiaomi Poco M4 Pro 5G</t>
  </si>
  <si>
    <t>Placa Carga Redmi Note 12</t>
  </si>
  <si>
    <t>Placa Carga Redmi Note 6 Pro</t>
  </si>
  <si>
    <t>Placa Carga Redmi Note 9 Pro</t>
  </si>
  <si>
    <t>Placa Carga Redmi Note 9s</t>
  </si>
  <si>
    <t>Placa Carga Xiaomi Poco M3 Pro</t>
  </si>
  <si>
    <t>Placa Carga Xiaomi Redmi Note 10 5G</t>
  </si>
  <si>
    <t>Placa Carga Xiaomi Redmi Note 10T</t>
  </si>
  <si>
    <t>Placa Carga Xiaomi Redmi Note 11E</t>
  </si>
  <si>
    <t>Placa Carga Xiaomi Poco X3</t>
  </si>
  <si>
    <t>Placa Carga Xiaomi Poco X3 Pro</t>
  </si>
  <si>
    <t>Placa Carga Xiaom Poco X3 GT</t>
  </si>
  <si>
    <t>Placa Carga Xiaomi Poco X3 NFC</t>
  </si>
  <si>
    <t>Placa Carga Xiaomi Poco X4 Pro 4G</t>
  </si>
  <si>
    <t>Placa Carga Xiaomi Poco X4 Pro 5G</t>
  </si>
  <si>
    <t>Placa Carga Xiaomi Redmi Note 11 Pro 4G</t>
  </si>
  <si>
    <t>Placa Carga Xiaomi Redmi Note 11 Pro 5G</t>
  </si>
  <si>
    <t>Placa Carga Xiaomi Poco X6</t>
  </si>
  <si>
    <t>Placa Carga Xiaomi Redmi 10</t>
  </si>
  <si>
    <t>Placa Carga Xiaomi Redmi 10 Prime</t>
  </si>
  <si>
    <t>Placa Carga Xiaomi Redmi 12</t>
  </si>
  <si>
    <t>Placa Carga Xiaomi Redmi 12C</t>
  </si>
  <si>
    <t>Placa Carga Xiaomi Redmi 9</t>
  </si>
  <si>
    <t>Placa Carga Xiaomi Redmi A3</t>
  </si>
  <si>
    <t>Placa Carga Xiaomi Redmi Note 7</t>
  </si>
  <si>
    <t>Placa Carga Xiaomi Redmi Note 7 Pro</t>
  </si>
  <si>
    <t>Placa Carga Xiaomi Redmi Note 8</t>
  </si>
  <si>
    <t>Placa Carga Xiaomi Redmi Note 8 Pro</t>
  </si>
  <si>
    <t>Placa Carga Xiaomi Redmi Note 9</t>
  </si>
  <si>
    <t>Placa Carga Xiaomi Redmi S2</t>
  </si>
  <si>
    <t>Placa Carga SAM A01 Core</t>
  </si>
  <si>
    <t>Placa Carga SAM A02</t>
  </si>
  <si>
    <t>Placa Carga SAM A02s</t>
  </si>
  <si>
    <t>Placa Carga SAM A03</t>
  </si>
  <si>
    <t>Placa Carga SAM A03s</t>
  </si>
  <si>
    <t>Placa Carga SAM A03 Core</t>
  </si>
  <si>
    <t>Placa Carga SAM A04</t>
  </si>
  <si>
    <t>Placa Carga SAM A04e</t>
  </si>
  <si>
    <t>Placa Carga SAM A05</t>
  </si>
  <si>
    <t>Placa Carga SAM A10</t>
  </si>
  <si>
    <t>Placa Carga SAM M12</t>
  </si>
  <si>
    <t>Placa Carga SAM A10s (M12)</t>
  </si>
  <si>
    <t>Placa Carga SAM A10s (M15)</t>
  </si>
  <si>
    <t>Placa Carga SAM A10s versao M12</t>
  </si>
  <si>
    <t>Placa Carga SAM A10s versao M15</t>
  </si>
  <si>
    <t>Placa Carga SAM A10s (M16)</t>
  </si>
  <si>
    <t>Placa Carga SAM A10s versao M16</t>
  </si>
  <si>
    <t>Placa Carga SAM A11</t>
  </si>
  <si>
    <t>Placa Carga SAM A12</t>
  </si>
  <si>
    <t>Placa Carga SAM A13 4G</t>
  </si>
  <si>
    <t>Placa Carga SAM A13 5G</t>
  </si>
  <si>
    <t>Placa Carga SAM A14 4G</t>
  </si>
  <si>
    <t>Placa Carga SAM A14 5G (M12)</t>
  </si>
  <si>
    <t>Placa Carga SAM A14 5G versao M12</t>
  </si>
  <si>
    <t>Placa Carga SAM A14 5G (M14)</t>
  </si>
  <si>
    <t>Placa Carga SAM A14 5G versao M14</t>
  </si>
  <si>
    <t>Placa Carga SAM A15</t>
  </si>
  <si>
    <t>Placa Carga SAM A20</t>
  </si>
  <si>
    <t>Placa Carga SAM A20s (M12)</t>
  </si>
  <si>
    <t>Placa Carga SAM A20s versao M12</t>
  </si>
  <si>
    <t>Placa Carga SAM A20s (M14)</t>
  </si>
  <si>
    <t>Placa Carga SAM A20s versao M14</t>
  </si>
  <si>
    <t>Placa Carga SAM A20s (M15)</t>
  </si>
  <si>
    <t>Placa Carga SAM A20s versao M15</t>
  </si>
  <si>
    <t>Placa Carga SAM A21s</t>
  </si>
  <si>
    <t>Placa Carga SAM A22 4G</t>
  </si>
  <si>
    <t>Placa Carga SAM A22 5G</t>
  </si>
  <si>
    <t>Placa Carga SAM A23 4G</t>
  </si>
  <si>
    <t>Placa Carga SAM A23 5G</t>
  </si>
  <si>
    <t>Placa Carga SAM A30</t>
  </si>
  <si>
    <t>Placa Carga SAM A30s</t>
  </si>
  <si>
    <t>Placa Carga SAM A31</t>
  </si>
  <si>
    <t>Placa Carga SAM A32 4G</t>
  </si>
  <si>
    <t>Placa Carga SAM A32 5G</t>
  </si>
  <si>
    <t>Placa Carga SAM A33</t>
  </si>
  <si>
    <t>Placa Carga SAM A50</t>
  </si>
  <si>
    <t>Placa Carga SAM A51</t>
  </si>
  <si>
    <t>Placa Carga SAM A52 4G</t>
  </si>
  <si>
    <t>Placa Carga SAM A52 5G</t>
  </si>
  <si>
    <t>Placa Carga SAM A52s</t>
  </si>
  <si>
    <t>Placa Carga SAM A53</t>
  </si>
  <si>
    <t>Placa Carga SAM A54</t>
  </si>
  <si>
    <t>Placa Carga SAM A70</t>
  </si>
  <si>
    <t>Placa Carga SAM A71</t>
  </si>
  <si>
    <t>Placa Carga SAM A72</t>
  </si>
  <si>
    <t>Placa Carga SAM A73</t>
  </si>
  <si>
    <t>Placa Carga SAM A80</t>
  </si>
  <si>
    <t>Placa Carga SAM A9 2018</t>
  </si>
  <si>
    <t>Placa Carga SAM A920</t>
  </si>
  <si>
    <t>Placa Carga SAM Galaxy S21 FE</t>
  </si>
  <si>
    <t>Placa Carga SAM M13</t>
  </si>
  <si>
    <t>Placa Carga SAM M20</t>
  </si>
  <si>
    <t>Placa Carga SAM M21s</t>
  </si>
  <si>
    <t>Placa Carga SAM M30</t>
  </si>
  <si>
    <t>Placa Carga SAM M30s</t>
  </si>
  <si>
    <t>Placa Carga SAM M31</t>
  </si>
  <si>
    <t>Placa Carga SAM M33</t>
  </si>
  <si>
    <t>Placa Carga SAM M23</t>
  </si>
  <si>
    <t>Placa Carga SAM M51</t>
  </si>
  <si>
    <t>Placa Carga SAM M62</t>
  </si>
  <si>
    <t>Placa Carga SAM M53</t>
  </si>
  <si>
    <t>Placa Carga SAM S10</t>
  </si>
  <si>
    <t>Placa Carga SAM S10 Lite</t>
  </si>
  <si>
    <t>Placa Carga SAM S20 FE</t>
  </si>
  <si>
    <t>Placa 11 (Placa Carga)</t>
  </si>
  <si>
    <t>Placa 11 Pro (Placa Carga)</t>
  </si>
  <si>
    <t>Placa 11 Pro Max (Placa Carga)</t>
  </si>
  <si>
    <t>Placa 12 (Placa Carga)</t>
  </si>
  <si>
    <t>Placa 12 Pro (Placa Carga)</t>
  </si>
  <si>
    <t>Placa 12 Mini (Placa Carga)</t>
  </si>
  <si>
    <t>Placa 13 (Placa Carga)</t>
  </si>
  <si>
    <t>Placa 13 Pro (Placa Carga)</t>
  </si>
  <si>
    <t>Placa 13 Pro Max (Placa Carga)</t>
  </si>
  <si>
    <t>Placa 14 (Placa Carga)</t>
  </si>
  <si>
    <t>Placa 14 Pro (Placa Carga)</t>
  </si>
  <si>
    <t>Placa 14 Pro Max (Placa Carga)</t>
  </si>
  <si>
    <t>Placa 15 (Placa Carga)</t>
  </si>
  <si>
    <t>Placa 15 Pro (Placa Carga)</t>
  </si>
  <si>
    <t>Placa 15 Pro Max (Placa Carga)</t>
  </si>
  <si>
    <t>Placa 6 (Placa Carga)</t>
  </si>
  <si>
    <t>Placa 6 Plus (Placa Carga)</t>
  </si>
  <si>
    <t>Placa 6s (Placa Carga)</t>
  </si>
  <si>
    <t>Placa 6s Plus (Placa Carga)</t>
  </si>
  <si>
    <t>Placa 7 (Placa Carga)</t>
  </si>
  <si>
    <t>Placa 7 Plus (Placa Carga)</t>
  </si>
  <si>
    <t>Placa 8 (Placa Carga)</t>
  </si>
  <si>
    <t>Placa 8 Plus (Placa Carga)</t>
  </si>
  <si>
    <t>Placa X (Placa Carga)</t>
  </si>
  <si>
    <t>Placa XR (Placa Carga)</t>
  </si>
  <si>
    <t>Placa XS (Placa Carga)</t>
  </si>
  <si>
    <t>Placa XS Max (Placa Carga)</t>
  </si>
  <si>
    <t>Placa K22/K22 Plus (Placa Carga)</t>
  </si>
  <si>
    <t>Placa K40s (Placa Carga)</t>
  </si>
  <si>
    <t>Placa K41s (Placa Carga)</t>
  </si>
  <si>
    <t>Placa K42 (Placa Carga)</t>
  </si>
  <si>
    <t>Placa K52 (Placa Carga)</t>
  </si>
  <si>
    <t>Placa K62 (Placa Carga)</t>
  </si>
  <si>
    <t>Placa K62 Plus (Placa Carga)</t>
  </si>
  <si>
    <t>Placa K50s (Placa Carga)</t>
  </si>
  <si>
    <t>Placa K51 (Placa Carga)</t>
  </si>
  <si>
    <t>Placa K51s (Placa Carga)</t>
  </si>
  <si>
    <t>Placa K61 (Placa Carga)</t>
  </si>
  <si>
    <t>Placa K8 Plus (Placa Carga)</t>
  </si>
  <si>
    <t>Placa E13 (Placa Carga)</t>
  </si>
  <si>
    <t>Placa E20 (Placa Carga)</t>
  </si>
  <si>
    <t>Placa E22 (Placa Carga)</t>
  </si>
  <si>
    <t>Placa E32 (Placa Carga)</t>
  </si>
  <si>
    <t>Placa E4 Plus (Placa Carga)</t>
  </si>
  <si>
    <t>Placa E40 (Placa Carga)</t>
  </si>
  <si>
    <t>Placa E30 (Placa Carga)</t>
  </si>
  <si>
    <t>Placa E5 Play (Placa Carga)</t>
  </si>
  <si>
    <t>Placa E6 Play (Placa Carga)</t>
  </si>
  <si>
    <t>Placa E6 Plus (Placa Carga)</t>
  </si>
  <si>
    <t>Placa E6s (Placa Carga)</t>
  </si>
  <si>
    <t>Placa E6i (Placa Carga)</t>
  </si>
  <si>
    <t>Placa E7 (Placa Carga)</t>
  </si>
  <si>
    <t>Placa E7 Plus (Placa Carga)</t>
  </si>
  <si>
    <t>Placa E7 Power (Placa Carga)</t>
  </si>
  <si>
    <t>Placa Edge 20 (Placa Carga)</t>
  </si>
  <si>
    <t>Placa G04 (Placa Carga)</t>
  </si>
  <si>
    <t>Placa G04s (Placa Carga)</t>
  </si>
  <si>
    <t>Placa G10 (Placa Carga)</t>
  </si>
  <si>
    <t>Placa G20 (Placa Carga)</t>
  </si>
  <si>
    <t>Placa G14 (Placa Carga)</t>
  </si>
  <si>
    <t>Placa G200 (Placa Carga)</t>
  </si>
  <si>
    <t>Placa G22 (Placa Carga)</t>
  </si>
  <si>
    <t>Placa G24 (Placa Carga)</t>
  </si>
  <si>
    <t>Placa G30 (Placa Carga)</t>
  </si>
  <si>
    <t>Placa G31 (Placa Carga)</t>
  </si>
  <si>
    <t>Placa G32 (Placa Carga)</t>
  </si>
  <si>
    <t>Placa G41 (Placa Carga)</t>
  </si>
  <si>
    <t>Placa G5 (Placa Carga)</t>
  </si>
  <si>
    <t>Placa G50 4G (Placa Carga)</t>
  </si>
  <si>
    <t>Placa G50 5G (Placa Carga)</t>
  </si>
  <si>
    <t>Placa G51 (Placa Carga)</t>
  </si>
  <si>
    <t>Placa G52 (Placa Carga)</t>
  </si>
  <si>
    <t>Placa G54 (Placa Carga)</t>
  </si>
  <si>
    <t>Placa G6 Play (Placa Carga)</t>
  </si>
  <si>
    <t>Placa E5 (Placa Carga)</t>
  </si>
  <si>
    <t>Placa G60 (Placa Carga)</t>
  </si>
  <si>
    <t>Placa G60s (Placa Carga)</t>
  </si>
  <si>
    <t>Placa G62 (Placa Carga)</t>
  </si>
  <si>
    <t>Placa G7 Play (Placa Carga)</t>
  </si>
  <si>
    <t>Placa G7 Power (Placa Carga)</t>
  </si>
  <si>
    <t>Placa G71 (Placa Carga)</t>
  </si>
  <si>
    <t>Placa G72 (Placa Carga)</t>
  </si>
  <si>
    <t>Placa G8 (Placa Carga)</t>
  </si>
  <si>
    <t>Placa G8 Play (F) (Placa Carga)</t>
  </si>
  <si>
    <t>Placa G8 Play (M) (Placa Carga)</t>
  </si>
  <si>
    <t>Placa One Macro (Placa Carga)</t>
  </si>
  <si>
    <t>Placa G8 Plus (F) (Placa Carga)</t>
  </si>
  <si>
    <t>Placa G8 Plus (M) (Placa Carga)</t>
  </si>
  <si>
    <t>Placa G8 Power (Placa Carga)</t>
  </si>
  <si>
    <t>Placa G8 Power Lite (Placa Carga)</t>
  </si>
  <si>
    <t>Placa G9 Play (Placa Carga)</t>
  </si>
  <si>
    <t>Placa G9 Plus (Placa Carga)</t>
  </si>
  <si>
    <t>Placa G9 Power (Placa Carga)</t>
  </si>
  <si>
    <t>Placa One (Placa Carga)</t>
  </si>
  <si>
    <t>Placa One Fusion (Placa Carga)</t>
  </si>
  <si>
    <t>Placa One Fusion Plus (Placa Carga)</t>
  </si>
  <si>
    <t>Placa One Hyper (Placa Carga)</t>
  </si>
  <si>
    <t>Placa One Power (Placa Carga)</t>
  </si>
  <si>
    <t>Placa One Vision (Placa Carga)</t>
  </si>
  <si>
    <t>Placa One Action (Placa Carga)</t>
  </si>
  <si>
    <t>Placa Redmi 9A (Placa Carga)</t>
  </si>
  <si>
    <t>Placa Redmi 9C (Placa Carga)</t>
  </si>
  <si>
    <t>Placa Redmi 9i (Placa Carga)</t>
  </si>
  <si>
    <t>Placa Poco C3 (Placa Carga)</t>
  </si>
  <si>
    <t>Placa Redmi 10A (Placa Carga)</t>
  </si>
  <si>
    <t>Placa Redmi Note 10 4G (Placa Carga)</t>
  </si>
  <si>
    <t>Placa Redmi Note 10s 4G (Placa Carga)</t>
  </si>
  <si>
    <t>Placa Redmi Note 10 Pro (Placa Carga)</t>
  </si>
  <si>
    <t>Placa Redmi Note 10 Pro Max (Placa Carga)</t>
  </si>
  <si>
    <t>Placa Redmi Note 11 4G (Placa Carga)</t>
  </si>
  <si>
    <t>Placa Redmi Note 11s 4G (Placa Carga)</t>
  </si>
  <si>
    <t>Placa Poco M4 (Placa Carga)</t>
  </si>
  <si>
    <t>Placa Poco M4 Pro 4G (Placa Carga)</t>
  </si>
  <si>
    <t>Placa Redmi Note 11 5G (Placa Carga)</t>
  </si>
  <si>
    <t>Placa Redmi Note 11s 5G (Placa Carga)</t>
  </si>
  <si>
    <t>Placa Poco M4 Pro 5G (Placa Carga)</t>
  </si>
  <si>
    <t>Placa Redmi Note 12 (Placa Carga)</t>
  </si>
  <si>
    <t>Placa Redmi Note 6 Pro (Placa Carga)</t>
  </si>
  <si>
    <t>Placa Redmi Note 9 Pro (Placa Carga)</t>
  </si>
  <si>
    <t>Placa Redmi Note 9s (Placa Carga)</t>
  </si>
  <si>
    <t>Placa Poco M3 Pro (Placa Carga)</t>
  </si>
  <si>
    <t>Placa Redmi Note 10 5G (Placa Carga)</t>
  </si>
  <si>
    <t>Placa Redmi Note 10T (Placa Carga)</t>
  </si>
  <si>
    <t>Placa Poco X3 (Placa Carga)</t>
  </si>
  <si>
    <t>Placa Poco X3 Pro (Placa Carga)</t>
  </si>
  <si>
    <t>Placa Xiaom Poco X3 GT (Placa Carga)</t>
  </si>
  <si>
    <t>Placa Poco X3 NFC (Placa Carga)</t>
  </si>
  <si>
    <t>Placa Poco X4 Pro 4G (Placa Carga)</t>
  </si>
  <si>
    <t>Placa Poco X4 Pro 5G (Placa Carga)</t>
  </si>
  <si>
    <t>Placa Redmi Note 11 Pro 4G (Placa Carga)</t>
  </si>
  <si>
    <t>Placa Redmi Note 11 Pro 5G (Placa Carga)</t>
  </si>
  <si>
    <t>Placa Poco X6 (Placa Carga)</t>
  </si>
  <si>
    <t>Placa Redmi 10 (Placa Carga)</t>
  </si>
  <si>
    <t>Placa Redmi 10 Prime (Placa Carga)</t>
  </si>
  <si>
    <t>Placa Redmi 12 (Placa Carga)</t>
  </si>
  <si>
    <t>Placa Redmi 12C (Placa Carga)</t>
  </si>
  <si>
    <t>Placa Redmi 13C (Placa Carga)</t>
  </si>
  <si>
    <t>Placa Redmi 9 (Placa Carga)</t>
  </si>
  <si>
    <t>Placa Redmi A3 (Placa Carga)</t>
  </si>
  <si>
    <t>Placa Redmi Note 7 (Placa Carga)</t>
  </si>
  <si>
    <t>Placa Redmi Note 7 Pro (Placa Carga)</t>
  </si>
  <si>
    <t>Placa Redmi Note 8 (Placa Carga)</t>
  </si>
  <si>
    <t>Placa Redmi Note 8 Pro (Placa Carga)</t>
  </si>
  <si>
    <t>Placa Redmi Note 9 (Placa Carga)</t>
  </si>
  <si>
    <t>Placa Redmi S2 (Placa Carga)</t>
  </si>
  <si>
    <t>Placa A01 (Placa Carga)</t>
  </si>
  <si>
    <t>Placa A01 Core (Placa Carga)</t>
  </si>
  <si>
    <t>Placa A02 (Placa Carga)</t>
  </si>
  <si>
    <t>Placa A02s (Placa Carga)</t>
  </si>
  <si>
    <t>Placa A03 (Placa Carga)</t>
  </si>
  <si>
    <t>Placa A03s (Placa Carga)</t>
  </si>
  <si>
    <t>Placa A03 Core (Placa Carga)</t>
  </si>
  <si>
    <t>Placa A04 (Placa Carga)</t>
  </si>
  <si>
    <t>Placa A04e (Placa Carga)</t>
  </si>
  <si>
    <t>Placa A05 (Placa Carga)</t>
  </si>
  <si>
    <t>Placa A10 (Placa Carga)</t>
  </si>
  <si>
    <t>Placa M12 (Placa Carga)</t>
  </si>
  <si>
    <t>Placa A10s (M12) (Placa Carga)</t>
  </si>
  <si>
    <t>Placa A10s (M15) (Placa Carga)</t>
  </si>
  <si>
    <t>Placa A10s versao M12 (Placa Carga)</t>
  </si>
  <si>
    <t>Placa A10s versao M15 (Placa Carga)</t>
  </si>
  <si>
    <t>Placa A10s (M16) (Placa Carga)</t>
  </si>
  <si>
    <t>Placa A10s versao M16 (Placa Carga)</t>
  </si>
  <si>
    <t>Placa A11 (Placa Carga)</t>
  </si>
  <si>
    <t>Placa A12 (Placa Carga)</t>
  </si>
  <si>
    <t>Placa A13 4G (Placa Carga)</t>
  </si>
  <si>
    <t>Placa A13 5G (Placa Carga)</t>
  </si>
  <si>
    <t>Placa A14 4G (Placa Carga)</t>
  </si>
  <si>
    <t>Placa A14 5G (M12) (Placa Carga)</t>
  </si>
  <si>
    <t>Placa A14 5G versao M12 (Placa Carga)</t>
  </si>
  <si>
    <t>Placa A14 5G (M14) (Placa Carga)</t>
  </si>
  <si>
    <t>Placa A14 5G versao M14 (Placa Carga)</t>
  </si>
  <si>
    <t>Placa A15 (Placa Carga)</t>
  </si>
  <si>
    <t>Placa A20 (Placa Carga)</t>
  </si>
  <si>
    <t>Placa A20s (M12) (Placa Carga)</t>
  </si>
  <si>
    <t>Placa A20s versao M12 (Placa Carga)</t>
  </si>
  <si>
    <t>Placa A20s (M14) (Placa Carga)</t>
  </si>
  <si>
    <t>Placa A20s versao M14 (Placa Carga)</t>
  </si>
  <si>
    <t>Placa A20s (M15) (Placa Carga)</t>
  </si>
  <si>
    <t>Placa A20s versao M15 (Placa Carga)</t>
  </si>
  <si>
    <t>Placa A21s (Placa Carga)</t>
  </si>
  <si>
    <t>Placa A22 4G (Placa Carga)</t>
  </si>
  <si>
    <t>Placa A22 5G (Placa Carga)</t>
  </si>
  <si>
    <t>Placa A23 4G (Placa Carga)</t>
  </si>
  <si>
    <t>Placa A23 5G (Placa Carga)</t>
  </si>
  <si>
    <t>Placa A30 (Placa Carga)</t>
  </si>
  <si>
    <t>Placa A30s (Placa Carga)</t>
  </si>
  <si>
    <t>Placa A31 (Placa Carga)</t>
  </si>
  <si>
    <t>Placa A32 4G (Placa Carga)</t>
  </si>
  <si>
    <t>Placa A32 5G (Placa Carga)</t>
  </si>
  <si>
    <t>Placa A33 (Placa Carga)</t>
  </si>
  <si>
    <t>Placa A50 (Placa Carga)</t>
  </si>
  <si>
    <t>Placa A51 (Placa Carga)</t>
  </si>
  <si>
    <t>Placa A52 4G (Placa Carga)</t>
  </si>
  <si>
    <t>Placa A52 5G (Placa Carga)</t>
  </si>
  <si>
    <t>Placa A52s (Placa Carga)</t>
  </si>
  <si>
    <t>Placa A53 (Placa Carga)</t>
  </si>
  <si>
    <t>Placa A54 (Placa Carga)</t>
  </si>
  <si>
    <t>Placa A70 (Placa Carga)</t>
  </si>
  <si>
    <t>Placa A71 (Placa Carga)</t>
  </si>
  <si>
    <t>Placa A72 (Placa Carga)</t>
  </si>
  <si>
    <t>Placa A73 (Placa Carga)</t>
  </si>
  <si>
    <t>Placa A80 (Placa Carga)</t>
  </si>
  <si>
    <t>Placa A9 2018 (Placa Carga)</t>
  </si>
  <si>
    <t>Placa A920 (Placa Carga)</t>
  </si>
  <si>
    <t>Placa Galaxy S21 FE (Placa Carga)</t>
  </si>
  <si>
    <t>Placa M13 (Placa Carga)</t>
  </si>
  <si>
    <t>Placa M20 (Placa Carga)</t>
  </si>
  <si>
    <t>Placa M21s (Placa Carga)</t>
  </si>
  <si>
    <t>Placa M30 (Placa Carga)</t>
  </si>
  <si>
    <t>Placa M30s (Placa Carga)</t>
  </si>
  <si>
    <t>Placa M31 (Placa Carga)</t>
  </si>
  <si>
    <t>Placa M33 (Placa Carga)</t>
  </si>
  <si>
    <t>Placa M23 (Placa Carga)</t>
  </si>
  <si>
    <t>Placa M51 (Placa Carga)</t>
  </si>
  <si>
    <t>Placa M62 (Placa Carga)</t>
  </si>
  <si>
    <t>Placa M53 (Placa Carga)</t>
  </si>
  <si>
    <t>Placa S10 (Placa Carga)</t>
  </si>
  <si>
    <t>Placa S10 Lite (Placa Carga)</t>
  </si>
  <si>
    <t>Placa S20 FE (Placa Carga)</t>
  </si>
  <si>
    <t>Placa Carga 11</t>
  </si>
  <si>
    <t>Placa Carga 11 Pro</t>
  </si>
  <si>
    <t>Placa Carga 11 Pro Max</t>
  </si>
  <si>
    <t>Placa Carga 12</t>
  </si>
  <si>
    <t>Placa Carga 12 Pro</t>
  </si>
  <si>
    <t>Placa Carga 12 Mini</t>
  </si>
  <si>
    <t>Placa Carga 13</t>
  </si>
  <si>
    <t>Placa Carga 13 Pro</t>
  </si>
  <si>
    <t>Placa Carga 13 Pro Max</t>
  </si>
  <si>
    <t>Placa Carga 14</t>
  </si>
  <si>
    <t>Placa Carga 14 Pro</t>
  </si>
  <si>
    <t>Placa Carga 14 Pro Max</t>
  </si>
  <si>
    <t>Placa Carga 15</t>
  </si>
  <si>
    <t>Placa Carga 15 Pro</t>
  </si>
  <si>
    <t>Placa Carga 15 Pro Max</t>
  </si>
  <si>
    <t>Placa Carga 6</t>
  </si>
  <si>
    <t>Placa Carga 6 Plus</t>
  </si>
  <si>
    <t>Placa Carga 6s</t>
  </si>
  <si>
    <t>Placa Carga 6s Plus</t>
  </si>
  <si>
    <t>Placa Carga 7</t>
  </si>
  <si>
    <t>Placa Carga 7 Plus</t>
  </si>
  <si>
    <t>Placa Carga 8</t>
  </si>
  <si>
    <t>Placa Carga 8 Plus</t>
  </si>
  <si>
    <t>Placa Carga X</t>
  </si>
  <si>
    <t>Placa Carga XR</t>
  </si>
  <si>
    <t>Placa Carga XS</t>
  </si>
  <si>
    <t>Placa Carga XS Max</t>
  </si>
  <si>
    <t>Placa Carga K22/K22 Plus</t>
  </si>
  <si>
    <t>Placa Carga K40s</t>
  </si>
  <si>
    <t>Placa Carga K41s</t>
  </si>
  <si>
    <t>Placa Carga K42</t>
  </si>
  <si>
    <t>Placa Carga K52</t>
  </si>
  <si>
    <t>Placa Carga K62</t>
  </si>
  <si>
    <t>Placa Carga K62 Plus</t>
  </si>
  <si>
    <t>Placa Carga K50s</t>
  </si>
  <si>
    <t>Placa Carga K51</t>
  </si>
  <si>
    <t>Placa Carga K51s</t>
  </si>
  <si>
    <t>Placa Carga K61</t>
  </si>
  <si>
    <t>Placa Carga K8 Plus</t>
  </si>
  <si>
    <t>Placa Carga E13</t>
  </si>
  <si>
    <t>Placa Carga E20</t>
  </si>
  <si>
    <t>Placa Carga E22</t>
  </si>
  <si>
    <t>Placa Carga E32</t>
  </si>
  <si>
    <t>Placa Carga E4 Plus</t>
  </si>
  <si>
    <t>Placa Carga E40</t>
  </si>
  <si>
    <t>Placa Carga E30</t>
  </si>
  <si>
    <t>Placa Carga E5 Play</t>
  </si>
  <si>
    <t>Placa Carga E6 Play</t>
  </si>
  <si>
    <t>Placa Carga E6 Plus</t>
  </si>
  <si>
    <t>Placa Carga E6s</t>
  </si>
  <si>
    <t>Placa Carga E6i</t>
  </si>
  <si>
    <t>Placa Carga E7</t>
  </si>
  <si>
    <t>Placa Carga E7 Plus</t>
  </si>
  <si>
    <t>Placa Carga E7 Power</t>
  </si>
  <si>
    <t>Placa Carga Edge 20</t>
  </si>
  <si>
    <t>Placa Carga G04</t>
  </si>
  <si>
    <t>Placa Carga G04s</t>
  </si>
  <si>
    <t>Placa Carga G10</t>
  </si>
  <si>
    <t>Placa Carga G20</t>
  </si>
  <si>
    <t>Placa Carga G14</t>
  </si>
  <si>
    <t>Placa Carga G200</t>
  </si>
  <si>
    <t>Placa Carga G22</t>
  </si>
  <si>
    <t>Placa Carga G24</t>
  </si>
  <si>
    <t>Placa Carga G30</t>
  </si>
  <si>
    <t>Placa Carga G31</t>
  </si>
  <si>
    <t>Placa Carga G32</t>
  </si>
  <si>
    <t>Placa Carga G41</t>
  </si>
  <si>
    <t>Placa Carga G5</t>
  </si>
  <si>
    <t>Placa Carga G50 4G</t>
  </si>
  <si>
    <t>Placa Carga G50 5G</t>
  </si>
  <si>
    <t>Placa Carga G51</t>
  </si>
  <si>
    <t>Placa Carga G52</t>
  </si>
  <si>
    <t>Placa Carga G54</t>
  </si>
  <si>
    <t>Placa Carga G6 Play</t>
  </si>
  <si>
    <t>Placa Carga E5</t>
  </si>
  <si>
    <t>Placa Carga G60</t>
  </si>
  <si>
    <t>Placa Carga G60s</t>
  </si>
  <si>
    <t>Placa Carga G62</t>
  </si>
  <si>
    <t>Placa Carga G7 Play</t>
  </si>
  <si>
    <t>Placa Carga G7 Power</t>
  </si>
  <si>
    <t>Placa Carga G71</t>
  </si>
  <si>
    <t>Placa Carga G72</t>
  </si>
  <si>
    <t>Placa Carga G8</t>
  </si>
  <si>
    <t>Placa Carga G8 Play (F)</t>
  </si>
  <si>
    <t>Placa Carga G8 Play (M)</t>
  </si>
  <si>
    <t>Placa Carga One Macro</t>
  </si>
  <si>
    <t>Placa Carga G8 Plus (F)</t>
  </si>
  <si>
    <t>Placa Carga G8 Plus (M)</t>
  </si>
  <si>
    <t>Placa Carga G8 Power</t>
  </si>
  <si>
    <t>Placa Carga G8 Power Lite</t>
  </si>
  <si>
    <t>Placa Carga G9 Play</t>
  </si>
  <si>
    <t>Placa Carga G9 Plus</t>
  </si>
  <si>
    <t>Placa Carga G9 Power</t>
  </si>
  <si>
    <t>Placa Carga One</t>
  </si>
  <si>
    <t>Placa Carga One Fusion</t>
  </si>
  <si>
    <t>Placa Carga One Fusion Plus</t>
  </si>
  <si>
    <t>Placa Carga One Hyper</t>
  </si>
  <si>
    <t>Placa Carga One Power</t>
  </si>
  <si>
    <t>Placa Carga One Vision</t>
  </si>
  <si>
    <t>Placa Carga One Action</t>
  </si>
  <si>
    <t>Placa Carga Poco C3</t>
  </si>
  <si>
    <t>Placa Carga Redmi Note 10 4G</t>
  </si>
  <si>
    <t>Placa Carga Redmi Note 10s 4G</t>
  </si>
  <si>
    <t>Placa Carga Poco M4</t>
  </si>
  <si>
    <t>Placa Carga Poco M4 Pro 4G</t>
  </si>
  <si>
    <t>Placa Carga Poco M4 Pro 5G</t>
  </si>
  <si>
    <t>Placa Carga Poco M3 Pro</t>
  </si>
  <si>
    <t>Placa Carga Redmi Note 10 5G</t>
  </si>
  <si>
    <t>Placa Carga Redmi Note 10T</t>
  </si>
  <si>
    <t>Placa Carga Redmi Note 11E</t>
  </si>
  <si>
    <t>Placa Carga Poco X3</t>
  </si>
  <si>
    <t>Placa Carga Poco X3 Pro</t>
  </si>
  <si>
    <t>Placa Carga Poco X3 GT</t>
  </si>
  <si>
    <t>Placa Carga Poco X3 NFC</t>
  </si>
  <si>
    <t>Placa Carga Poco X4 Pro 4G</t>
  </si>
  <si>
    <t>Placa Carga Poco X4 Pro 5G</t>
  </si>
  <si>
    <t>Placa Carga Redmi Note 11 Pro 4G</t>
  </si>
  <si>
    <t>Placa Carga Redmi Note 11 Pro 5G</t>
  </si>
  <si>
    <t>Placa Carga Poco X6</t>
  </si>
  <si>
    <t>Placa Carga Redmi 10</t>
  </si>
  <si>
    <t>Placa Carga Redmi 10 Prime</t>
  </si>
  <si>
    <t>Placa Carga Redmi 12</t>
  </si>
  <si>
    <t>Placa Carga Redmi 12C</t>
  </si>
  <si>
    <t>Placa Carga Redmi 13C</t>
  </si>
  <si>
    <t>Placa Carga Redmi 9</t>
  </si>
  <si>
    <t>Placa Carga Redmi A3</t>
  </si>
  <si>
    <t>Placa Carga Redmi Note 7</t>
  </si>
  <si>
    <t>Placa Carga Redmi Note 7 Pro</t>
  </si>
  <si>
    <t>Placa Carga Redmi Note 8</t>
  </si>
  <si>
    <t>Placa Carga Redmi Note 8 Pro</t>
  </si>
  <si>
    <t>Placa Carga Redmi Note 9</t>
  </si>
  <si>
    <t>Placa Carga Redmi S2</t>
  </si>
  <si>
    <t>Placa Carga A01</t>
  </si>
  <si>
    <t>Placa Carga A01 Core</t>
  </si>
  <si>
    <t>Placa Carga A02</t>
  </si>
  <si>
    <t>Placa Carga A02s</t>
  </si>
  <si>
    <t>Placa Carga A03</t>
  </si>
  <si>
    <t>Placa Carga A03s</t>
  </si>
  <si>
    <t>Placa Carga A03 Core</t>
  </si>
  <si>
    <t>Placa Carga A04</t>
  </si>
  <si>
    <t>Placa Carga A04e</t>
  </si>
  <si>
    <t>Placa Carga A05</t>
  </si>
  <si>
    <t>Placa Carga A10</t>
  </si>
  <si>
    <t>Placa Carga M12</t>
  </si>
  <si>
    <t>Placa Carga A10s (M12)</t>
  </si>
  <si>
    <t>Placa Carga A10s (M15)</t>
  </si>
  <si>
    <t>Placa Carga A10s versao M12</t>
  </si>
  <si>
    <t>Placa Carga A10s versao M15</t>
  </si>
  <si>
    <t>Placa Carga A10s (M16)</t>
  </si>
  <si>
    <t>Placa Carga A10s versao M16</t>
  </si>
  <si>
    <t>Placa Carga A11</t>
  </si>
  <si>
    <t>Placa Carga A12</t>
  </si>
  <si>
    <t>Placa Carga A13 4G</t>
  </si>
  <si>
    <t>Placa Carga A13 5G</t>
  </si>
  <si>
    <t>Placa Carga A14 4G</t>
  </si>
  <si>
    <t>Placa Carga A14 5G (M12)</t>
  </si>
  <si>
    <t>Placa Carga A14 5G versao M12</t>
  </si>
  <si>
    <t>Placa Carga A14 5G (M14)</t>
  </si>
  <si>
    <t>Placa Carga A14 5G versao M14</t>
  </si>
  <si>
    <t>Placa Carga A15</t>
  </si>
  <si>
    <t>Placa Carga A20</t>
  </si>
  <si>
    <t>Placa Carga A20s (M12)</t>
  </si>
  <si>
    <t>Placa Carga A20s versao M12</t>
  </si>
  <si>
    <t>Placa Carga A20s (M14)</t>
  </si>
  <si>
    <t>Placa Carga A20s versao M14</t>
  </si>
  <si>
    <t>Placa Carga A20s (M15)</t>
  </si>
  <si>
    <t>Placa Carga A20s versao M15</t>
  </si>
  <si>
    <t>Placa Carga A21s</t>
  </si>
  <si>
    <t>Placa Carga A22 4G</t>
  </si>
  <si>
    <t>Placa Carga A22 5G</t>
  </si>
  <si>
    <t>Placa Carga A23 4G</t>
  </si>
  <si>
    <t>Placa Carga A23 5G</t>
  </si>
  <si>
    <t>Placa Carga A30</t>
  </si>
  <si>
    <t>Placa Carga A30s</t>
  </si>
  <si>
    <t>Placa Carga A31</t>
  </si>
  <si>
    <t>Placa Carga A32 4G</t>
  </si>
  <si>
    <t>Placa Carga A32 5G</t>
  </si>
  <si>
    <t>Placa Carga A33</t>
  </si>
  <si>
    <t>Placa Carga A50</t>
  </si>
  <si>
    <t>Placa Carga A51</t>
  </si>
  <si>
    <t>Placa Carga A52 4G</t>
  </si>
  <si>
    <t>Placa Carga A52 5G</t>
  </si>
  <si>
    <t>Placa Carga A52s</t>
  </si>
  <si>
    <t>Placa Carga A53</t>
  </si>
  <si>
    <t>Placa Carga A54</t>
  </si>
  <si>
    <t>Placa Carga A70</t>
  </si>
  <si>
    <t>Placa Carga A71</t>
  </si>
  <si>
    <t>Placa Carga A72</t>
  </si>
  <si>
    <t>Placa Carga A73</t>
  </si>
  <si>
    <t>Placa Carga A80</t>
  </si>
  <si>
    <t>Placa Carga A9 2018</t>
  </si>
  <si>
    <t>Placa Carga A920</t>
  </si>
  <si>
    <t>Placa Carga Galaxy S21 FE</t>
  </si>
  <si>
    <t>Placa Carga M13</t>
  </si>
  <si>
    <t>Placa Carga M20</t>
  </si>
  <si>
    <t>Placa Carga M21s</t>
  </si>
  <si>
    <t>Placa Carga M30</t>
  </si>
  <si>
    <t>Placa Carga M30s</t>
  </si>
  <si>
    <t>Placa Carga M31</t>
  </si>
  <si>
    <t>Placa Carga M33</t>
  </si>
  <si>
    <t>Placa Carga M23</t>
  </si>
  <si>
    <t>Placa Carga M51</t>
  </si>
  <si>
    <t>Placa Carga M62</t>
  </si>
  <si>
    <t>Placa Carga M53</t>
  </si>
  <si>
    <t>Placa Carga S10</t>
  </si>
  <si>
    <t>Placa Carga S10 Lite</t>
  </si>
  <si>
    <t>Placa Carga S20 FE</t>
  </si>
  <si>
    <t>Dock Carga 11</t>
  </si>
  <si>
    <t>Dock Carga 11 Pro</t>
  </si>
  <si>
    <t>Dock Carga 11 Pro Max</t>
  </si>
  <si>
    <t>Dock Carga 12</t>
  </si>
  <si>
    <t>Dock Carga 12 Pro</t>
  </si>
  <si>
    <t>Dock Carga 12 Mini</t>
  </si>
  <si>
    <t>Dock Carga 13</t>
  </si>
  <si>
    <t>Dock Carga 13 Pro</t>
  </si>
  <si>
    <t>Dock Carga 13 Pro Max</t>
  </si>
  <si>
    <t>Dock Carga 14</t>
  </si>
  <si>
    <t>Dock Carga 14 Pro</t>
  </si>
  <si>
    <t>Dock Carga 14 Pro Max</t>
  </si>
  <si>
    <t>Dock Carga 15</t>
  </si>
  <si>
    <t>Dock Carga 15 Pro</t>
  </si>
  <si>
    <t>Dock Carga 15 Pro Max</t>
  </si>
  <si>
    <t>Dock Carga 6</t>
  </si>
  <si>
    <t>Dock Carga 6 Plus</t>
  </si>
  <si>
    <t>Dock Carga 6s</t>
  </si>
  <si>
    <t>Dock Carga 6s Plus</t>
  </si>
  <si>
    <t>Dock Carga 7</t>
  </si>
  <si>
    <t>Dock Carga 7 Plus</t>
  </si>
  <si>
    <t>Dock Carga 8</t>
  </si>
  <si>
    <t>Dock Carga 8 Plus</t>
  </si>
  <si>
    <t>Dock Carga X</t>
  </si>
  <si>
    <t>Dock Carga XR</t>
  </si>
  <si>
    <t>Dock Carga XS</t>
  </si>
  <si>
    <t>Dock Carga XS Max</t>
  </si>
  <si>
    <t>Dock Carga K22/K22 Plus</t>
  </si>
  <si>
    <t>Dock Carga K40s</t>
  </si>
  <si>
    <t>Dock Carga K41s</t>
  </si>
  <si>
    <t>Dock Carga K42</t>
  </si>
  <si>
    <t>Dock Carga K52</t>
  </si>
  <si>
    <t>Dock Carga K62</t>
  </si>
  <si>
    <t>Dock Carga K62 Plus</t>
  </si>
  <si>
    <t>Dock Carga K50s</t>
  </si>
  <si>
    <t>Dock Carga K51</t>
  </si>
  <si>
    <t>Dock Carga K51s</t>
  </si>
  <si>
    <t>Dock Carga K61</t>
  </si>
  <si>
    <t>Dock Carga K8 Plus</t>
  </si>
  <si>
    <t>Dock Carga E13</t>
  </si>
  <si>
    <t>Dock Carga E20</t>
  </si>
  <si>
    <t>Dock Carga E22</t>
  </si>
  <si>
    <t>Dock Carga E32</t>
  </si>
  <si>
    <t>Dock Carga E4 Plus</t>
  </si>
  <si>
    <t>Dock Carga E40</t>
  </si>
  <si>
    <t>Dock Carga E30</t>
  </si>
  <si>
    <t>Dock Carga E5 Play</t>
  </si>
  <si>
    <t>Dock Carga E6 Play</t>
  </si>
  <si>
    <t>Dock Carga E6 Plus</t>
  </si>
  <si>
    <t>Dock Carga E6s</t>
  </si>
  <si>
    <t>Dock Carga E6i</t>
  </si>
  <si>
    <t>Dock Carga E7</t>
  </si>
  <si>
    <t>Dock Carga E7 Plus</t>
  </si>
  <si>
    <t>Dock Carga E7 Power</t>
  </si>
  <si>
    <t>Dock Carga Edge 20</t>
  </si>
  <si>
    <t>Dock Carga G04</t>
  </si>
  <si>
    <t>Dock Carga G04s</t>
  </si>
  <si>
    <t>Dock Carga G10/G20</t>
  </si>
  <si>
    <t>Dock Carga G14</t>
  </si>
  <si>
    <t>Dock Carga G200</t>
  </si>
  <si>
    <t>Dock Carga G22</t>
  </si>
  <si>
    <t>Dock Carga G24</t>
  </si>
  <si>
    <t>Dock Carga G30</t>
  </si>
  <si>
    <t>Dock Carga G31</t>
  </si>
  <si>
    <t>Dock Carga G32</t>
  </si>
  <si>
    <t>Dock Carga G41</t>
  </si>
  <si>
    <t>Dock Carga G5</t>
  </si>
  <si>
    <t>Dock Carga G50 4G</t>
  </si>
  <si>
    <t>Dock Carga G50 5G</t>
  </si>
  <si>
    <t>Dock Carga G51</t>
  </si>
  <si>
    <t>Dock Carga G52</t>
  </si>
  <si>
    <t>Dock Carga G54</t>
  </si>
  <si>
    <t>Dock Carga G6 Play</t>
  </si>
  <si>
    <t>Dock Carga E5</t>
  </si>
  <si>
    <t>Dock Carga G60</t>
  </si>
  <si>
    <t>Dock Carga G60s</t>
  </si>
  <si>
    <t>Dock Carga G62</t>
  </si>
  <si>
    <t>Dock Carga G7 Play</t>
  </si>
  <si>
    <t>Dock Carga G7 Power</t>
  </si>
  <si>
    <t>Dock Carga G71</t>
  </si>
  <si>
    <t>Dock Carga G72</t>
  </si>
  <si>
    <t>Dock Carga G8</t>
  </si>
  <si>
    <t>Dock Carga G8 Play (F)</t>
  </si>
  <si>
    <t>Dock Carga G8 Play (M)</t>
  </si>
  <si>
    <t>Dock Carga One Macro</t>
  </si>
  <si>
    <t>Dock Carga G8 Plus (F)</t>
  </si>
  <si>
    <t>Dock Carga G8 Plus (M)</t>
  </si>
  <si>
    <t>Dock Carga G8 Power</t>
  </si>
  <si>
    <t>Dock Carga G8 Power Lite</t>
  </si>
  <si>
    <t>Dock Carga G9 Play</t>
  </si>
  <si>
    <t>Dock Carga G9 Plus</t>
  </si>
  <si>
    <t>Dock Carga G9 Power</t>
  </si>
  <si>
    <t>Dock Carga One</t>
  </si>
  <si>
    <t>Dock Carga One Fusion</t>
  </si>
  <si>
    <t>Dock Carga One Fusion Plus</t>
  </si>
  <si>
    <t>Dock Carga One Hyper</t>
  </si>
  <si>
    <t>Dock Carga One Power</t>
  </si>
  <si>
    <t>Dock Carga One Vision</t>
  </si>
  <si>
    <t>Dock Carga One Action</t>
  </si>
  <si>
    <t>Dock Carga Redmi 9A</t>
  </si>
  <si>
    <t>Dock Carga Redmi 9C</t>
  </si>
  <si>
    <t>Dock Carga Redmi 9i</t>
  </si>
  <si>
    <t>Dock Carga Poco C3</t>
  </si>
  <si>
    <t>Dock Carga Redmi 10A</t>
  </si>
  <si>
    <t>Dock Carga Redmi Note 10 4G</t>
  </si>
  <si>
    <t>Dock Carga Redmi Note 10s 4G</t>
  </si>
  <si>
    <t>Dock Carga Redmi Note 10 Pro</t>
  </si>
  <si>
    <t>Dock Carga Redmi Note 10 Pro Max</t>
  </si>
  <si>
    <t>Dock Carga Redmi Note 11 4G</t>
  </si>
  <si>
    <t>Dock Carga Redmi Note 11s 4G</t>
  </si>
  <si>
    <t>Dock Carga Poco M4</t>
  </si>
  <si>
    <t>Dock Carga Poco M4 Pro 4G</t>
  </si>
  <si>
    <t>Dock Carga Redmi Note 11 5G</t>
  </si>
  <si>
    <t>Dock Carga Redmi Note 11s 5G</t>
  </si>
  <si>
    <t>Dock Carga Poco M4 Pro 5G</t>
  </si>
  <si>
    <t>Dock Carga Redmi Note 12</t>
  </si>
  <si>
    <t>Dock Carga Redmi Note 6 Pro</t>
  </si>
  <si>
    <t>Dock Carga Redmi Note 9 Pro</t>
  </si>
  <si>
    <t>Dock Carga Redmi Note 9s</t>
  </si>
  <si>
    <t>Dock Carga Poco M3 Pro</t>
  </si>
  <si>
    <t>Dock Carga Redmi Note 10 5G</t>
  </si>
  <si>
    <t>Dock Carga Redmi Note 10T</t>
  </si>
  <si>
    <t>Dock Carga Redmi Note 11E</t>
  </si>
  <si>
    <t>Dock Carga Poco X3</t>
  </si>
  <si>
    <t>Dock Carga Poco X3 Pro</t>
  </si>
  <si>
    <t>Dock Carga Xiaom Poco X3 GT</t>
  </si>
  <si>
    <t>Dock Carga Poco X3 NFC</t>
  </si>
  <si>
    <t>Dock Carga Poco X4 Pro 4G</t>
  </si>
  <si>
    <t>Dock Carga Poco X4 Pro 5G</t>
  </si>
  <si>
    <t>Dock Carga Redmi Note 11 Pro 4G</t>
  </si>
  <si>
    <t>Dock Carga Redmi Note 11 Pro 5G</t>
  </si>
  <si>
    <t>Dock Carga Poco X6</t>
  </si>
  <si>
    <t>Dock Carga Redmi 10</t>
  </si>
  <si>
    <t>Dock Carga Redmi 10 Prime</t>
  </si>
  <si>
    <t>Dock Carga Redmi 12</t>
  </si>
  <si>
    <t>Dock Carga Redmi 12C</t>
  </si>
  <si>
    <t>Dock Carga Redmi 13C</t>
  </si>
  <si>
    <t>Dock Carga Redmi 9</t>
  </si>
  <si>
    <t>Dock Carga Redmi A3</t>
  </si>
  <si>
    <t>Dock Carga Redmi Note 7</t>
  </si>
  <si>
    <t>Dock Carga Redmi Note 7 Pro</t>
  </si>
  <si>
    <t>Dock Carga Redmi Note 8</t>
  </si>
  <si>
    <t>Dock Carga Redmi Note 8 Pro</t>
  </si>
  <si>
    <t>Dock Carga Redmi Note 9</t>
  </si>
  <si>
    <t>Dock Carga Redmi S2</t>
  </si>
  <si>
    <t>Dock Carga A01</t>
  </si>
  <si>
    <t>Dock Carga A01 Core</t>
  </si>
  <si>
    <t>Dock Carga A02</t>
  </si>
  <si>
    <t>Dock Carga A02s</t>
  </si>
  <si>
    <t>Dock Carga A03</t>
  </si>
  <si>
    <t>Dock Carga A03s</t>
  </si>
  <si>
    <t>Dock Carga A03 Core</t>
  </si>
  <si>
    <t>Dock Carga A04</t>
  </si>
  <si>
    <t>Dock Carga A04e</t>
  </si>
  <si>
    <t>Dock Carga A05</t>
  </si>
  <si>
    <t>Dock Carga A10</t>
  </si>
  <si>
    <t>Dock Carga M12</t>
  </si>
  <si>
    <t>Dock Carga A10s (M12)</t>
  </si>
  <si>
    <t>Dock Carga A10s (M15)</t>
  </si>
  <si>
    <t>Dock Carga A10s versao M12</t>
  </si>
  <si>
    <t>Dock Carga A10s versao M15</t>
  </si>
  <si>
    <t>Dock Carga A10s (M16)</t>
  </si>
  <si>
    <t>Dock Carga A10s versao M16</t>
  </si>
  <si>
    <t>Dock Carga A11</t>
  </si>
  <si>
    <t>Dock Carga A12</t>
  </si>
  <si>
    <t>Dock Carga A13 4G</t>
  </si>
  <si>
    <t>Dock Carga A13 5G</t>
  </si>
  <si>
    <t>Dock Carga A14 4G</t>
  </si>
  <si>
    <t>Dock Carga A14 5G (M12)</t>
  </si>
  <si>
    <t>Dock Carga A14 5G versao M12</t>
  </si>
  <si>
    <t>Dock Carga A14 5G (M14)</t>
  </si>
  <si>
    <t>Dock Carga A14 5G versao M14</t>
  </si>
  <si>
    <t>Dock Carga A15</t>
  </si>
  <si>
    <t>Dock Carga A20</t>
  </si>
  <si>
    <t>Dock Carga A20s (M12)</t>
  </si>
  <si>
    <t>Dock Carga A20s versao M12</t>
  </si>
  <si>
    <t>Dock Carga A20s (M14)</t>
  </si>
  <si>
    <t>Dock Carga A20s versao M14</t>
  </si>
  <si>
    <t>Dock Carga A20s (M15)</t>
  </si>
  <si>
    <t>Dock Carga A20s versao M15</t>
  </si>
  <si>
    <t>Dock Carga A21s</t>
  </si>
  <si>
    <t>Dock Carga A22 4G</t>
  </si>
  <si>
    <t>Dock Carga A22 5G</t>
  </si>
  <si>
    <t>Dock Carga A23 4G</t>
  </si>
  <si>
    <t>Dock Carga A23 5G</t>
  </si>
  <si>
    <t>Dock Carga A30</t>
  </si>
  <si>
    <t>Dock Carga A30s</t>
  </si>
  <si>
    <t>Dock Carga A31</t>
  </si>
  <si>
    <t>Dock Carga A32 4G</t>
  </si>
  <si>
    <t>Dock Carga A32 5G</t>
  </si>
  <si>
    <t>Dock Carga A33</t>
  </si>
  <si>
    <t>Dock Carga A50</t>
  </si>
  <si>
    <t>Dock Carga A51</t>
  </si>
  <si>
    <t>Dock Carga A52 4G</t>
  </si>
  <si>
    <t>Dock Carga A52 5G</t>
  </si>
  <si>
    <t>Dock Carga A52s</t>
  </si>
  <si>
    <t>Dock Carga A53</t>
  </si>
  <si>
    <t>Dock Carga A54</t>
  </si>
  <si>
    <t>Dock Carga A70</t>
  </si>
  <si>
    <t>Dock Carga A71</t>
  </si>
  <si>
    <t>Dock Carga A72</t>
  </si>
  <si>
    <t>Dock Carga A73</t>
  </si>
  <si>
    <t>Dock Carga A80</t>
  </si>
  <si>
    <t>Dock Carga A9 2018</t>
  </si>
  <si>
    <t>Dock Carga A920</t>
  </si>
  <si>
    <t>Dock Carga Galaxy S21 FE</t>
  </si>
  <si>
    <t>Dock Carga M13</t>
  </si>
  <si>
    <t>Dock Carga M20</t>
  </si>
  <si>
    <t>Dock Carga M21s</t>
  </si>
  <si>
    <t>Dock Carga M30</t>
  </si>
  <si>
    <t>Dock Carga M30s</t>
  </si>
  <si>
    <t>Dock Carga M31</t>
  </si>
  <si>
    <t>Dock Carga M33</t>
  </si>
  <si>
    <t>Dock Carga M23</t>
  </si>
  <si>
    <t>Dock Carga M51</t>
  </si>
  <si>
    <t>Dock Carga M62</t>
  </si>
  <si>
    <t>Dock Carga M53</t>
  </si>
  <si>
    <t>Dock Carga S10</t>
  </si>
  <si>
    <t>Dock Carga S10 Lite</t>
  </si>
  <si>
    <t>Dock Carga S20 FE</t>
  </si>
  <si>
    <t>Dock Carga iPhone 11</t>
  </si>
  <si>
    <t>Dock Carga iPhone 11 Pro</t>
  </si>
  <si>
    <t>Dock Carga iPhone 11 Pro Max</t>
  </si>
  <si>
    <t>Dock Carga iPhone 12</t>
  </si>
  <si>
    <t>Dock Carga iPhone 12 Pro</t>
  </si>
  <si>
    <t>Dock Carga iPhone 12 Mini</t>
  </si>
  <si>
    <t>Dock Carga iPhone 13</t>
  </si>
  <si>
    <t>Dock Carga iPhone 13 Pro</t>
  </si>
  <si>
    <t>Dock Carga iPhone 13 Pro Max</t>
  </si>
  <si>
    <t>Dock Carga iPhone 14</t>
  </si>
  <si>
    <t>Dock Carga iPhone 14 Pro</t>
  </si>
  <si>
    <t>Dock Carga iPhone 14 Pro Max</t>
  </si>
  <si>
    <t>Dock Carga iPhone 15</t>
  </si>
  <si>
    <t>Dock Carga iPhone 15 Pro</t>
  </si>
  <si>
    <t>Dock Carga iPhone 15 Pro Max</t>
  </si>
  <si>
    <t>Dock Carga iPhone 6</t>
  </si>
  <si>
    <t>Dock Carga iPhone 6 Plus</t>
  </si>
  <si>
    <t>Dock Carga iPhone 6s</t>
  </si>
  <si>
    <t>Dock Carga iPhone 6s Plus</t>
  </si>
  <si>
    <t>Dock Carga iPhone 7</t>
  </si>
  <si>
    <t>Dock Carga iPhone 7 Plus</t>
  </si>
  <si>
    <t>Dock Carga iPhone 8</t>
  </si>
  <si>
    <t>Dock Carga iPhone 8 Plus</t>
  </si>
  <si>
    <t>Dock Carga iPhone X</t>
  </si>
  <si>
    <t>Dock Carga iPhone XR</t>
  </si>
  <si>
    <t>Dock Carga iPhone XS</t>
  </si>
  <si>
    <t>Dock Carga iPhone XS Max</t>
  </si>
  <si>
    <t>Dock Carga LG K22/K22 Plus</t>
  </si>
  <si>
    <t>Dock Carga LG K40s</t>
  </si>
  <si>
    <t>Dock Carga LG K41s</t>
  </si>
  <si>
    <t>Dock Carga LG K42</t>
  </si>
  <si>
    <t>Dock Carga LG K52</t>
  </si>
  <si>
    <t>Dock Carga LG K62</t>
  </si>
  <si>
    <t>Dock Carga LG K62 Plus</t>
  </si>
  <si>
    <t>Dock Carga LG K50s</t>
  </si>
  <si>
    <t>Dock Carga LG K51</t>
  </si>
  <si>
    <t>Dock Carga LG K51s</t>
  </si>
  <si>
    <t>Dock Carga LG K61</t>
  </si>
  <si>
    <t>Dock Carga LG K8 Plus</t>
  </si>
  <si>
    <t>Dock Carga Moto E13</t>
  </si>
  <si>
    <t>Dock Carga Moto E20</t>
  </si>
  <si>
    <t>Dock Carga Moto E22</t>
  </si>
  <si>
    <t>Dock Carga Moto E32</t>
  </si>
  <si>
    <t>Dock Carga Moto E4 Plus</t>
  </si>
  <si>
    <t>Dock Carga Moto E40</t>
  </si>
  <si>
    <t>Dock Carga Moto E30</t>
  </si>
  <si>
    <t>Dock Carga Moto E5 Play</t>
  </si>
  <si>
    <t>Dock Carga Moto E6 Play</t>
  </si>
  <si>
    <t>Dock Carga Moto E6 Plus</t>
  </si>
  <si>
    <t>Dock Carga Moto E6s</t>
  </si>
  <si>
    <t>Dock Carga Moto E6i</t>
  </si>
  <si>
    <t>Dock Carga Moto E7</t>
  </si>
  <si>
    <t>Dock Carga Moto E7 Plus</t>
  </si>
  <si>
    <t>Dock Carga Moto E7 Power</t>
  </si>
  <si>
    <t>Dock Carga Moto Edge 20</t>
  </si>
  <si>
    <t>Dock Carga Moto G04</t>
  </si>
  <si>
    <t>Dock Carga Moto G04s</t>
  </si>
  <si>
    <t>Dock Carga Moto G14</t>
  </si>
  <si>
    <t>Dock Carga Moto G200</t>
  </si>
  <si>
    <t>Dock Carga Moto G22</t>
  </si>
  <si>
    <t>Dock Carga Moto G24</t>
  </si>
  <si>
    <t>Dock Carga Moto G30</t>
  </si>
  <si>
    <t>Dock Carga Moto G31</t>
  </si>
  <si>
    <t>Dock Carga Moto G32</t>
  </si>
  <si>
    <t>Dock Carga Moto G41</t>
  </si>
  <si>
    <t>Dock Carga Moto G5</t>
  </si>
  <si>
    <t>Dock Carga Moto G50 4G</t>
  </si>
  <si>
    <t>Dock Carga Moto G50 5G</t>
  </si>
  <si>
    <t>Dock Carga Moto G51</t>
  </si>
  <si>
    <t>Dock Carga Moto G52</t>
  </si>
  <si>
    <t>Dock Carga Moto G54</t>
  </si>
  <si>
    <t>Dock Carga Moto G6 Play</t>
  </si>
  <si>
    <t>Dock Carga Moto E5</t>
  </si>
  <si>
    <t>Dock Carga Moto G60</t>
  </si>
  <si>
    <t>Dock Carga Moto G60s</t>
  </si>
  <si>
    <t>Dock Carga Moto G62</t>
  </si>
  <si>
    <t>Dock Carga Moto G7 Play</t>
  </si>
  <si>
    <t>Dock Carga Moto G7 Power</t>
  </si>
  <si>
    <t>Dock Carga Moto G71</t>
  </si>
  <si>
    <t>Dock Carga Moto G72</t>
  </si>
  <si>
    <t>Dock Carga Moto G8</t>
  </si>
  <si>
    <t>Dock Carga Moto G8 Play (F)</t>
  </si>
  <si>
    <t>Dock Carga Moto G8 Play (M)</t>
  </si>
  <si>
    <t>Dock Carga Moto One Macro</t>
  </si>
  <si>
    <t>Dock Carga Moto G8 Plus (F)</t>
  </si>
  <si>
    <t>Dock Carga Moto G8 Plus (M)</t>
  </si>
  <si>
    <t>Dock Carga Moto G8 Power</t>
  </si>
  <si>
    <t>Dock Carga Moto G8 Power Lite</t>
  </si>
  <si>
    <t>Dock Carga Moto G9 Play</t>
  </si>
  <si>
    <t>Dock Carga Moto G9 Plus</t>
  </si>
  <si>
    <t>Dock Carga Moto G9 Power</t>
  </si>
  <si>
    <t>Dock Carga Moto One</t>
  </si>
  <si>
    <t>Dock Carga Moto One Fusion</t>
  </si>
  <si>
    <t>Dock Carga Moto One Fusion Plus</t>
  </si>
  <si>
    <t>Dock Carga Moto One Hyper</t>
  </si>
  <si>
    <t>Dock Carga Moto One Power</t>
  </si>
  <si>
    <t>Dock Carga Moto One Vision</t>
  </si>
  <si>
    <t>Dock Carga Moto One Action</t>
  </si>
  <si>
    <t>Dock Carga Xiaomi Poco C3</t>
  </si>
  <si>
    <t>Dock Carga Xiaomi Redmi Note 10 4G</t>
  </si>
  <si>
    <t>Dock Carga Xiaomi Redmi Note 10s 4G</t>
  </si>
  <si>
    <t>Dock Carga Xiaomi Poco M4</t>
  </si>
  <si>
    <t>Dock Carga Xiaomi Poco M4 Pro 4G</t>
  </si>
  <si>
    <t>Dock Carga Xiaomi Poco M4 Pro 5G</t>
  </si>
  <si>
    <t>Dock Carga Xiaomi Poco M3 Pro</t>
  </si>
  <si>
    <t>Dock Carga Xiaomi Redmi Note 10 5G</t>
  </si>
  <si>
    <t>Dock Carga Xiaomi Redmi Note 10T</t>
  </si>
  <si>
    <t>Dock Carga Xiaomi Redmi Note 11E</t>
  </si>
  <si>
    <t>Dock Carga Xiaomi Poco X3</t>
  </si>
  <si>
    <t>Dock Carga Xiaomi Poco X3 Pro</t>
  </si>
  <si>
    <t>Dock Carga Xiaomi Poco X3 NFC</t>
  </si>
  <si>
    <t>Dock Carga Xiaomi Poco X4 Pro 4G</t>
  </si>
  <si>
    <t>Dock Carga Xiaomi Poco X4 Pro 5G</t>
  </si>
  <si>
    <t>Dock Carga Xiaomi Redmi Note 11 Pro 4G</t>
  </si>
  <si>
    <t>Dock Carga Xiaomi Redmi Note 11 Pro 5G</t>
  </si>
  <si>
    <t>Dock Carga Xiaomi Poco X6</t>
  </si>
  <si>
    <t>Dock Carga Xiaomi Redmi 10</t>
  </si>
  <si>
    <t>Dock Carga Xiaomi Redmi 10 Prime</t>
  </si>
  <si>
    <t>Dock Carga Xiaomi Redmi 12</t>
  </si>
  <si>
    <t>Dock Carga Xiaomi Redmi 12C</t>
  </si>
  <si>
    <t>Dock Carga Xiaomi Redmi 13C</t>
  </si>
  <si>
    <t>Dock Carga Xiaomi Redmi 9</t>
  </si>
  <si>
    <t>Dock Carga Xiaomi Redmi A3</t>
  </si>
  <si>
    <t>Dock Carga Xiaomi Redmi Note 7</t>
  </si>
  <si>
    <t>Dock Carga Xiaomi Redmi Note 7 Pro</t>
  </si>
  <si>
    <t>Dock Carga Xiaomi Redmi Note 8</t>
  </si>
  <si>
    <t>Dock Carga Xiaomi Redmi Note 8 Pro</t>
  </si>
  <si>
    <t>Dock Carga Xiaomi Redmi Note 9</t>
  </si>
  <si>
    <t>Dock Carga Xiaomi Redmi S2</t>
  </si>
  <si>
    <t>Dock Carga SAM A01</t>
  </si>
  <si>
    <t>Dock Carga SAM A01 Core</t>
  </si>
  <si>
    <t>Dock Carga SAM A02</t>
  </si>
  <si>
    <t>Dock Carga SAM A02s</t>
  </si>
  <si>
    <t>Dock Carga SAM A03</t>
  </si>
  <si>
    <t>Dock Carga SAM A03s</t>
  </si>
  <si>
    <t>Dock Carga SAM A03 Core</t>
  </si>
  <si>
    <t>Dock Carga SAM A04</t>
  </si>
  <si>
    <t>Dock Carga SAM A04e</t>
  </si>
  <si>
    <t>Dock Carga SAM A05</t>
  </si>
  <si>
    <t>Dock Carga SAM A10</t>
  </si>
  <si>
    <t>Dock Carga SAM M12</t>
  </si>
  <si>
    <t>Dock Carga SAM A10s (M12)</t>
  </si>
  <si>
    <t>Dock Carga SAM A10s (M15)</t>
  </si>
  <si>
    <t>Dock Carga SAM A10s versao M12</t>
  </si>
  <si>
    <t>Dock Carga SAM A10s versao M15</t>
  </si>
  <si>
    <t>Dock Carga SAM A10s (M16)</t>
  </si>
  <si>
    <t>Dock Carga SAM A10s versao M16</t>
  </si>
  <si>
    <t>Dock Carga SAM A11</t>
  </si>
  <si>
    <t>Dock Carga SAM A12</t>
  </si>
  <si>
    <t>Dock Carga SAM A13 4G</t>
  </si>
  <si>
    <t>Dock Carga SAM A13 5G</t>
  </si>
  <si>
    <t>Dock Carga SAM A14 4G</t>
  </si>
  <si>
    <t>Dock Carga SAM A14 5G (M12)</t>
  </si>
  <si>
    <t>Dock Carga SAM A14 5G versao M12</t>
  </si>
  <si>
    <t>Dock Carga SAM A14 5G (M14)</t>
  </si>
  <si>
    <t>Dock Carga SAM A14 5G versao M14</t>
  </si>
  <si>
    <t>Dock Carga SAM A15</t>
  </si>
  <si>
    <t>Dock Carga SAM A20</t>
  </si>
  <si>
    <t>Dock Carga SAM A20s (M12)</t>
  </si>
  <si>
    <t>Dock Carga SAM A20s versao M12</t>
  </si>
  <si>
    <t>Dock Carga SAM A20s (M14)</t>
  </si>
  <si>
    <t>Dock Carga SAM A20s versao M14</t>
  </si>
  <si>
    <t>Dock Carga SAM A20s (M15)</t>
  </si>
  <si>
    <t>Dock Carga SAM A20s versao M15</t>
  </si>
  <si>
    <t>Dock Carga SAM A21s</t>
  </si>
  <si>
    <t>Dock Carga SAM A22 4G</t>
  </si>
  <si>
    <t>Dock Carga SAM A22 5G</t>
  </si>
  <si>
    <t>Dock Carga SAM A23 4G</t>
  </si>
  <si>
    <t>Dock Carga SAM A23 5G</t>
  </si>
  <si>
    <t>Dock Carga SAM A30</t>
  </si>
  <si>
    <t>Dock Carga SAM A30s</t>
  </si>
  <si>
    <t>Dock Carga SAM A31</t>
  </si>
  <si>
    <t>Dock Carga SAM A32 4G</t>
  </si>
  <si>
    <t>Dock Carga SAM A32 5G</t>
  </si>
  <si>
    <t>Dock Carga SAM A33</t>
  </si>
  <si>
    <t>Dock Carga SAM A50</t>
  </si>
  <si>
    <t>Dock Carga SAM A51</t>
  </si>
  <si>
    <t>Dock Carga SAM A52 4G</t>
  </si>
  <si>
    <t>Dock Carga SAM A52 5G</t>
  </si>
  <si>
    <t>Dock Carga SAM A52s</t>
  </si>
  <si>
    <t>Dock Carga SAM A53</t>
  </si>
  <si>
    <t>Dock Carga SAM A54</t>
  </si>
  <si>
    <t>Dock Carga SAM A70</t>
  </si>
  <si>
    <t>Dock Carga SAM A71</t>
  </si>
  <si>
    <t>Dock Carga SAM A72</t>
  </si>
  <si>
    <t>Dock Carga SAM A73</t>
  </si>
  <si>
    <t>Dock Carga SAM A80</t>
  </si>
  <si>
    <t>Dock Carga SAM A9 2018</t>
  </si>
  <si>
    <t>Dock Carga SAM A920</t>
  </si>
  <si>
    <t>Dock Carga SAM Galaxy S21 FE</t>
  </si>
  <si>
    <t>Dock Carga SAM M13</t>
  </si>
  <si>
    <t>Dock Carga SAM M20</t>
  </si>
  <si>
    <t>Dock Carga SAM M21s</t>
  </si>
  <si>
    <t>Dock Carga SAM M30</t>
  </si>
  <si>
    <t>Dock Carga SAM M30s</t>
  </si>
  <si>
    <t>Dock Carga SAM M31</t>
  </si>
  <si>
    <t>Dock Carga SAM M33</t>
  </si>
  <si>
    <t>Dock Carga SAM M23</t>
  </si>
  <si>
    <t>Dock Carga SAM M51</t>
  </si>
  <si>
    <t>Dock Carga SAM M62</t>
  </si>
  <si>
    <t>Dock Carga SAM M53</t>
  </si>
  <si>
    <t>Dock Carga SAM S10</t>
  </si>
  <si>
    <t>Dock Carga SAM S10 Lite</t>
  </si>
  <si>
    <t>Dock Carga SAM S20 FE</t>
  </si>
  <si>
    <t>Lente Camera Asus Zenfone Max Shot (ZB634KL)</t>
  </si>
  <si>
    <t>Lente Camera ZB634KL</t>
  </si>
  <si>
    <t>Lente Camera iPhone 11</t>
  </si>
  <si>
    <t>Lente Camera iPhone 11 Pro</t>
  </si>
  <si>
    <t>Lente Camera iPhone 11 Pro Max</t>
  </si>
  <si>
    <t>Lente Camera iPhone 12</t>
  </si>
  <si>
    <t>Lente Camera iPhone 12 Pro</t>
  </si>
  <si>
    <t>Lente Camera iPhone 12 Pro Max</t>
  </si>
  <si>
    <t>Lente Camera iPhone 12 Mini</t>
  </si>
  <si>
    <t>Lente Camera iPhone 13</t>
  </si>
  <si>
    <t>Lente Camera iPhone 13 Pro</t>
  </si>
  <si>
    <t>Lente Camera iPhone 13 Pro Max</t>
  </si>
  <si>
    <t>Lente Camera iPhone 14</t>
  </si>
  <si>
    <t>Lente Camera iPhone 14 Pro</t>
  </si>
  <si>
    <t>Lente Camera iPhone 14 Pro Max</t>
  </si>
  <si>
    <t>Lente Camera iPhone 14 Plus</t>
  </si>
  <si>
    <t>Lente Camera iPhone 15</t>
  </si>
  <si>
    <t>Lente Camera iPhone 15 Pro</t>
  </si>
  <si>
    <t>Lente Camera iPhone 15 Pro Max</t>
  </si>
  <si>
    <t>Lente Camera iPhone 6</t>
  </si>
  <si>
    <t>Lente Camera iPhone 6s</t>
  </si>
  <si>
    <t>Lente Camera iPhone 6 Plus</t>
  </si>
  <si>
    <t>Lente Camera iPhone 6s Plus</t>
  </si>
  <si>
    <t>Lente Camera iPhone 7</t>
  </si>
  <si>
    <t>Lente Camera iPhone 8</t>
  </si>
  <si>
    <t>Lente Camera iPhone 7 Plus</t>
  </si>
  <si>
    <t>Lente Camera iPhone 8 Plus</t>
  </si>
  <si>
    <t>Lente Camera iPhone X</t>
  </si>
  <si>
    <t>Lente Camera iPhone XS</t>
  </si>
  <si>
    <t>Lente Camera iPhone XS Max</t>
  </si>
  <si>
    <t>Lente Camera iPhone XR</t>
  </si>
  <si>
    <t>Lente Camera LG K12 Prime</t>
  </si>
  <si>
    <t>Lente Camera LG K22</t>
  </si>
  <si>
    <t>Lente Camera LG K22 Plus</t>
  </si>
  <si>
    <t>Lente Camera LG K42</t>
  </si>
  <si>
    <t>Lente Camera LG K52</t>
  </si>
  <si>
    <t>Lente Camera LG K50s</t>
  </si>
  <si>
    <t>Lente Camera LG K51s</t>
  </si>
  <si>
    <t>Lente Camera LG K41s</t>
  </si>
  <si>
    <t>Lente Camera LG K61</t>
  </si>
  <si>
    <t>Lente Camera LG K62</t>
  </si>
  <si>
    <t>Lente Camera LG K62 Plus</t>
  </si>
  <si>
    <t>Lente Camera Moto E20</t>
  </si>
  <si>
    <t>Lente Camera Moto E32</t>
  </si>
  <si>
    <t>Lente Camera Moto E6 Play</t>
  </si>
  <si>
    <t>Lente Camera Moto E6 Plus</t>
  </si>
  <si>
    <t>Lente Camera Moto E6s</t>
  </si>
  <si>
    <t>Lente Camera Moto E6i</t>
  </si>
  <si>
    <t>Lente Camera Moto E7</t>
  </si>
  <si>
    <t>Lente Camera Moto E7 Plus</t>
  </si>
  <si>
    <t>Lente Camera Moto E7 Power</t>
  </si>
  <si>
    <t>Lente Camera Moto G100</t>
  </si>
  <si>
    <t>Lente Camera Moto G22</t>
  </si>
  <si>
    <t>Lente Camera Moto G10</t>
  </si>
  <si>
    <t>Lente Camera Moto G20</t>
  </si>
  <si>
    <t>Lente Camera Moto G30</t>
  </si>
  <si>
    <t>Lente Camera Moto G5</t>
  </si>
  <si>
    <t>Lente Camera Moto G50 5G</t>
  </si>
  <si>
    <t>Lente Camera Moto G5s Plus</t>
  </si>
  <si>
    <t>Lente Camera Moto G6</t>
  </si>
  <si>
    <t>Lente Camera Moto G6 Play</t>
  </si>
  <si>
    <t>Lente Camera Moto E5</t>
  </si>
  <si>
    <t>Lente Camera Moto G6 Plus</t>
  </si>
  <si>
    <t>Lente Camera Moto G7</t>
  </si>
  <si>
    <t>Lente Camera Moto G7 Play</t>
  </si>
  <si>
    <t>Lente Camera Moto G7 Plus</t>
  </si>
  <si>
    <t>Lente Camera Moto G8 Play</t>
  </si>
  <si>
    <t>Lente Camera Moto G8 Plus</t>
  </si>
  <si>
    <t>Lente Camera Moto G8 Power</t>
  </si>
  <si>
    <t>Lente Camera Moto G8 Power Lite</t>
  </si>
  <si>
    <t>Lente Camera Moto G9 Play</t>
  </si>
  <si>
    <t>Lente Camera Moto G9 Plus</t>
  </si>
  <si>
    <t>Lente Camera Moto One Action</t>
  </si>
  <si>
    <t>Lente Camera Moto One Fusion</t>
  </si>
  <si>
    <t>Lente Camera Moto One Fusion Plus</t>
  </si>
  <si>
    <t>Lente Camera Moto One Vision</t>
  </si>
  <si>
    <t>Lente Camera Realme C21</t>
  </si>
  <si>
    <t>Lente Camera Redmi Note 10 5G</t>
  </si>
  <si>
    <t>Lente Camera Redmi Note 11 4G</t>
  </si>
  <si>
    <t>Lente Camera Redmi Note 11s 4G</t>
  </si>
  <si>
    <t>Lente Camera SAM A01</t>
  </si>
  <si>
    <t>Lente Camera SAM A01 Core</t>
  </si>
  <si>
    <t>Lente Camera SAM A02s</t>
  </si>
  <si>
    <t>Lente Camera SAM A03</t>
  </si>
  <si>
    <t>Lente Camera SAM A03s</t>
  </si>
  <si>
    <t>Lente Camera SAM A04</t>
  </si>
  <si>
    <t>Lente Camera SAM A04S</t>
  </si>
  <si>
    <t>Lente Camera SAM A10</t>
  </si>
  <si>
    <t>Lente Camera SAM A20</t>
  </si>
  <si>
    <t>Lente Camera SAM A30</t>
  </si>
  <si>
    <t>Lente Camera SAM A10s</t>
  </si>
  <si>
    <t>Lente Camera SAM A11</t>
  </si>
  <si>
    <t>Lente Camera SAM A12</t>
  </si>
  <si>
    <t>Lente Camera SAM M12</t>
  </si>
  <si>
    <t>Lente Camera SAM M22</t>
  </si>
  <si>
    <t>Lente Camera SAM M32</t>
  </si>
  <si>
    <t>Lente Camera SAM M62</t>
  </si>
  <si>
    <t>Lente Camera SAM A20s</t>
  </si>
  <si>
    <t>Lente Camera SAM A21s</t>
  </si>
  <si>
    <t>Lente Camera SAM A22 4G</t>
  </si>
  <si>
    <t>Lente Camera SAM A22 5G</t>
  </si>
  <si>
    <t>Lente Camera SAM A30s</t>
  </si>
  <si>
    <t>Lente Camera SAM A31</t>
  </si>
  <si>
    <t>Lente Camera SAM A32 4G</t>
  </si>
  <si>
    <t>Lente Camera SAM A32 5G</t>
  </si>
  <si>
    <t>Lente Camera SAM A50</t>
  </si>
  <si>
    <t>Lente Camera SAM A70</t>
  </si>
  <si>
    <t>Lente Camera SAM A51</t>
  </si>
  <si>
    <t>Lente Camera SAM A52</t>
  </si>
  <si>
    <t>Lente Camera SAM A7 2018</t>
  </si>
  <si>
    <t>Lente Camera SAM A750</t>
  </si>
  <si>
    <t>Lente Camera SAM A71</t>
  </si>
  <si>
    <t>Lente Camera SAM A72</t>
  </si>
  <si>
    <t>Lente Camera SAM A80</t>
  </si>
  <si>
    <t>Lente Camera SAM Galaxy Note 10</t>
  </si>
  <si>
    <t>Lente Camera SAM Galaxy Note 10 Lite</t>
  </si>
  <si>
    <t>Lente Camera SAM J2 Core</t>
  </si>
  <si>
    <t>Lente Camera SAM J260</t>
  </si>
  <si>
    <t>Lente Camera SAM J4 Core</t>
  </si>
  <si>
    <t>Lente Camera SAM J6</t>
  </si>
  <si>
    <t>Lente Camera SAM J6 Plus</t>
  </si>
  <si>
    <t>Lente Camera SAM J8</t>
  </si>
  <si>
    <t>Lente Camera SAM J8 Plus</t>
  </si>
  <si>
    <t>Lente Camera SAM M21s</t>
  </si>
  <si>
    <t>Lente Camera SAM Note 20 Ultra</t>
  </si>
  <si>
    <t>Lente Camera SAM Note 20</t>
  </si>
  <si>
    <t>Lente Camera SAM Note 20 Plus</t>
  </si>
  <si>
    <t>Lente Camera SAM S10 Lite</t>
  </si>
  <si>
    <t>Lente Camera SAM S10</t>
  </si>
  <si>
    <t>Lente Camera SAM S10 Plus</t>
  </si>
  <si>
    <t>Lente Camera SAM S20</t>
  </si>
  <si>
    <t>Lente Camera SAM S20 FE</t>
  </si>
  <si>
    <t>Lente Camera SAM S20 Plus</t>
  </si>
  <si>
    <t>Lente Camera SAM S20 Ultra</t>
  </si>
  <si>
    <t>Lente Camera SAM S21</t>
  </si>
  <si>
    <t>Lente Camera SAM S21 Plus</t>
  </si>
  <si>
    <t>Lente Camera SAM S21 Ultra</t>
  </si>
  <si>
    <t>Lente Camera Xiaomi 11 Lite</t>
  </si>
  <si>
    <t>Lente Camera Xiaomi Mi 10 Lite</t>
  </si>
  <si>
    <t>Lente Camera Xiaomi Mi 10T Lite</t>
  </si>
  <si>
    <t>Lente Camera Xiaomi Mi 10T</t>
  </si>
  <si>
    <t>Lente Camera Xiaomi Mi 10T Pro</t>
  </si>
  <si>
    <t>Lente Camera Xiaomi Mi 8 Lite</t>
  </si>
  <si>
    <t>Lente Camera Xiaomi Mi A1</t>
  </si>
  <si>
    <t>Lente Camera Xiaomi Note 8 Pro</t>
  </si>
  <si>
    <t>Lente Camera Xiaomi Poco M3 Pro</t>
  </si>
  <si>
    <t>Lente Camera Xiaomi Poco X3</t>
  </si>
  <si>
    <t>Lente Camera Xiaomi Poco X3 Pro</t>
  </si>
  <si>
    <t>Lente Camera Xiaomi Redmi 10C</t>
  </si>
  <si>
    <t>Lente Camera Xiaomi Redmi 9</t>
  </si>
  <si>
    <t>Lente Camera Xiaomi Redmi 9A</t>
  </si>
  <si>
    <t>Lente Camera Xiaomi Redmi 10A</t>
  </si>
  <si>
    <t>Lente Camera Xiaomi Redmi 9C</t>
  </si>
  <si>
    <t>Lente Camera Xiaomi Redmi 9i</t>
  </si>
  <si>
    <t>Lente Camera Xiaomi Redmi 9T</t>
  </si>
  <si>
    <t>Lente Camera Xiaomi Redmi Note 10 4G</t>
  </si>
  <si>
    <t>Lente Camera Xiaomi Redmi Note 10s 4G</t>
  </si>
  <si>
    <t>Lente Camera Xiaomi Redmi Note 6 Pro</t>
  </si>
  <si>
    <t>Lente Camera Xiaomi Redmi Note 7</t>
  </si>
  <si>
    <t>Lente Camera Xiaomi Redmi Note 7 Pro</t>
  </si>
  <si>
    <t>Lente Camera Xiaomi Redmi Note 8</t>
  </si>
  <si>
    <t>Lente Camera Xiaomi Redmi Note 8T</t>
  </si>
  <si>
    <t>Lente Camera Xiaomi Redmi Note 9</t>
  </si>
  <si>
    <t>Lente Camera Xiaomi Redmi Note 9 Pro</t>
  </si>
  <si>
    <t>Lente Camera Xiaomi Redmi Note 9s</t>
  </si>
  <si>
    <t>Lente Camera Xiaomi Redmi Note 9 Pro Max</t>
  </si>
  <si>
    <t>Lente Camera Zenfone Max Shot (ZB634KL)</t>
  </si>
  <si>
    <t>Lente Camera 11 Pro</t>
  </si>
  <si>
    <t>Lente Camera 11 Pro Max</t>
  </si>
  <si>
    <t>Lente Camera 12 Pro</t>
  </si>
  <si>
    <t>Lente Camera 12 Pro Max</t>
  </si>
  <si>
    <t>Lente Camera 12 Mini</t>
  </si>
  <si>
    <t>Lente Camera 13 Pro</t>
  </si>
  <si>
    <t>Lente Camera 13 Pro Max</t>
  </si>
  <si>
    <t>Lente Camera 14 Pro</t>
  </si>
  <si>
    <t>Lente Camera 14 Pro Max</t>
  </si>
  <si>
    <t>Lente Camera 14 Plus</t>
  </si>
  <si>
    <t>Lente Camera 15 Pro</t>
  </si>
  <si>
    <t>Lente Camera 15 Pro Max</t>
  </si>
  <si>
    <t>Lente Camera 6s</t>
  </si>
  <si>
    <t>Lente Camera 6 Plus</t>
  </si>
  <si>
    <t>Lente Camera 6s Plus</t>
  </si>
  <si>
    <t>Lente Camera 7 Plus</t>
  </si>
  <si>
    <t>Lente Camera 8 Plus</t>
  </si>
  <si>
    <t>Lente Camera XS</t>
  </si>
  <si>
    <t>Lente Camera XS Max</t>
  </si>
  <si>
    <t>Lente Camera XR</t>
  </si>
  <si>
    <t>Lente Camera K12 Prime</t>
  </si>
  <si>
    <t>Lente Camera K22</t>
  </si>
  <si>
    <t>Lente Camera K22 Plus</t>
  </si>
  <si>
    <t>Lente Camera K42</t>
  </si>
  <si>
    <t>Lente Camera K52</t>
  </si>
  <si>
    <t>Lente Camera K50s</t>
  </si>
  <si>
    <t>Lente Camera K51s</t>
  </si>
  <si>
    <t>Lente Camera K41s</t>
  </si>
  <si>
    <t>Lente Camera K61</t>
  </si>
  <si>
    <t>Lente Camera K62</t>
  </si>
  <si>
    <t>Lente Camera K62 Plus</t>
  </si>
  <si>
    <t>Lente Camera E20</t>
  </si>
  <si>
    <t>Lente Camera E32</t>
  </si>
  <si>
    <t>Lente Camera E6 Play</t>
  </si>
  <si>
    <t>Lente Camera E6 Plus</t>
  </si>
  <si>
    <t>Lente Camera E6s</t>
  </si>
  <si>
    <t>Lente Camera E6i</t>
  </si>
  <si>
    <t>Lente Camera E7</t>
  </si>
  <si>
    <t>Lente Camera E7 Plus</t>
  </si>
  <si>
    <t>Lente Camera E7 Power</t>
  </si>
  <si>
    <t>Lente Camera G100</t>
  </si>
  <si>
    <t>Lente Camera G22</t>
  </si>
  <si>
    <t>Lente Camera G10</t>
  </si>
  <si>
    <t>Lente Camera G20</t>
  </si>
  <si>
    <t>Lente Camera G30</t>
  </si>
  <si>
    <t>Lente Camera G5</t>
  </si>
  <si>
    <t>Lente Camera G50 5G</t>
  </si>
  <si>
    <t>Lente Camera G5s Plus</t>
  </si>
  <si>
    <t>Lente Camera G6</t>
  </si>
  <si>
    <t>Lente Camera G6 Play</t>
  </si>
  <si>
    <t>Lente Camera E5</t>
  </si>
  <si>
    <t>Lente Camera G6 Plus</t>
  </si>
  <si>
    <t>Lente Camera G7</t>
  </si>
  <si>
    <t>Lente Camera G7 Play</t>
  </si>
  <si>
    <t>Lente Camera G7 Plus</t>
  </si>
  <si>
    <t>Lente Camera G8 Play</t>
  </si>
  <si>
    <t>Lente Camera G8 Plus</t>
  </si>
  <si>
    <t>Lente Camera G8 Power</t>
  </si>
  <si>
    <t>Lente Camera G8 Power Lite</t>
  </si>
  <si>
    <t>Lente Camera G9 Play</t>
  </si>
  <si>
    <t>Lente Camera G9 Plus</t>
  </si>
  <si>
    <t>Lente Camera One Action</t>
  </si>
  <si>
    <t>Lente Camera One Fusion</t>
  </si>
  <si>
    <t>Lente Camera One Fusion Plus</t>
  </si>
  <si>
    <t>Lente Camera One Vision</t>
  </si>
  <si>
    <t>Lente Camera A01</t>
  </si>
  <si>
    <t>Lente Camera A01 Core</t>
  </si>
  <si>
    <t>Lente Camera A02s</t>
  </si>
  <si>
    <t>Lente Camera A03</t>
  </si>
  <si>
    <t>Lente Camera A03s</t>
  </si>
  <si>
    <t>Lente Camera A04</t>
  </si>
  <si>
    <t>Lente Camera A04S</t>
  </si>
  <si>
    <t>Lente Camera A10</t>
  </si>
  <si>
    <t>Lente Camera A20</t>
  </si>
  <si>
    <t>Lente Camera A30</t>
  </si>
  <si>
    <t>Lente Camera A10s</t>
  </si>
  <si>
    <t>Lente Camera A11</t>
  </si>
  <si>
    <t>Lente Camera A12</t>
  </si>
  <si>
    <t>Lente Camera M12</t>
  </si>
  <si>
    <t>Lente Camera M22</t>
  </si>
  <si>
    <t>Lente Camera M32</t>
  </si>
  <si>
    <t>Lente Camera M62</t>
  </si>
  <si>
    <t>Lente Camera A20s</t>
  </si>
  <si>
    <t>Lente Camera A21s</t>
  </si>
  <si>
    <t>Lente Camera A22 4G</t>
  </si>
  <si>
    <t>Lente Camera A22 5G</t>
  </si>
  <si>
    <t>Lente Camera A30s</t>
  </si>
  <si>
    <t>Lente Camera A31</t>
  </si>
  <si>
    <t>Lente Camera A32 4G</t>
  </si>
  <si>
    <t>Lente Camera A32 5G</t>
  </si>
  <si>
    <t>Lente Camera A50</t>
  </si>
  <si>
    <t>Lente Camera A70</t>
  </si>
  <si>
    <t>Lente Camera A51</t>
  </si>
  <si>
    <t>Lente Camera A52</t>
  </si>
  <si>
    <t>Lente Camera A7 2018</t>
  </si>
  <si>
    <t>Lente Camera A750</t>
  </si>
  <si>
    <t>Lente Camera A71</t>
  </si>
  <si>
    <t>Lente Camera A72</t>
  </si>
  <si>
    <t>Lente Camera A80</t>
  </si>
  <si>
    <t>Lente Camera Galaxy Note 10</t>
  </si>
  <si>
    <t>Lente Camera Galaxy Note 10 Lite</t>
  </si>
  <si>
    <t>Lente Camera J2 Core</t>
  </si>
  <si>
    <t>Lente Camera J260</t>
  </si>
  <si>
    <t>Lente Camera J4 Core</t>
  </si>
  <si>
    <t>Lente Camera J6</t>
  </si>
  <si>
    <t>Lente Camera J6 Plus</t>
  </si>
  <si>
    <t>Lente Camera J8</t>
  </si>
  <si>
    <t>Lente Camera J8 Plus</t>
  </si>
  <si>
    <t>Lente Camera M21s</t>
  </si>
  <si>
    <t>Lente Camera Note 20 Ultra</t>
  </si>
  <si>
    <t>Lente Camera Note 20</t>
  </si>
  <si>
    <t>Lente Camera Note 20 Plus</t>
  </si>
  <si>
    <t>Lente Camera S10 Lite</t>
  </si>
  <si>
    <t>Lente Camera S10</t>
  </si>
  <si>
    <t>Lente Camera S10 Plus</t>
  </si>
  <si>
    <t>Lente Camera S20</t>
  </si>
  <si>
    <t>Lente Camera S20 FE</t>
  </si>
  <si>
    <t>Lente Camera S20 Plus</t>
  </si>
  <si>
    <t>Lente Camera S20 Ultra</t>
  </si>
  <si>
    <t>Lente Camera S21</t>
  </si>
  <si>
    <t>Lente Camera S21 Plus</t>
  </si>
  <si>
    <t>Lente Camera S21 Ultra</t>
  </si>
  <si>
    <t>Lente Camera 11 Lite</t>
  </si>
  <si>
    <t>Lente Camera Mi 10 Lite</t>
  </si>
  <si>
    <t>Lente Camera Mi 10T Lite</t>
  </si>
  <si>
    <t>Lente Camera Mi 10T</t>
  </si>
  <si>
    <t>Lente Camera Mi 10T Pro</t>
  </si>
  <si>
    <t>Lente Camera Mi 8 Lite</t>
  </si>
  <si>
    <t>Lente Camera Mi A1</t>
  </si>
  <si>
    <t>Lente Camera Note 8 Pro</t>
  </si>
  <si>
    <t>Lente Camera Poco M3 Pro</t>
  </si>
  <si>
    <t>Lente Camera Poco X3</t>
  </si>
  <si>
    <t>Lente Camera Poco X3 Pro</t>
  </si>
  <si>
    <t>Lente Camera Redmi 10C</t>
  </si>
  <si>
    <t>Lente Camera Redmi 9</t>
  </si>
  <si>
    <t>Lente Camera Redmi 9A</t>
  </si>
  <si>
    <t>Lente Camera Redmi 10A</t>
  </si>
  <si>
    <t>Lente Camera Redmi 9C</t>
  </si>
  <si>
    <t>Lente Camera Redmi 9i</t>
  </si>
  <si>
    <t>Lente Camera Redmi 9T</t>
  </si>
  <si>
    <t>Lente Camera Redmi Note 10 4G</t>
  </si>
  <si>
    <t>Lente Camera Redmi Note 10s 4G</t>
  </si>
  <si>
    <t>Lente Camera Redmi Note 6 Pro</t>
  </si>
  <si>
    <t>Lente Camera Redmi Note 7</t>
  </si>
  <si>
    <t>Lente Camera Redmi Note 7 Pro</t>
  </si>
  <si>
    <t>Lente Camera Redmi Note 8</t>
  </si>
  <si>
    <t>Lente Camera Redmi Note 8T</t>
  </si>
  <si>
    <t>Lente Camera Redmi Note 9</t>
  </si>
  <si>
    <t>Lente Camera Redmi Note 9 Pro</t>
  </si>
  <si>
    <t>Lente Camera Redmi Note 9s</t>
  </si>
  <si>
    <t>Lente Camera Redmi Note 9 Pro Max</t>
  </si>
  <si>
    <t>Conector Carga Asus Zenfone Max Shot</t>
  </si>
  <si>
    <t>Conector Carga Moto G8</t>
  </si>
  <si>
    <t>Conector Carga Moto E6 Play</t>
  </si>
  <si>
    <t>Conector Carga Moto E7 Plus</t>
  </si>
  <si>
    <t>Conector Carga Moto E6 Plus</t>
  </si>
  <si>
    <t>Conector Carga LG K4 2017</t>
  </si>
  <si>
    <t>Conector Carga LG K10 2016</t>
  </si>
  <si>
    <t>Conector Carga LG K10</t>
  </si>
  <si>
    <t>Conector Carga LG K4 2016</t>
  </si>
  <si>
    <t>Conector Carga LG K5</t>
  </si>
  <si>
    <t>Conector Carga LG K7</t>
  </si>
  <si>
    <t>Conector Carga LG K8</t>
  </si>
  <si>
    <t>Conector Carga LG K10 2017</t>
  </si>
  <si>
    <t>Conector Carga LG K8 2017</t>
  </si>
  <si>
    <t>Conector Carga LG K10 Power</t>
  </si>
  <si>
    <t>Conector Carga LG K11</t>
  </si>
  <si>
    <t>Conector Carga LG K11 Plus</t>
  </si>
  <si>
    <t>Conector Carga LG K12</t>
  </si>
  <si>
    <t>Conector Carga SAM A01</t>
  </si>
  <si>
    <t>Conector Carga SAM A03</t>
  </si>
  <si>
    <t>Conector Carga SAM A03 Core</t>
  </si>
  <si>
    <t>Conector Carga K12 Plus</t>
  </si>
  <si>
    <t>Conector Carga LG K12 Prime</t>
  </si>
  <si>
    <t>Conector Carga LG K22</t>
  </si>
  <si>
    <t>Conector Carga LG K40</t>
  </si>
  <si>
    <t>Conector Carga LG K50</t>
  </si>
  <si>
    <t>Conector Carga Xiaomi Redmi 9A</t>
  </si>
  <si>
    <t>Conector Carga LG K12 Max</t>
  </si>
  <si>
    <t>Conector Carga LG K40s</t>
  </si>
  <si>
    <t>Conector Carga Xiaomi Redmi 9i</t>
  </si>
  <si>
    <t>Conector Carga LG K50s</t>
  </si>
  <si>
    <t>Conector Carga LG K51s</t>
  </si>
  <si>
    <t>Conector Carga LG K9</t>
  </si>
  <si>
    <t>Conector Carga T290</t>
  </si>
  <si>
    <t>Conector Carga T295</t>
  </si>
  <si>
    <t>Conector Carga Moto E30</t>
  </si>
  <si>
    <t>Conector Carga Moto E7</t>
  </si>
  <si>
    <t>Conector Carga Moto E7 Power</t>
  </si>
  <si>
    <t>Conector Carga Moto E20</t>
  </si>
  <si>
    <t>Conector Carga Moto E40</t>
  </si>
  <si>
    <t>Conector Carga Moto E32</t>
  </si>
  <si>
    <t>Conector Carga Moto G50 5G</t>
  </si>
  <si>
    <t>Conector Carga SAM A04</t>
  </si>
  <si>
    <t>Conector Carga SAM A20S</t>
  </si>
  <si>
    <t>Conector Carga SAM A22 5G</t>
  </si>
  <si>
    <t>Conector Carga LG K41s</t>
  </si>
  <si>
    <t>Conector Carga LG K61</t>
  </si>
  <si>
    <t>Conector Carga Moto G4 Play</t>
  </si>
  <si>
    <t>Conector Carga Moto G8 Power Lite</t>
  </si>
  <si>
    <t>Conector Carga Moto G5</t>
  </si>
  <si>
    <t>Conector Carga Moto E6s</t>
  </si>
  <si>
    <t>Conector Carga Moto E6i</t>
  </si>
  <si>
    <t>Conector Carga Moto E4</t>
  </si>
  <si>
    <t>Conector Carga Moto E4 Plus</t>
  </si>
  <si>
    <t>Conector Carga LG K8 Plus</t>
  </si>
  <si>
    <t>Conector Carga Moto G4</t>
  </si>
  <si>
    <t>Conector Carga Moto G4 Plus</t>
  </si>
  <si>
    <t>Conector Carga Moto G5 Plus</t>
  </si>
  <si>
    <t>Conector Carga Moto G5s</t>
  </si>
  <si>
    <t>Conector Carga Moto G5s Plus</t>
  </si>
  <si>
    <t>Conector Carga Moto E5</t>
  </si>
  <si>
    <t>Conector Carga Moto G6</t>
  </si>
  <si>
    <t>Conector Carga Moto G6 Play</t>
  </si>
  <si>
    <t>Conector Carga Moto C</t>
  </si>
  <si>
    <t>Conector Carga Moto G6 Plus</t>
  </si>
  <si>
    <t>Conector Carga Moto One</t>
  </si>
  <si>
    <t>Conector Carga Moto G7</t>
  </si>
  <si>
    <t>Conector Carga Moto G7 Power</t>
  </si>
  <si>
    <t>Conector Carga Moto G8 Power</t>
  </si>
  <si>
    <t>Conector Carga Moto G8 Play</t>
  </si>
  <si>
    <t>Conector Carga Moto G9 Power</t>
  </si>
  <si>
    <t>Conector Carga Moto G9 Play</t>
  </si>
  <si>
    <t>Conector Carga Moto G9 Plus</t>
  </si>
  <si>
    <t>Conector Carga Moto G10</t>
  </si>
  <si>
    <t>Conector Carga Moto G20</t>
  </si>
  <si>
    <t>Conector Carga Moto G22</t>
  </si>
  <si>
    <t>Conector Carga Moto G30</t>
  </si>
  <si>
    <t>Conector Carga Moto G32</t>
  </si>
  <si>
    <t>Conector Carga Moto G50</t>
  </si>
  <si>
    <t>Conector Carga Moto G62</t>
  </si>
  <si>
    <t>Conector Carga Moto E13</t>
  </si>
  <si>
    <t>Conector Carga Moto One Fusion Plus</t>
  </si>
  <si>
    <t>Conector Carga Moto G7 Plus</t>
  </si>
  <si>
    <t>Conector Carga Moto G8 Plus</t>
  </si>
  <si>
    <t>Conector Carga Moto G5G</t>
  </si>
  <si>
    <t>Conector Carga Moto G 5G</t>
  </si>
  <si>
    <t>Conector Carga Moto G100</t>
  </si>
  <si>
    <t>Conector Carga Moto G200</t>
  </si>
  <si>
    <t>Conector Carga LG K62</t>
  </si>
  <si>
    <t>Conector Carga LG K62 Plus</t>
  </si>
  <si>
    <t>Conector Carga LG K42</t>
  </si>
  <si>
    <t>Conector Carga LG K52</t>
  </si>
  <si>
    <t>Conector Carga Moto G7 Play</t>
  </si>
  <si>
    <t>Conector Carga Moto G31</t>
  </si>
  <si>
    <t>Conector Carga Moto G60</t>
  </si>
  <si>
    <t>Conector Carga SAM A03s</t>
  </si>
  <si>
    <t>Conector Carga SAM A02s</t>
  </si>
  <si>
    <t>Conector Carga SAM A11</t>
  </si>
  <si>
    <t>Conector Carga Moto One Fusion</t>
  </si>
  <si>
    <t>Conector Carga Moto Z3 Play</t>
  </si>
  <si>
    <t>Conector Carga SAM A04E</t>
  </si>
  <si>
    <t>Conector Carga SAM A10s</t>
  </si>
  <si>
    <t>Conector Carga SAM A34</t>
  </si>
  <si>
    <t>Conector Carga SAM M23</t>
  </si>
  <si>
    <t>Conector Carga SAM A12</t>
  </si>
  <si>
    <t>Conector Carga SAM A20</t>
  </si>
  <si>
    <t>Conector Carga SAM A21s</t>
  </si>
  <si>
    <t>Conector Carga SAM A22 4G</t>
  </si>
  <si>
    <t>Conector Carga SAM A30</t>
  </si>
  <si>
    <t>Conector Carga SAM A30s</t>
  </si>
  <si>
    <t>Conector Carga SAM A31</t>
  </si>
  <si>
    <t>Conector Carga SAM A32</t>
  </si>
  <si>
    <t>Conector Carga SAM A32 4G</t>
  </si>
  <si>
    <t>Conector Carga SAM A50</t>
  </si>
  <si>
    <t>Conector Carga SAM A51</t>
  </si>
  <si>
    <t>Conector Carga SAM A60</t>
  </si>
  <si>
    <t>Conector Carga SAM A70</t>
  </si>
  <si>
    <t>Conector Carga SAM A70s</t>
  </si>
  <si>
    <t>Conector Carga SAM A71</t>
  </si>
  <si>
    <t>Conector Carga SAM A80</t>
  </si>
  <si>
    <t>Conector Carga SAM A90</t>
  </si>
  <si>
    <t>Conector Carga SAM M20</t>
  </si>
  <si>
    <t>Conector Carga SAM M30</t>
  </si>
  <si>
    <t>Conector Carga SAM A9 2018</t>
  </si>
  <si>
    <t>Conector Carga SAM A920</t>
  </si>
  <si>
    <t>Conector Carga SAM Galaxy S10</t>
  </si>
  <si>
    <t>Conector Carga SAM J4</t>
  </si>
  <si>
    <t>Conector Carga SAM J400</t>
  </si>
  <si>
    <t>Conector Carga SAM J4 Plus</t>
  </si>
  <si>
    <t>Conector Carga SAM A01 Core</t>
  </si>
  <si>
    <t>Conector Carga SAM A02</t>
  </si>
  <si>
    <t>Conector Carga SAM A10</t>
  </si>
  <si>
    <t>Conector Carga SAM A7 2018</t>
  </si>
  <si>
    <t>Conector Carga SAM A750</t>
  </si>
  <si>
    <t>Conector Carga SAM J1</t>
  </si>
  <si>
    <t>Conector Carga SAM J2</t>
  </si>
  <si>
    <t>Conector Carga SAM J2 Pro</t>
  </si>
  <si>
    <t>Conector Carga SAM J3</t>
  </si>
  <si>
    <t>Conector Carga SAM J4 Core</t>
  </si>
  <si>
    <t>Conector Carga SAM J6</t>
  </si>
  <si>
    <t>Conector Carga SAM J600</t>
  </si>
  <si>
    <t>Conector Carga SAM J6 Plus</t>
  </si>
  <si>
    <t>Conector Carga SAM J5</t>
  </si>
  <si>
    <t>Conector Carga SAM J5 Prime</t>
  </si>
  <si>
    <t>Conector Carga SAM J5 Pro</t>
  </si>
  <si>
    <t>Conector Carga SAM J530</t>
  </si>
  <si>
    <t>Conector Carga SAM J7 Prime</t>
  </si>
  <si>
    <t>Conector Carga SAM J7 Pro</t>
  </si>
  <si>
    <t>Conector Carga SAM J730</t>
  </si>
  <si>
    <t>Conector Carga SAM J8</t>
  </si>
  <si>
    <t>Conector Carga SAM J800</t>
  </si>
  <si>
    <t>Conector Carga SAM M10</t>
  </si>
  <si>
    <t>Conector Carga SAM J7 Metal</t>
  </si>
  <si>
    <t>Conector Carga SAM J710</t>
  </si>
  <si>
    <t>Conector Carga SAM J5 Metal</t>
  </si>
  <si>
    <t>Conector Carga SAM J510</t>
  </si>
  <si>
    <t>Conector Carga SAM J2 Prime</t>
  </si>
  <si>
    <t>Conector Carga SAM J7</t>
  </si>
  <si>
    <t>Conector Carga SAM Gran Prime</t>
  </si>
  <si>
    <t>Conector Carga SAM G531</t>
  </si>
  <si>
    <t>Conector Carga SAM G530</t>
  </si>
  <si>
    <t>Conector Carga Zenfone Max Shot</t>
  </si>
  <si>
    <t>Conector Carga G8</t>
  </si>
  <si>
    <t>Conector Carga E6 Play</t>
  </si>
  <si>
    <t>Conector Carga E7 Plus</t>
  </si>
  <si>
    <t>Conector Carga E6 Plus</t>
  </si>
  <si>
    <t>Conector Carga K4 2017</t>
  </si>
  <si>
    <t>Conector Carga K10 2016</t>
  </si>
  <si>
    <t>Conector Carga K10</t>
  </si>
  <si>
    <t>Conector Carga K4 2016</t>
  </si>
  <si>
    <t>Conector Carga K5</t>
  </si>
  <si>
    <t>Conector Carga K7</t>
  </si>
  <si>
    <t>Conector Carga K8</t>
  </si>
  <si>
    <t>Conector Carga K10 2017</t>
  </si>
  <si>
    <t>Conector Carga K8 2017</t>
  </si>
  <si>
    <t>Conector Carga K10 Power</t>
  </si>
  <si>
    <t>Conector Carga K11</t>
  </si>
  <si>
    <t>Conector Carga K11 Plus</t>
  </si>
  <si>
    <t>Conector Carga K12</t>
  </si>
  <si>
    <t>Conector Carga A01</t>
  </si>
  <si>
    <t>Conector Carga A03</t>
  </si>
  <si>
    <t>Conector Carga A03 Core</t>
  </si>
  <si>
    <t>Conector Carga K12 Prime</t>
  </si>
  <si>
    <t>Conector Carga K22</t>
  </si>
  <si>
    <t>Conector Carga K40</t>
  </si>
  <si>
    <t>Conector Carga K50</t>
  </si>
  <si>
    <t>Conector Carga Redmi 9A</t>
  </si>
  <si>
    <t>Conector Carga K12 Max</t>
  </si>
  <si>
    <t>Conector Carga K40s</t>
  </si>
  <si>
    <t>Conector Carga Redmi 9i</t>
  </si>
  <si>
    <t>Conector Carga K50s</t>
  </si>
  <si>
    <t>Conector Carga K51s</t>
  </si>
  <si>
    <t>Conector Carga K9</t>
  </si>
  <si>
    <t>Conector Carga E30</t>
  </si>
  <si>
    <t>Conector Carga E7</t>
  </si>
  <si>
    <t>Conector Carga E7 Power</t>
  </si>
  <si>
    <t>Conector Carga E20</t>
  </si>
  <si>
    <t>Conector Carga E40</t>
  </si>
  <si>
    <t>Conector Carga E32</t>
  </si>
  <si>
    <t>Conector Carga G50 5G</t>
  </si>
  <si>
    <t>Conector Carga A04</t>
  </si>
  <si>
    <t>Conector Carga A20S</t>
  </si>
  <si>
    <t>Conector Carga A22 5G</t>
  </si>
  <si>
    <t>Conector Carga K41s</t>
  </si>
  <si>
    <t>Conector Carga K61</t>
  </si>
  <si>
    <t>Conector Carga G4 Play</t>
  </si>
  <si>
    <t>Conector Carga G8 Power Lite</t>
  </si>
  <si>
    <t>Conector Carga G5</t>
  </si>
  <si>
    <t>Conector Carga E6s</t>
  </si>
  <si>
    <t>Conector Carga E6i</t>
  </si>
  <si>
    <t>Conector Carga E4</t>
  </si>
  <si>
    <t>Conector Carga E4 Plus</t>
  </si>
  <si>
    <t>Conector Carga K8 Plus</t>
  </si>
  <si>
    <t>Conector Carga G4</t>
  </si>
  <si>
    <t>Conector Carga G4 Plus</t>
  </si>
  <si>
    <t>Conector Carga G5 Plus</t>
  </si>
  <si>
    <t>Conector Carga G5s</t>
  </si>
  <si>
    <t>Conector Carga G5s Plus</t>
  </si>
  <si>
    <t>Conector Carga E5</t>
  </si>
  <si>
    <t>Conector Carga G6</t>
  </si>
  <si>
    <t>Conector Carga G6 Play</t>
  </si>
  <si>
    <t>Conector Carga C</t>
  </si>
  <si>
    <t>Conector Carga G6 Plus</t>
  </si>
  <si>
    <t>Conector Carga One</t>
  </si>
  <si>
    <t>Conector Carga G7</t>
  </si>
  <si>
    <t>Conector Carga G7 Power</t>
  </si>
  <si>
    <t>Conector Carga G8 Power</t>
  </si>
  <si>
    <t>Conector Carga G8 Play</t>
  </si>
  <si>
    <t>Conector Carga G9 Power</t>
  </si>
  <si>
    <t>Conector Carga G9 Play</t>
  </si>
  <si>
    <t>Conector Carga G9 Plus</t>
  </si>
  <si>
    <t>Conector Carga G10</t>
  </si>
  <si>
    <t>Conector Carga G20</t>
  </si>
  <si>
    <t>Conector Carga G22</t>
  </si>
  <si>
    <t>Conector Carga G30</t>
  </si>
  <si>
    <t>Conector Carga G32</t>
  </si>
  <si>
    <t>Conector Carga G50</t>
  </si>
  <si>
    <t>Conector Carga G62</t>
  </si>
  <si>
    <t>Conector Carga E13</t>
  </si>
  <si>
    <t>Conector Carga One Fusion Plus</t>
  </si>
  <si>
    <t>Conector Carga G7 Plus</t>
  </si>
  <si>
    <t>Conector Carga G8 Plus</t>
  </si>
  <si>
    <t>Conector Carga G5G</t>
  </si>
  <si>
    <t>Conector Carga G 5G</t>
  </si>
  <si>
    <t>Conector Carga G100</t>
  </si>
  <si>
    <t>Conector Carga G200</t>
  </si>
  <si>
    <t>Conector Carga K62</t>
  </si>
  <si>
    <t>Conector Carga K62 Plus</t>
  </si>
  <si>
    <t>Conector Carga K42</t>
  </si>
  <si>
    <t>Conector Carga K52</t>
  </si>
  <si>
    <t>Conector Carga G7 Play</t>
  </si>
  <si>
    <t>Conector Carga G31</t>
  </si>
  <si>
    <t>Conector Carga G60</t>
  </si>
  <si>
    <t>Conector Carga A03s</t>
  </si>
  <si>
    <t>Conector Carga A02s</t>
  </si>
  <si>
    <t>Conector Carga A11</t>
  </si>
  <si>
    <t>Conector Carga One Fusion</t>
  </si>
  <si>
    <t>Conector Carga Z3 Play</t>
  </si>
  <si>
    <t>Conector Carga iPhone 11</t>
  </si>
  <si>
    <t>Conector Carga iPhone 11 Pro</t>
  </si>
  <si>
    <t>Conector Carga iPhone 11 Pro Max</t>
  </si>
  <si>
    <t>Conector Carga iPhone 12</t>
  </si>
  <si>
    <t>Conector Carga iPhone 12 Pro</t>
  </si>
  <si>
    <t>Conector Carga iPhone 12 Mini</t>
  </si>
  <si>
    <t>Conector Carga iPhone 13</t>
  </si>
  <si>
    <t>Conector Carga iPhone 13 Pro</t>
  </si>
  <si>
    <t>Conector Carga iPhone 13 Pro Max</t>
  </si>
  <si>
    <t>Conector Carga iPhone 14</t>
  </si>
  <si>
    <t>Conector Carga iPhone 14 Pro</t>
  </si>
  <si>
    <t>Conector Carga iPhone 14 Pro Max</t>
  </si>
  <si>
    <t>Conector Carga iPhone 15</t>
  </si>
  <si>
    <t>Conector Carga iPhone 15 Pro</t>
  </si>
  <si>
    <t>Conector Carga iPhone 15 Pro Max</t>
  </si>
  <si>
    <t>Conector Carga iPhone 6</t>
  </si>
  <si>
    <t>Conector Carga iPhone 6 Plus</t>
  </si>
  <si>
    <t>Conector Carga iPhone 6s</t>
  </si>
  <si>
    <t>Conector Carga iPhone 6s Plus</t>
  </si>
  <si>
    <t>Conector Carga iPhone 7</t>
  </si>
  <si>
    <t>Conector Carga iPhone 7 Plus</t>
  </si>
  <si>
    <t>Conector Carga iPhone 8</t>
  </si>
  <si>
    <t>Conector Carga iPhone 8 Plus</t>
  </si>
  <si>
    <t>Conector Carga iPhone X</t>
  </si>
  <si>
    <t>Conector Carga iPhone XR</t>
  </si>
  <si>
    <t>Conector Carga iPhone XS</t>
  </si>
  <si>
    <t>Conector Carga iPhone XS Max</t>
  </si>
  <si>
    <t>Conector Carga J4</t>
  </si>
  <si>
    <t>Conector Carga J400</t>
  </si>
  <si>
    <t>Conector Carga J4 Plus</t>
  </si>
  <si>
    <t>Conector Carga A01 Core</t>
  </si>
  <si>
    <t>Conector Carga A02</t>
  </si>
  <si>
    <t>Conector Carga A10</t>
  </si>
  <si>
    <t>Conector Carga A7 2018</t>
  </si>
  <si>
    <t>Conector Carga A750</t>
  </si>
  <si>
    <t>Conector Carga J1</t>
  </si>
  <si>
    <t>Conector Carga J2</t>
  </si>
  <si>
    <t>Conector Carga J2 Pro</t>
  </si>
  <si>
    <t>Conector Carga J3</t>
  </si>
  <si>
    <t>Conector Carga J4 Core</t>
  </si>
  <si>
    <t>Conector Carga J6</t>
  </si>
  <si>
    <t>Conector Carga J600</t>
  </si>
  <si>
    <t>Conector Carga J6 Plus</t>
  </si>
  <si>
    <t>Conector Carga J5</t>
  </si>
  <si>
    <t>Conector Carga J5 Prime</t>
  </si>
  <si>
    <t>Conector Carga J5 Pro</t>
  </si>
  <si>
    <t>Conector Carga J530</t>
  </si>
  <si>
    <t>Conector Carga J7 Prime</t>
  </si>
  <si>
    <t>Conector Carga J7 Pro</t>
  </si>
  <si>
    <t>Conector Carga J730</t>
  </si>
  <si>
    <t>Conector Carga J8</t>
  </si>
  <si>
    <t>Conector Carga J800</t>
  </si>
  <si>
    <t>Conector Carga M10</t>
  </si>
  <si>
    <t>Conector Carga J7 Metal</t>
  </si>
  <si>
    <t>Conector Carga J710</t>
  </si>
  <si>
    <t>Conector Carga J5 Metal</t>
  </si>
  <si>
    <t>Conector Carga J510</t>
  </si>
  <si>
    <t>Conector Carga J2 Prime</t>
  </si>
  <si>
    <t>Conector Carga J7</t>
  </si>
  <si>
    <t>Conector Carga Gran Prime</t>
  </si>
  <si>
    <t>Conector Carga G531</t>
  </si>
  <si>
    <t>Conector Carga G530</t>
  </si>
  <si>
    <t>Flex Carga 11</t>
  </si>
  <si>
    <t>Flex Carga 11 Pro</t>
  </si>
  <si>
    <t>Flex Carga 11 Pro Max</t>
  </si>
  <si>
    <t>Flex Carga 12</t>
  </si>
  <si>
    <t>Flex Carga 12 Pro</t>
  </si>
  <si>
    <t>Flex Carga 12 Mini</t>
  </si>
  <si>
    <t>Flex Carga 13</t>
  </si>
  <si>
    <t>Flex Carga 13 Pro</t>
  </si>
  <si>
    <t>Flex Carga 13 Pro Max</t>
  </si>
  <si>
    <t>Flex Carga 14</t>
  </si>
  <si>
    <t>Flex Carga 14 Pro</t>
  </si>
  <si>
    <t>Flex Carga 14 Pro Max</t>
  </si>
  <si>
    <t>Flex Carga 15</t>
  </si>
  <si>
    <t>Flex Carga 15 Pro</t>
  </si>
  <si>
    <t>Flex Carga 15 Pro Max</t>
  </si>
  <si>
    <t>Flex Carga 6</t>
  </si>
  <si>
    <t>Flex Carga 6 Plus</t>
  </si>
  <si>
    <t>Flex Carga 6s</t>
  </si>
  <si>
    <t>Flex Carga 6s Plus</t>
  </si>
  <si>
    <t>Flex Carga 7</t>
  </si>
  <si>
    <t>Flex Carga 7 Plus</t>
  </si>
  <si>
    <t>Flex Carga 8</t>
  </si>
  <si>
    <t>Flex Carga 8 Plus</t>
  </si>
  <si>
    <t>Flex Carga X</t>
  </si>
  <si>
    <t>Flex Carga XR</t>
  </si>
  <si>
    <t>Flex Carga XS</t>
  </si>
  <si>
    <t>Flex Carga XS Max</t>
  </si>
  <si>
    <t>Flex Carga K22/K22 Plus</t>
  </si>
  <si>
    <t>Flex Carga K40s</t>
  </si>
  <si>
    <t>Flex Carga K41s</t>
  </si>
  <si>
    <t>Flex Carga K42</t>
  </si>
  <si>
    <t>Flex Carga K52</t>
  </si>
  <si>
    <t>Flex Carga K62</t>
  </si>
  <si>
    <t>Flex Carga K62 Plus</t>
  </si>
  <si>
    <t>Flex Carga K50s</t>
  </si>
  <si>
    <t>Flex Carga K51</t>
  </si>
  <si>
    <t>Flex Carga K51s</t>
  </si>
  <si>
    <t>Flex Carga K61</t>
  </si>
  <si>
    <t>Flex Carga K8 Plus</t>
  </si>
  <si>
    <t>Flex Carga E13</t>
  </si>
  <si>
    <t>Flex Carga E20</t>
  </si>
  <si>
    <t>Flex Carga E22</t>
  </si>
  <si>
    <t>Flex Carga E32</t>
  </si>
  <si>
    <t>Flex Carga E4 Plus</t>
  </si>
  <si>
    <t>Flex Carga E40</t>
  </si>
  <si>
    <t>Flex Carga E30</t>
  </si>
  <si>
    <t>Flex Carga E5 Play</t>
  </si>
  <si>
    <t>Flex Carga E6 Play</t>
  </si>
  <si>
    <t>Flex Carga E6 Plus</t>
  </si>
  <si>
    <t>Flex Carga E6s</t>
  </si>
  <si>
    <t>Flex Carga E6i</t>
  </si>
  <si>
    <t>Flex Carga E7</t>
  </si>
  <si>
    <t>Flex Carga E7 Plus</t>
  </si>
  <si>
    <t>Flex Carga E7 Power</t>
  </si>
  <si>
    <t>Flex Carga Edge 20</t>
  </si>
  <si>
    <t>Flex Carga G04</t>
  </si>
  <si>
    <t>Flex Carga G04s</t>
  </si>
  <si>
    <t>Flex Carga G10/G20</t>
  </si>
  <si>
    <t>Flex Carga G14</t>
  </si>
  <si>
    <t>Flex Carga G200</t>
  </si>
  <si>
    <t>Flex Carga G22</t>
  </si>
  <si>
    <t>Flex Carga G24</t>
  </si>
  <si>
    <t>Flex Carga G30</t>
  </si>
  <si>
    <t>Flex Carga G31</t>
  </si>
  <si>
    <t>Flex Carga G32</t>
  </si>
  <si>
    <t>Flex Carga G41</t>
  </si>
  <si>
    <t>Flex Carga G5</t>
  </si>
  <si>
    <t>Flex Carga G50 4G</t>
  </si>
  <si>
    <t>Flex Carga G50 5G</t>
  </si>
  <si>
    <t>Flex Carga G51</t>
  </si>
  <si>
    <t>Flex Carga G52</t>
  </si>
  <si>
    <t>Flex Carga G54</t>
  </si>
  <si>
    <t>Flex Carga G6 Play</t>
  </si>
  <si>
    <t>Flex Carga E5</t>
  </si>
  <si>
    <t>Flex Carga G60</t>
  </si>
  <si>
    <t>Flex Carga G60s</t>
  </si>
  <si>
    <t>Flex Carga G62</t>
  </si>
  <si>
    <t>Flex Carga G7 Play</t>
  </si>
  <si>
    <t>Flex Carga G7 Power</t>
  </si>
  <si>
    <t>Flex Carga G71</t>
  </si>
  <si>
    <t>Flex Carga G72</t>
  </si>
  <si>
    <t>Flex Carga G8</t>
  </si>
  <si>
    <t>Flex Carga G8 Play (F)</t>
  </si>
  <si>
    <t>Flex Carga G8 Play (M)</t>
  </si>
  <si>
    <t>Flex Carga One Macro</t>
  </si>
  <si>
    <t>Flex Carga G8 Plus (F)</t>
  </si>
  <si>
    <t>Flex Carga G8 Plus (M)</t>
  </si>
  <si>
    <t>Flex Carga G8 Power</t>
  </si>
  <si>
    <t>Flex Carga G8 Power Lite</t>
  </si>
  <si>
    <t>Flex Carga G9 Play</t>
  </si>
  <si>
    <t>Flex Carga G9 Plus</t>
  </si>
  <si>
    <t>Flex Carga G9 Power</t>
  </si>
  <si>
    <t>Flex Carga One</t>
  </si>
  <si>
    <t>Flex Carga One Fusion</t>
  </si>
  <si>
    <t>Flex Carga One Fusion Plus</t>
  </si>
  <si>
    <t>Flex Carga One Hyper</t>
  </si>
  <si>
    <t>Flex Carga One Power</t>
  </si>
  <si>
    <t>Flex Carga One Vision</t>
  </si>
  <si>
    <t>Flex Carga One Action</t>
  </si>
  <si>
    <t>Flex Carga Poco C3</t>
  </si>
  <si>
    <t>Flex Carga Redmi Note 10 4G</t>
  </si>
  <si>
    <t>Flex Carga Redmi Note 10s 4G</t>
  </si>
  <si>
    <t>Flex Carga Poco M4</t>
  </si>
  <si>
    <t>Flex Carga Poco M4 Pro 4G</t>
  </si>
  <si>
    <t>Flex Carga Poco M4 Pro 5G</t>
  </si>
  <si>
    <t>Flex Carga Poco M3 Pro</t>
  </si>
  <si>
    <t>Flex Carga Redmi Note 10 5G</t>
  </si>
  <si>
    <t>Flex Carga Redmi Note 10T</t>
  </si>
  <si>
    <t>Flex Carga Redmi Note 11E</t>
  </si>
  <si>
    <t>Flex Carga Poco X3</t>
  </si>
  <si>
    <t>Flex Carga Poco X3 Pro</t>
  </si>
  <si>
    <t>Flex Carga Poco X3 NFC</t>
  </si>
  <si>
    <t>Flex Carga Poco X4 Pro 4G</t>
  </si>
  <si>
    <t>Flex Carga Poco X4 Pro 5G</t>
  </si>
  <si>
    <t>Flex Carga Redmi Note 11 Pro 4G</t>
  </si>
  <si>
    <t>Flex Carga Redmi Note 11 Pro 5G</t>
  </si>
  <si>
    <t>Flex Carga Poco X6</t>
  </si>
  <si>
    <t>Flex Carga Redmi 10</t>
  </si>
  <si>
    <t>Flex Carga Redmi 10 Prime</t>
  </si>
  <si>
    <t>Flex Carga Redmi 12</t>
  </si>
  <si>
    <t>Flex Carga Redmi 12C</t>
  </si>
  <si>
    <t>Flex Carga Redmi 13C</t>
  </si>
  <si>
    <t>Flex Carga Redmi 9</t>
  </si>
  <si>
    <t>Flex Carga Redmi A3</t>
  </si>
  <si>
    <t>Flex Carga Redmi Note 7</t>
  </si>
  <si>
    <t>Flex Carga Redmi Note 7 Pro</t>
  </si>
  <si>
    <t>Flex Carga Redmi Note 8</t>
  </si>
  <si>
    <t>Flex Carga Redmi Note 8 Pro</t>
  </si>
  <si>
    <t>Flex Carga Redmi Note 9</t>
  </si>
  <si>
    <t>Flex Carga Redmi S2</t>
  </si>
  <si>
    <t>Flex Carga A01</t>
  </si>
  <si>
    <t>Flex Carga A01 Core</t>
  </si>
  <si>
    <t>Flex Carga A02</t>
  </si>
  <si>
    <t>Flex Carga A02s</t>
  </si>
  <si>
    <t>Flex Carga A03</t>
  </si>
  <si>
    <t>Flex Carga A03s</t>
  </si>
  <si>
    <t>Flex Carga A03 Core</t>
  </si>
  <si>
    <t>Flex Carga A04</t>
  </si>
  <si>
    <t>Flex Carga A04e</t>
  </si>
  <si>
    <t>Flex Carga A05</t>
  </si>
  <si>
    <t>Flex Carga A10</t>
  </si>
  <si>
    <t>Flex Carga M12</t>
  </si>
  <si>
    <t>Flex Carga A10s (M12)</t>
  </si>
  <si>
    <t>Flex Carga A10s (M15)</t>
  </si>
  <si>
    <t>Flex Carga A10s versao M12</t>
  </si>
  <si>
    <t>Flex Carga A10s versao M15</t>
  </si>
  <si>
    <t>Flex Carga A10s (M16)</t>
  </si>
  <si>
    <t>Flex Carga A10s versao M16</t>
  </si>
  <si>
    <t>Flex Carga A11</t>
  </si>
  <si>
    <t>Flex Carga A12</t>
  </si>
  <si>
    <t>Flex Carga A13 4G</t>
  </si>
  <si>
    <t>Flex Carga A13 5G</t>
  </si>
  <si>
    <t>Flex Carga A14 4G</t>
  </si>
  <si>
    <t>Flex Carga A14 5G (M12)</t>
  </si>
  <si>
    <t>Flex Carga A14 5G versao M12</t>
  </si>
  <si>
    <t>Flex Carga A14 5G (M14)</t>
  </si>
  <si>
    <t>Flex Carga A14 5G versao M14</t>
  </si>
  <si>
    <t>Flex Carga A15</t>
  </si>
  <si>
    <t>Flex Carga A20</t>
  </si>
  <si>
    <t>Flex Carga A20s (M12)</t>
  </si>
  <si>
    <t>Flex Carga A20s versao M12</t>
  </si>
  <si>
    <t>Flex Carga A20s (M14)</t>
  </si>
  <si>
    <t>Flex Carga A20s versao M14</t>
  </si>
  <si>
    <t>Flex Carga A20s (M15)</t>
  </si>
  <si>
    <t>Flex Carga A20s versao M15</t>
  </si>
  <si>
    <t>Flex Carga A21s</t>
  </si>
  <si>
    <t>Flex Carga A22 4G</t>
  </si>
  <si>
    <t>Flex Carga A22 5G</t>
  </si>
  <si>
    <t>Flex Carga A23 4G</t>
  </si>
  <si>
    <t>Flex Carga A23 5G</t>
  </si>
  <si>
    <t>Flex Carga A30</t>
  </si>
  <si>
    <t>Flex Carga A30s</t>
  </si>
  <si>
    <t>Flex Carga A31</t>
  </si>
  <si>
    <t>Flex Carga A32 4G</t>
  </si>
  <si>
    <t>Flex Carga A32 5G</t>
  </si>
  <si>
    <t>Flex Carga A33</t>
  </si>
  <si>
    <t>Flex Carga A50</t>
  </si>
  <si>
    <t>Flex Carga A51</t>
  </si>
  <si>
    <t>Flex Carga A52 4G</t>
  </si>
  <si>
    <t>Flex Carga A52 5G</t>
  </si>
  <si>
    <t>Flex Carga A52s</t>
  </si>
  <si>
    <t>Flex Carga A53</t>
  </si>
  <si>
    <t>Flex Carga A54</t>
  </si>
  <si>
    <t>Flex Carga A70</t>
  </si>
  <si>
    <t>Flex Carga A71</t>
  </si>
  <si>
    <t>Flex Carga A72</t>
  </si>
  <si>
    <t>Flex Carga A73</t>
  </si>
  <si>
    <t>Flex Carga A80</t>
  </si>
  <si>
    <t>Flex Carga A9 2018</t>
  </si>
  <si>
    <t>Flex Carga A920</t>
  </si>
  <si>
    <t>Flex Carga Galaxy S21 FE</t>
  </si>
  <si>
    <t>Flex Carga M13</t>
  </si>
  <si>
    <t>Flex Carga M20</t>
  </si>
  <si>
    <t>Flex Carga M21s</t>
  </si>
  <si>
    <t>Flex Carga M30</t>
  </si>
  <si>
    <t>Flex Carga M30s</t>
  </si>
  <si>
    <t>Flex Carga M31</t>
  </si>
  <si>
    <t>Flex Carga M33</t>
  </si>
  <si>
    <t>Flex Carga M23</t>
  </si>
  <si>
    <t>Flex Carga M51</t>
  </si>
  <si>
    <t>Flex Carga M62</t>
  </si>
  <si>
    <t>Flex Carga M53</t>
  </si>
  <si>
    <t>Flex Carga S10</t>
  </si>
  <si>
    <t>Flex Carga S10 Lite</t>
  </si>
  <si>
    <t>Flex Carga S20 FE</t>
  </si>
  <si>
    <t>Flex Carga iPhone 11</t>
  </si>
  <si>
    <t>Flex Carga iPhone 11 Pro</t>
  </si>
  <si>
    <t>Flex Carga iPhone 11 Pro Max</t>
  </si>
  <si>
    <t>Flex Carga iPhone 12</t>
  </si>
  <si>
    <t>Flex Carga iPhone 12 Pro</t>
  </si>
  <si>
    <t>Flex Carga iPhone 12 Mini</t>
  </si>
  <si>
    <t>Flex Carga iPhone 13</t>
  </si>
  <si>
    <t>Flex Carga iPhone 13 Pro</t>
  </si>
  <si>
    <t>Flex Carga iPhone 13 Pro Max</t>
  </si>
  <si>
    <t>Flex Carga iPhone 14</t>
  </si>
  <si>
    <t>Flex Carga iPhone 14 Pro</t>
  </si>
  <si>
    <t>Flex Carga iPhone 14 Pro Max</t>
  </si>
  <si>
    <t>Flex Carga iPhone 15</t>
  </si>
  <si>
    <t>Flex Carga iPhone 15 Pro</t>
  </si>
  <si>
    <t>Flex Carga iPhone 15 Pro Max</t>
  </si>
  <si>
    <t>Flex Carga iPhone 6</t>
  </si>
  <si>
    <t>Flex Carga iPhone 6 Plus</t>
  </si>
  <si>
    <t>Flex Carga iPhone 6s</t>
  </si>
  <si>
    <t>Flex Carga iPhone 6s Plus</t>
  </si>
  <si>
    <t>Flex Carga iPhone 7</t>
  </si>
  <si>
    <t>Flex Carga iPhone 7 Plus</t>
  </si>
  <si>
    <t>Flex Carga iPhone 8</t>
  </si>
  <si>
    <t>Flex Carga iPhone 8 Plus</t>
  </si>
  <si>
    <t>Flex Carga iPhone X</t>
  </si>
  <si>
    <t>Flex Carga iPhone XR</t>
  </si>
  <si>
    <t>Flex Carga iPhone XS</t>
  </si>
  <si>
    <t>Flex Carga iPhone XS Max</t>
  </si>
  <si>
    <t>Flex Carga LG K22</t>
  </si>
  <si>
    <t>Flex Carga LG K22 Plus</t>
  </si>
  <si>
    <t>Flex Carga LG K40s</t>
  </si>
  <si>
    <t>Flex Carga LG K41s</t>
  </si>
  <si>
    <t>Flex Carga LG K42</t>
  </si>
  <si>
    <t>Flex Carga LG K52</t>
  </si>
  <si>
    <t>Flex Carga LG K62</t>
  </si>
  <si>
    <t>Flex Carga LG K62 Plus</t>
  </si>
  <si>
    <t>Flex Carga LG K50s</t>
  </si>
  <si>
    <t>Flex Carga LG K51</t>
  </si>
  <si>
    <t>Flex Carga LG K51s</t>
  </si>
  <si>
    <t>Flex Carga LG K61</t>
  </si>
  <si>
    <t>Flex Carga LG K8 Plus</t>
  </si>
  <si>
    <t>Flex Carga Moto E13</t>
  </si>
  <si>
    <t>Flex Carga Moto E20</t>
  </si>
  <si>
    <t>Flex Carga Moto E22</t>
  </si>
  <si>
    <t>Flex Carga Moto E32</t>
  </si>
  <si>
    <t>Flex Carga Moto E4 Plus</t>
  </si>
  <si>
    <t>Flex Carga Moto E40</t>
  </si>
  <si>
    <t>Flex Carga Moto E30</t>
  </si>
  <si>
    <t>Flex Carga Moto E5 Play</t>
  </si>
  <si>
    <t>Flex Carga Moto E6 Play</t>
  </si>
  <si>
    <t>Flex Carga Moto E6 Plus</t>
  </si>
  <si>
    <t>Flex Carga Moto E6s</t>
  </si>
  <si>
    <t>Flex Carga Moto E6i</t>
  </si>
  <si>
    <t>Flex Carga Moto E7</t>
  </si>
  <si>
    <t>Flex Carga Moto E7 Plus</t>
  </si>
  <si>
    <t>Flex Carga Moto E7 Power</t>
  </si>
  <si>
    <t>Flex Carga Moto Edge 20</t>
  </si>
  <si>
    <t>Flex Carga Moto G04</t>
  </si>
  <si>
    <t>Flex Carga Moto G04s</t>
  </si>
  <si>
    <t>Flex Carga Moto G10</t>
  </si>
  <si>
    <t>Flex Carga Moto G20</t>
  </si>
  <si>
    <t>Flex Carga Moto G14</t>
  </si>
  <si>
    <t>Flex Carga Moto G200</t>
  </si>
  <si>
    <t>Flex Carga Moto G22</t>
  </si>
  <si>
    <t>Flex Carga Moto G24</t>
  </si>
  <si>
    <t>Flex Carga Moto G30</t>
  </si>
  <si>
    <t>Flex Carga Moto G31</t>
  </si>
  <si>
    <t>Flex Carga Moto G32</t>
  </si>
  <si>
    <t>Flex Carga Moto G41</t>
  </si>
  <si>
    <t>Flex Carga Moto G5</t>
  </si>
  <si>
    <t>Flex Carga Moto G50 4G</t>
  </si>
  <si>
    <t>Flex Carga Moto G50 5G</t>
  </si>
  <si>
    <t>Flex Carga Moto G51</t>
  </si>
  <si>
    <t>Flex Carga Moto G52</t>
  </si>
  <si>
    <t>Flex Carga Moto G54</t>
  </si>
  <si>
    <t>Flex Carga Moto G6 Play</t>
  </si>
  <si>
    <t>Flex Carga Moto E5</t>
  </si>
  <si>
    <t>Flex Carga Moto G60</t>
  </si>
  <si>
    <t>Flex Carga Moto G60s</t>
  </si>
  <si>
    <t>Flex Carga Moto G62</t>
  </si>
  <si>
    <t>Flex Carga Moto G7 Play</t>
  </si>
  <si>
    <t>Flex Carga Moto G7 Power</t>
  </si>
  <si>
    <t>Flex Carga Moto G71</t>
  </si>
  <si>
    <t>Flex Carga Moto G72</t>
  </si>
  <si>
    <t>Flex Carga Moto G8</t>
  </si>
  <si>
    <t>Flex Carga Moto G8 Play (F)</t>
  </si>
  <si>
    <t>Flex Carga Moto G8 Play (M)</t>
  </si>
  <si>
    <t>Flex Carga Moto One Macro</t>
  </si>
  <si>
    <t>Flex Carga Moto G8 Plus (F)</t>
  </si>
  <si>
    <t>Flex Carga Moto G8 Plus (M)</t>
  </si>
  <si>
    <t>Flex Carga Moto G8 Power</t>
  </si>
  <si>
    <t>Flex Carga Moto G8 Power Lite</t>
  </si>
  <si>
    <t>Flex Carga Moto G9 Play</t>
  </si>
  <si>
    <t>Flex Carga Moto G9 Plus</t>
  </si>
  <si>
    <t>Flex Carga Moto G9 Power</t>
  </si>
  <si>
    <t>Flex Carga Moto One</t>
  </si>
  <si>
    <t>Flex Carga Moto One Fusion</t>
  </si>
  <si>
    <t>Flex Carga Moto One Fusion Plus</t>
  </si>
  <si>
    <t>Flex Carga Moto One Hyper</t>
  </si>
  <si>
    <t>Flex Carga Moto One Power</t>
  </si>
  <si>
    <t>Flex Carga Moto One Vision</t>
  </si>
  <si>
    <t>Flex Carga Moto One Action</t>
  </si>
  <si>
    <t>Flex Carga Redmi 9A</t>
  </si>
  <si>
    <t>Flex Carga Redmi 9C</t>
  </si>
  <si>
    <t>Flex Carga Redmi 9i</t>
  </si>
  <si>
    <t>Flex Carga Xiaomi Poco C3</t>
  </si>
  <si>
    <t>Flex Carga Redmi 10A</t>
  </si>
  <si>
    <t>Flex Carga Xiaomi Redmi Note 10 4G</t>
  </si>
  <si>
    <t>Flex Carga Xiaomi Redmi Note 10s 4G</t>
  </si>
  <si>
    <t>Flex Carga Redmi Note 10 Pro</t>
  </si>
  <si>
    <t>Flex Carga Redmi Note 10 Pro Max</t>
  </si>
  <si>
    <t>Flex Carga Redmi Note 11 4G</t>
  </si>
  <si>
    <t>Flex Carga Redmi Note 11s 4G</t>
  </si>
  <si>
    <t>Flex Carga Xiaomi Poco M4</t>
  </si>
  <si>
    <t>Flex Carga Xiaomi Poco M4 Pro 4G</t>
  </si>
  <si>
    <t>Flex Carga Redmi Note 11 5G</t>
  </si>
  <si>
    <t>Flex Carga Redmi Note 11s 5G</t>
  </si>
  <si>
    <t>Flex Carga Xiaomi Poco M4 Pro 5G</t>
  </si>
  <si>
    <t>Flex Carga Redmi Note 12</t>
  </si>
  <si>
    <t>Flex Carga Redmi Note 6 Pro</t>
  </si>
  <si>
    <t>Flex Carga Redmi Note 9 Pro</t>
  </si>
  <si>
    <t>Flex Carga Redmi Note 9s</t>
  </si>
  <si>
    <t>Flex Carga Xiaomi Poco M3 Pro</t>
  </si>
  <si>
    <t>Flex Carga Xiaomi Redmi Note 10 5G</t>
  </si>
  <si>
    <t>Flex Carga Xiaomi Redmi Note 10T</t>
  </si>
  <si>
    <t>Flex Carga Xiaomi Redmi Note 11E</t>
  </si>
  <si>
    <t>Flex Carga Xiaomi Poco X3</t>
  </si>
  <si>
    <t>Flex Carga Xiaomi Poco X3 Pro</t>
  </si>
  <si>
    <t>Flex Carga Xiaom Poco X3 GT</t>
  </si>
  <si>
    <t>Flex Carga Xiaomi Poco X3 NFC</t>
  </si>
  <si>
    <t>Flex Carga Xiaomi Poco X4 Pro 4G</t>
  </si>
  <si>
    <t>Flex Carga Xiaomi Poco X4 Pro 5G</t>
  </si>
  <si>
    <t>Flex Carga Xiaomi Redmi Note 11 Pro 4G</t>
  </si>
  <si>
    <t>Flex Carga Xiaomi Redmi Note 11 Pro 5G</t>
  </si>
  <si>
    <t>Flex Carga Xiaomi Poco X6</t>
  </si>
  <si>
    <t>Flex Carga Xiaomi Redmi 10</t>
  </si>
  <si>
    <t>Flex Carga Xiaomi Redmi 10 Prime</t>
  </si>
  <si>
    <t>Flex Carga Xiaomi Redmi 12</t>
  </si>
  <si>
    <t>Flex Carga Xiaomi Redmi 12C</t>
  </si>
  <si>
    <t>Flex Carga Xiaomi Redmi 13C</t>
  </si>
  <si>
    <t>Flex Carga Xiaomi Redmi 9</t>
  </si>
  <si>
    <t>Flex Carga Xiaomi Redmi A3</t>
  </si>
  <si>
    <t>Flex Carga Xiaomi Redmi Note 7</t>
  </si>
  <si>
    <t>Flex Carga Xiaomi Redmi Note 7 Pro</t>
  </si>
  <si>
    <t>Flex Carga Xiaomi Redmi Note 8</t>
  </si>
  <si>
    <t>Flex Carga Xiaomi Redmi Note 8 Pro</t>
  </si>
  <si>
    <t>Flex Carga Xiaomi Redmi Note 9</t>
  </si>
  <si>
    <t>Flex Carga Xiaomi Redmi S2</t>
  </si>
  <si>
    <t>Flex Carga SAM A01</t>
  </si>
  <si>
    <t>Flex Carga SAM A01 Core</t>
  </si>
  <si>
    <t>Flex Carga SAM A02</t>
  </si>
  <si>
    <t>Flex Carga SAM A02s</t>
  </si>
  <si>
    <t>Flex Carga SAM A03</t>
  </si>
  <si>
    <t>Flex Carga SAM A03s</t>
  </si>
  <si>
    <t>Flex Carga SAM A03 Core</t>
  </si>
  <si>
    <t>Flex Carga SAM A04</t>
  </si>
  <si>
    <t>Flex Carga SAM A04e</t>
  </si>
  <si>
    <t>Flex Carga SAM A05</t>
  </si>
  <si>
    <t>Flex Carga SAM A10</t>
  </si>
  <si>
    <t>Flex Carga SAM M12</t>
  </si>
  <si>
    <t>Flex Carga SAM A10s (M12)</t>
  </si>
  <si>
    <t>Flex Carga SAM A10s (M15)</t>
  </si>
  <si>
    <t>Flex Carga SAM A10s versao M12</t>
  </si>
  <si>
    <t>Flex Carga SAM A10s versao M15</t>
  </si>
  <si>
    <t>Flex Carga SAM A10s (M16)</t>
  </si>
  <si>
    <t>Flex Carga SAM A10s versao M16</t>
  </si>
  <si>
    <t>Flex Carga SAM A11</t>
  </si>
  <si>
    <t>Flex Carga SAM A12</t>
  </si>
  <si>
    <t>Flex Carga SAM A13 4G</t>
  </si>
  <si>
    <t>Flex Carga SAM A13 5G</t>
  </si>
  <si>
    <t>Flex Carga SAM A14 4G</t>
  </si>
  <si>
    <t>Flex Carga SAM A14 5G (M12)</t>
  </si>
  <si>
    <t>Flex Carga SAM A14 5G versao M12</t>
  </si>
  <si>
    <t>Flex Carga SAM A14 5G (M14)</t>
  </si>
  <si>
    <t>Flex Carga SAM A14 5G versao M14</t>
  </si>
  <si>
    <t>Flex Carga SAM A15</t>
  </si>
  <si>
    <t>Flex Carga SAM A20</t>
  </si>
  <si>
    <t>Flex Carga SAM A20s (M12)</t>
  </si>
  <si>
    <t>Flex Carga SAM A20s versao M12</t>
  </si>
  <si>
    <t>Flex Carga SAM A20s (M14)</t>
  </si>
  <si>
    <t>Flex Carga SAM A20s versao M14</t>
  </si>
  <si>
    <t>Flex Carga SAM A20s (M15)</t>
  </si>
  <si>
    <t>Flex Carga SAM A20s versao M15</t>
  </si>
  <si>
    <t>Flex Carga SAM A21s</t>
  </si>
  <si>
    <t>Flex Carga SAM A22 4G</t>
  </si>
  <si>
    <t>Flex Carga SAM A22 5G</t>
  </si>
  <si>
    <t>Flex Carga SAM A23 4G</t>
  </si>
  <si>
    <t>Flex Carga SAM A23 5G</t>
  </si>
  <si>
    <t>Flex Carga SAM A30</t>
  </si>
  <si>
    <t>Flex Carga SAM A30s</t>
  </si>
  <si>
    <t>Flex Carga SAM A31</t>
  </si>
  <si>
    <t>Flex Carga SAM A32 4G</t>
  </si>
  <si>
    <t>Flex Carga SAM A32 5G</t>
  </si>
  <si>
    <t>Flex Carga SAM A33</t>
  </si>
  <si>
    <t>Flex Carga SAM A50</t>
  </si>
  <si>
    <t>Flex Carga SAM A51</t>
  </si>
  <si>
    <t>Flex Carga SAM A52 4G</t>
  </si>
  <si>
    <t>Flex Carga SAM A52 5G</t>
  </si>
  <si>
    <t>Flex Carga SAM A52s</t>
  </si>
  <si>
    <t>Flex Carga SAM A53</t>
  </si>
  <si>
    <t>Flex Carga SAM A54</t>
  </si>
  <si>
    <t>Flex Carga SAM A70</t>
  </si>
  <si>
    <t>Flex Carga SAM A71</t>
  </si>
  <si>
    <t>Flex Carga SAM A72</t>
  </si>
  <si>
    <t>Flex Carga SAM A73</t>
  </si>
  <si>
    <t>Flex Carga SAM A80</t>
  </si>
  <si>
    <t>Flex Carga SAM A9 2018</t>
  </si>
  <si>
    <t>Flex Carga SAM A920</t>
  </si>
  <si>
    <t>Flex Carga SAM Galaxy S21 FE</t>
  </si>
  <si>
    <t>Flex Carga SAM M13</t>
  </si>
  <si>
    <t>Flex Carga SAM M20</t>
  </si>
  <si>
    <t>Flex Carga SAM M21s</t>
  </si>
  <si>
    <t>Flex Carga SAM M30</t>
  </si>
  <si>
    <t>Flex Carga SAM M30s</t>
  </si>
  <si>
    <t>Flex Carga SAM M31</t>
  </si>
  <si>
    <t>Flex Carga SAM M33</t>
  </si>
  <si>
    <t>Flex Carga SAM M23</t>
  </si>
  <si>
    <t>Flex Carga SAM M51</t>
  </si>
  <si>
    <t>Flex Carga SAM M62</t>
  </si>
  <si>
    <t>Flex Carga SAM M53</t>
  </si>
  <si>
    <t>Flex Carga SAM S10</t>
  </si>
  <si>
    <t>Flex Carga SAM S10 Lite</t>
  </si>
  <si>
    <t>Flex Carga SAM S20 FE</t>
  </si>
  <si>
    <t>Gaveta Chip iPhone 12</t>
  </si>
  <si>
    <t>Gaveta Chip K11</t>
  </si>
  <si>
    <t>Gaveta Chip K12</t>
  </si>
  <si>
    <t>Gaveta Chip K12 Prime</t>
  </si>
  <si>
    <t>Gaveta Chip K22</t>
  </si>
  <si>
    <t>Gaveta Chip K22 Plus</t>
  </si>
  <si>
    <t>Gaveta Chip K40s</t>
  </si>
  <si>
    <t>Gaveta Chip K41s</t>
  </si>
  <si>
    <t>Gaveta Chip K42</t>
  </si>
  <si>
    <t>Gaveta Chip K52</t>
  </si>
  <si>
    <t>Gaveta Chip K51s</t>
  </si>
  <si>
    <t>Gaveta Chip K8 Plus</t>
  </si>
  <si>
    <t>Gaveta Chip E20</t>
  </si>
  <si>
    <t>Gaveta Chip E40</t>
  </si>
  <si>
    <t>Gaveta Chip E5</t>
  </si>
  <si>
    <t>Gaveta Chip E5 Play</t>
  </si>
  <si>
    <t>Gaveta Chip E6 Play</t>
  </si>
  <si>
    <t>Gaveta Chip E6i</t>
  </si>
  <si>
    <t>Gaveta Chip E7</t>
  </si>
  <si>
    <t>Gaveta Chip E7 Plus</t>
  </si>
  <si>
    <t>Gaveta Chip E7 Power</t>
  </si>
  <si>
    <t>Gaveta Chip G10</t>
  </si>
  <si>
    <t>Gaveta Chip G20</t>
  </si>
  <si>
    <t>Gaveta Chip G30</t>
  </si>
  <si>
    <t>Gaveta Chip G22</t>
  </si>
  <si>
    <t>Gaveta Chip E32</t>
  </si>
  <si>
    <t>Gaveta Chip G23</t>
  </si>
  <si>
    <t>Gaveta Chip G31</t>
  </si>
  <si>
    <t>Gaveta Chip G32</t>
  </si>
  <si>
    <t>Gaveta Chip G5</t>
  </si>
  <si>
    <t>Gaveta Chip G5 Plus</t>
  </si>
  <si>
    <t>Gaveta Chip G50 5G</t>
  </si>
  <si>
    <t>Gaveta Chip G52</t>
  </si>
  <si>
    <t>Gaveta Chip G5G</t>
  </si>
  <si>
    <t>Gaveta Chip G5G Plus</t>
  </si>
  <si>
    <t>Gaveta Chip G6</t>
  </si>
  <si>
    <t>Gaveta Chip G60</t>
  </si>
  <si>
    <t>Gaveta Chip G60s</t>
  </si>
  <si>
    <t>Gaveta Chip G62</t>
  </si>
  <si>
    <t>Gaveta Chip G7</t>
  </si>
  <si>
    <t>Gaveta Chip G7 Play</t>
  </si>
  <si>
    <t>Gaveta Chip G7 Plus</t>
  </si>
  <si>
    <t>Gaveta Chip G7 Power</t>
  </si>
  <si>
    <t>Gaveta Chip G71</t>
  </si>
  <si>
    <t>Gaveta Chip G8</t>
  </si>
  <si>
    <t>Gaveta Chip G8 Play</t>
  </si>
  <si>
    <t>Gaveta Chip One Macro</t>
  </si>
  <si>
    <t>Gaveta Chip G8 Power</t>
  </si>
  <si>
    <t>Gaveta Chip G8 Power Lite</t>
  </si>
  <si>
    <t>Gaveta Chip E6s</t>
  </si>
  <si>
    <t>Gaveta Chip G8 Plus</t>
  </si>
  <si>
    <t>Gaveta Chip G82</t>
  </si>
  <si>
    <t>Gaveta Chip G9 Play</t>
  </si>
  <si>
    <t>Gaveta Chip G9 Plus</t>
  </si>
  <si>
    <t>Gaveta Chip G9 Power</t>
  </si>
  <si>
    <t>Gaveta Chip G6 Play</t>
  </si>
  <si>
    <t>Gaveta Chip One</t>
  </si>
  <si>
    <t>Gaveta Chip One Action</t>
  </si>
  <si>
    <t>Gaveta Chip One Vision</t>
  </si>
  <si>
    <t>Gaveta Chip One Fusion</t>
  </si>
  <si>
    <t>Gaveta Chip One Fusion Plus</t>
  </si>
  <si>
    <t>Gaveta Chip One Hyper</t>
  </si>
  <si>
    <t>Gaveta Chip One Zoom</t>
  </si>
  <si>
    <t>Gaveta Chip Redmi 7</t>
  </si>
  <si>
    <t>Gaveta Chip Redmi Note 12 Pro</t>
  </si>
  <si>
    <t>Gaveta Chip Redmi Note 7</t>
  </si>
  <si>
    <t>Gaveta Chip Redmi Note 9</t>
  </si>
  <si>
    <t>Gaveta Chip A01</t>
  </si>
  <si>
    <t>Gaveta Chip A01 Core</t>
  </si>
  <si>
    <t>Gaveta Chip A02</t>
  </si>
  <si>
    <t>Gaveta Chip A12</t>
  </si>
  <si>
    <t>Gaveta Chip M12</t>
  </si>
  <si>
    <t>Gaveta Chip A02s</t>
  </si>
  <si>
    <t>Gaveta Chip A03s</t>
  </si>
  <si>
    <t>Gaveta Chip A03 Core</t>
  </si>
  <si>
    <t>Gaveta Chip A04E</t>
  </si>
  <si>
    <t>Gaveta Chip A10</t>
  </si>
  <si>
    <t>Gaveta Chip A20</t>
  </si>
  <si>
    <t>Gaveta Chip A30</t>
  </si>
  <si>
    <t>Gaveta Chip A50</t>
  </si>
  <si>
    <t>Gaveta Chip A10s</t>
  </si>
  <si>
    <t>Gaveta Chip A11</t>
  </si>
  <si>
    <t>Gaveta Chip A13 4G</t>
  </si>
  <si>
    <t>Gaveta Chip LG K11</t>
  </si>
  <si>
    <t>Gaveta Chip LG K12</t>
  </si>
  <si>
    <t>Gaveta Chip LG K12 Prime</t>
  </si>
  <si>
    <t>Gaveta Chip LG K22</t>
  </si>
  <si>
    <t>Gaveta Chip LG K22 Plus</t>
  </si>
  <si>
    <t>Gaveta Chip LG K40s</t>
  </si>
  <si>
    <t>Gaveta Chip LG K41s</t>
  </si>
  <si>
    <t>Gaveta Chip LG K42</t>
  </si>
  <si>
    <t>Gaveta Chip LG K52</t>
  </si>
  <si>
    <t>Gaveta Chip LG K51s</t>
  </si>
  <si>
    <t>Gaveta Chip LG K8 Plus</t>
  </si>
  <si>
    <t>Gaveta Chip Moto E20</t>
  </si>
  <si>
    <t>Gaveta Chip Moto E40</t>
  </si>
  <si>
    <t>Gaveta Chip Moto E5</t>
  </si>
  <si>
    <t>Gaveta Chip Moto E5 Play</t>
  </si>
  <si>
    <t>Gaveta Chip Moto E6 Play</t>
  </si>
  <si>
    <t>Gaveta Chip Moto E6i</t>
  </si>
  <si>
    <t>Gaveta Chip Moto E7</t>
  </si>
  <si>
    <t>Gaveta Chip Moto E7 Plus</t>
  </si>
  <si>
    <t>Gaveta Chip Moto E7 Power</t>
  </si>
  <si>
    <t>Gaveta Chip Moto G10</t>
  </si>
  <si>
    <t>Gaveta Chip Moto G20</t>
  </si>
  <si>
    <t>Gaveta Chip Moto G30</t>
  </si>
  <si>
    <t>Gaveta Chip Moto G22</t>
  </si>
  <si>
    <t>Gaveta Chip Moto E32</t>
  </si>
  <si>
    <t>Gaveta Chip Moto G23</t>
  </si>
  <si>
    <t>Gaveta Chip Moto G31</t>
  </si>
  <si>
    <t>Gaveta Chip Moto G32</t>
  </si>
  <si>
    <t>Gaveta Chip Moto G5</t>
  </si>
  <si>
    <t>Gaveta Chip Moto G5 Plus</t>
  </si>
  <si>
    <t>Gaveta Chip Moto G50 5G</t>
  </si>
  <si>
    <t>Gaveta Chip Moto G52</t>
  </si>
  <si>
    <t>Gaveta Chip Moto G5G</t>
  </si>
  <si>
    <t>Gaveta Chip Moto G5G Plus</t>
  </si>
  <si>
    <t>Gaveta Chip Moto G6</t>
  </si>
  <si>
    <t>Gaveta Chip Moto G60</t>
  </si>
  <si>
    <t>Gaveta Chip Moto G60s</t>
  </si>
  <si>
    <t>Gaveta Chip Moto G62</t>
  </si>
  <si>
    <t>Gaveta Chip Moto G7</t>
  </si>
  <si>
    <t>Gaveta Chip Moto G7 Play</t>
  </si>
  <si>
    <t>Gaveta Chip Moto G7 Plus</t>
  </si>
  <si>
    <t>Gaveta Chip Moto G7 Power</t>
  </si>
  <si>
    <t>Gaveta Chip Moto G71</t>
  </si>
  <si>
    <t>Gaveta Chip Moto G8</t>
  </si>
  <si>
    <t>Gaveta Chip Moto G8 Play</t>
  </si>
  <si>
    <t>Gaveta Chip Moto One Macro</t>
  </si>
  <si>
    <t>Gaveta Chip Moto G8 Power</t>
  </si>
  <si>
    <t>Gaveta Chip Moto G8 Power Lite</t>
  </si>
  <si>
    <t>Gaveta Chip Moto E6s</t>
  </si>
  <si>
    <t>Gaveta Chip Moto G8 Plus</t>
  </si>
  <si>
    <t>Gaveta Chip Moto G82</t>
  </si>
  <si>
    <t>Gaveta Chip Moto G9 Play</t>
  </si>
  <si>
    <t>Gaveta Chip Moto G9 Plus</t>
  </si>
  <si>
    <t>Gaveta Chip Moto G9 Power</t>
  </si>
  <si>
    <t>Gaveta Chip Moto G6 Play</t>
  </si>
  <si>
    <t>Gaveta Chip Moto One</t>
  </si>
  <si>
    <t>Gaveta Chip Moto One Action</t>
  </si>
  <si>
    <t>Gaveta Chip Moto One Vision</t>
  </si>
  <si>
    <t>Gaveta Chip Moto One Fusion</t>
  </si>
  <si>
    <t>Gaveta Chip Moto One Fusion Plus</t>
  </si>
  <si>
    <t>Gaveta Chip Moto One Hyper</t>
  </si>
  <si>
    <t>Gaveta Chip Moto One Zoom</t>
  </si>
  <si>
    <t>Gaveta Chip SAM A01</t>
  </si>
  <si>
    <t>Gaveta Chip SAM A01 Core</t>
  </si>
  <si>
    <t>Gaveta Chip SAM A02</t>
  </si>
  <si>
    <t>Gaveta Chip SAM A12</t>
  </si>
  <si>
    <t>Gaveta Chip SAM M12</t>
  </si>
  <si>
    <t>Gaveta Chip SAM A02s</t>
  </si>
  <si>
    <t>Gaveta Chip SAM A03s</t>
  </si>
  <si>
    <t>Gaveta Chip SAM A03 Core</t>
  </si>
  <si>
    <t>Gaveta Chip SAM A04E</t>
  </si>
  <si>
    <t>Gaveta Chip SAM A10</t>
  </si>
  <si>
    <t>Gaveta Chip SAM A20</t>
  </si>
  <si>
    <t>Gaveta Chip SAM A30</t>
  </si>
  <si>
    <t>Gaveta Chip SAM A50</t>
  </si>
  <si>
    <t>Gaveta Chip SAM A10s</t>
  </si>
  <si>
    <t>Gaveta Chip SAM A11</t>
  </si>
  <si>
    <t>Gaveta Chip SAM A13 4G</t>
  </si>
  <si>
    <t>Lente 11 Pro</t>
  </si>
  <si>
    <t>Lente 11 Pro Max</t>
  </si>
  <si>
    <t>Lente 12 Pro</t>
  </si>
  <si>
    <t>Lente 12 Pro Max</t>
  </si>
  <si>
    <t>Lente 12 Mini</t>
  </si>
  <si>
    <t>Lente 13 Pro</t>
  </si>
  <si>
    <t>Lente 13 Pro Max</t>
  </si>
  <si>
    <t>Lente 14 Pro</t>
  </si>
  <si>
    <t>Lente 14 Pro Max</t>
  </si>
  <si>
    <t>Lente 14 Plus</t>
  </si>
  <si>
    <t>Lente 15 Pro</t>
  </si>
  <si>
    <t>Lente 15 Pro Max</t>
  </si>
  <si>
    <t>Lente 6s</t>
  </si>
  <si>
    <t>Lente 6 Plus</t>
  </si>
  <si>
    <t>Lente 6s Plus</t>
  </si>
  <si>
    <t>Lente 7 Plus</t>
  </si>
  <si>
    <t>Lente 8 Plus</t>
  </si>
  <si>
    <t>Lente XS</t>
  </si>
  <si>
    <t>Lente XS Max</t>
  </si>
  <si>
    <t>Lente XR</t>
  </si>
  <si>
    <t>Lente K12 Prime</t>
  </si>
  <si>
    <t>Lente K22</t>
  </si>
  <si>
    <t>Lente K22 Plus</t>
  </si>
  <si>
    <t>Lente K42</t>
  </si>
  <si>
    <t>Lente K52</t>
  </si>
  <si>
    <t>Lente K50s</t>
  </si>
  <si>
    <t>Lente K51s</t>
  </si>
  <si>
    <t>Lente K41s</t>
  </si>
  <si>
    <t>Lente K61</t>
  </si>
  <si>
    <t>Lente K62</t>
  </si>
  <si>
    <t>Lente K62 Plus</t>
  </si>
  <si>
    <t>Lente A01</t>
  </si>
  <si>
    <t>Lente A01 Core</t>
  </si>
  <si>
    <t>Lente A02s</t>
  </si>
  <si>
    <t>Lente A03</t>
  </si>
  <si>
    <t>Lente A03s</t>
  </si>
  <si>
    <t>Lente A04</t>
  </si>
  <si>
    <t>Lente A04S</t>
  </si>
  <si>
    <t>Lente A10</t>
  </si>
  <si>
    <t>Lente A20</t>
  </si>
  <si>
    <t>Lente A30</t>
  </si>
  <si>
    <t>Lente A10s</t>
  </si>
  <si>
    <t>Lente A11</t>
  </si>
  <si>
    <t>Lente A12</t>
  </si>
  <si>
    <t>Lente M12</t>
  </si>
  <si>
    <t>Lente M22</t>
  </si>
  <si>
    <t>Lente M32</t>
  </si>
  <si>
    <t>Lente M62</t>
  </si>
  <si>
    <t>Lente A20s</t>
  </si>
  <si>
    <t>Lente A21s</t>
  </si>
  <si>
    <t>Lente A22 4G</t>
  </si>
  <si>
    <t>Lente A22 5G</t>
  </si>
  <si>
    <t>Lente A30s</t>
  </si>
  <si>
    <t>Lente A31</t>
  </si>
  <si>
    <t>Lente A32 4G</t>
  </si>
  <si>
    <t>Lente A32 5G</t>
  </si>
  <si>
    <t>Lente A50</t>
  </si>
  <si>
    <t>Lente A70</t>
  </si>
  <si>
    <t>Lente A51</t>
  </si>
  <si>
    <t>Lente A52</t>
  </si>
  <si>
    <t>Lente A7 2018</t>
  </si>
  <si>
    <t>Lente A750</t>
  </si>
  <si>
    <t>Lente A71</t>
  </si>
  <si>
    <t>Lente A72</t>
  </si>
  <si>
    <t>Lente A80</t>
  </si>
  <si>
    <t>Lente J2 Core</t>
  </si>
  <si>
    <t>Lente J260</t>
  </si>
  <si>
    <t>Lente J4 Core</t>
  </si>
  <si>
    <t>Lente J6</t>
  </si>
  <si>
    <t>Lente J6 Plus</t>
  </si>
  <si>
    <t>Lente J8</t>
  </si>
  <si>
    <t>Lente J8 Plus</t>
  </si>
  <si>
    <t>Lente M21s</t>
  </si>
  <si>
    <t>Lente Note 20 Ultra</t>
  </si>
  <si>
    <t>Lente Note 20</t>
  </si>
  <si>
    <t>Lente Note 20 Plus</t>
  </si>
  <si>
    <t>Lente S10 Lite</t>
  </si>
  <si>
    <t>Lente S10</t>
  </si>
  <si>
    <t>Lente S10 Plus</t>
  </si>
  <si>
    <t>Lente S20</t>
  </si>
  <si>
    <t>Lente S20 FE</t>
  </si>
  <si>
    <t>Lente S20 Plus</t>
  </si>
  <si>
    <t>Lente S20 Ultra</t>
  </si>
  <si>
    <t>Lente S21</t>
  </si>
  <si>
    <t>Lente S21 Plus</t>
  </si>
  <si>
    <t>Lente S21 Ultra</t>
  </si>
  <si>
    <t>Lente E20</t>
  </si>
  <si>
    <t>Lente E32</t>
  </si>
  <si>
    <t>Lente E6 Play</t>
  </si>
  <si>
    <t>Lente E6 Plus</t>
  </si>
  <si>
    <t>Lente E6s</t>
  </si>
  <si>
    <t>Lente E6i</t>
  </si>
  <si>
    <t>Lente E7</t>
  </si>
  <si>
    <t>Lente E7 Plus</t>
  </si>
  <si>
    <t>Lente E7 Power</t>
  </si>
  <si>
    <t>Lente G100</t>
  </si>
  <si>
    <t>Lente G22</t>
  </si>
  <si>
    <t>Lente G10</t>
  </si>
  <si>
    <t>Lente G20</t>
  </si>
  <si>
    <t>Lente G30</t>
  </si>
  <si>
    <t>Lente G5</t>
  </si>
  <si>
    <t>Lente G50 5G</t>
  </si>
  <si>
    <t>Lente G5s Plus</t>
  </si>
  <si>
    <t>Lente G6</t>
  </si>
  <si>
    <t>Lente G6 Play</t>
  </si>
  <si>
    <t>Lente E5</t>
  </si>
  <si>
    <t>Lente G6 Plus</t>
  </si>
  <si>
    <t>Lente G7</t>
  </si>
  <si>
    <t>Lente G7 Play</t>
  </si>
  <si>
    <t>Lente G7 Plus</t>
  </si>
  <si>
    <t>Lente G8 Play</t>
  </si>
  <si>
    <t>Lente G8 Plus</t>
  </si>
  <si>
    <t>Lente G8 Power</t>
  </si>
  <si>
    <t>Lente G8 Power Lite</t>
  </si>
  <si>
    <t>Lente G9 Play</t>
  </si>
  <si>
    <t>Lente G9 Plus</t>
  </si>
  <si>
    <t>Lente One Action</t>
  </si>
  <si>
    <t>Lente One Fusion</t>
  </si>
  <si>
    <t>Lente One Fusion Plus</t>
  </si>
  <si>
    <t>Lente One Vision</t>
  </si>
  <si>
    <t>Lente Note 10</t>
  </si>
  <si>
    <t>Lente Note 10 Lite</t>
  </si>
  <si>
    <t>Lente 11 Lite</t>
  </si>
  <si>
    <t>Lente Mi 10 Lite</t>
  </si>
  <si>
    <t>Lente Mi 10T Lite</t>
  </si>
  <si>
    <t>Lente Mi 10T</t>
  </si>
  <si>
    <t>Lente Mi 10T Pro</t>
  </si>
  <si>
    <t>Lente Mi 8 Lite</t>
  </si>
  <si>
    <t>Lente Mi A1</t>
  </si>
  <si>
    <t>Lente Note 8 Pro</t>
  </si>
  <si>
    <t>Lente Poco M3 Pro</t>
  </si>
  <si>
    <t>Lente Poco X3</t>
  </si>
  <si>
    <t>Lente Poco X3 Pro</t>
  </si>
  <si>
    <t>Lente Redmi 10C</t>
  </si>
  <si>
    <t>Lente Redmi 9</t>
  </si>
  <si>
    <t>Lente Redmi 9A</t>
  </si>
  <si>
    <t>Lente Redmi 10A</t>
  </si>
  <si>
    <t>Lente Redmi 9C</t>
  </si>
  <si>
    <t>Lente Redmi 9i</t>
  </si>
  <si>
    <t>Lente Redmi 9T</t>
  </si>
  <si>
    <t>Lente Redmi Note 10 4G</t>
  </si>
  <si>
    <t>Lente Redmi Note 10s 4G</t>
  </si>
  <si>
    <t>Lente Redmi Note 6 Pro</t>
  </si>
  <si>
    <t>Lente Redmi Note 7</t>
  </si>
  <si>
    <t>Lente Redmi Note 7 Pro</t>
  </si>
  <si>
    <t>Lente Redmi Note 8</t>
  </si>
  <si>
    <t>Lente Redmi Note 8T</t>
  </si>
  <si>
    <t>Lente Redmi Note 9</t>
  </si>
  <si>
    <t>Lente Redmi Note 9 Pro</t>
  </si>
  <si>
    <t>Lente Redmi Note 9s</t>
  </si>
  <si>
    <t>Lente Redmi Note 9 Pro Max</t>
  </si>
  <si>
    <t>Redmi 9i original sem aro</t>
  </si>
  <si>
    <t>iPhone SE 2020 original</t>
  </si>
  <si>
    <t>iPhone SE original (2020)</t>
  </si>
  <si>
    <t>iPhone 8 VIVID</t>
  </si>
  <si>
    <t>Tampa Moto G5s Plus</t>
  </si>
  <si>
    <t>Tampa Moto G8 Power Lite</t>
  </si>
  <si>
    <t>Tampa Xiaomi Poco X4 Pro 5G</t>
  </si>
  <si>
    <t>Tampa Traseira G8 Power Lite</t>
  </si>
  <si>
    <t>Tampa Traseira Galaxy S8</t>
  </si>
  <si>
    <t>Tampa Traseira Poco X4 Pro 5G</t>
  </si>
  <si>
    <t>Tampa Traseira Moto G5s Plus</t>
  </si>
  <si>
    <t>Tampa Traseira Moto G8 Power Lite</t>
  </si>
  <si>
    <t>Tampa Traseira SAM A73</t>
  </si>
  <si>
    <t>Tampa Traseira SAM Galaxy S8</t>
  </si>
  <si>
    <t>Tampa Traseira Xiaomi Poco X4 Pro 5G</t>
  </si>
  <si>
    <t>Tampa G5s Plus</t>
  </si>
  <si>
    <t>Tampa G8 Power Lite</t>
  </si>
  <si>
    <t>Tampa Galaxy S8</t>
  </si>
  <si>
    <t>Auto Falante Moto G8 Power (Campainha)</t>
  </si>
  <si>
    <t>Auto Falante Moto G9 Play (Campainha)</t>
  </si>
  <si>
    <t>Auto Falante Moto One (Campainha)</t>
  </si>
  <si>
    <t>Auto Falante Moto One Fusion (Campainha)</t>
  </si>
  <si>
    <t>Auto Falante Moto One Fusion Plus (Campainha)</t>
  </si>
  <si>
    <t>Auto Falante Moto Z Play (Campainha)</t>
  </si>
  <si>
    <t>Auto Falante Redmi Note 8 Pro (Campainha)</t>
  </si>
  <si>
    <t>Auto Falante Redmi Note 9s (Campainha)</t>
  </si>
  <si>
    <t>Auto Falante Redmi Note 9 Pro (Campainha)</t>
  </si>
  <si>
    <t>Auto Falante SAM A01 (Campainha)</t>
  </si>
  <si>
    <t>Auto Falante SAM A02s (Campainha)</t>
  </si>
  <si>
    <t>Auto Falante SAM A03 (Campainha)</t>
  </si>
  <si>
    <t>Auto Falante SAM A03s (Campainha)</t>
  </si>
  <si>
    <t>Auto Falante SAM A10s (Campainha)</t>
  </si>
  <si>
    <t>Auto Falante SAM A11 (Campainha)</t>
  </si>
  <si>
    <t>Auto Falante SAM A14 4G (Campainha)</t>
  </si>
  <si>
    <t>Auto Falante SAM A14 5G (Campainha)</t>
  </si>
  <si>
    <t>Auto Falante SAM A20s (Campainha)</t>
  </si>
  <si>
    <t>Auto Falante SAM A21 (Campainha)</t>
  </si>
  <si>
    <t>Auto Falante SAM A51 (Campainha)</t>
  </si>
  <si>
    <t>Auto Falante SAM A53 (Campainha)</t>
  </si>
  <si>
    <t>Auto Falante SAM A54 (Campainha)</t>
  </si>
  <si>
    <t>Auto Falante SAM A70 (Campainha)</t>
  </si>
  <si>
    <t>Auto Falante SAM A71 (Campainha)</t>
  </si>
  <si>
    <t>Auto Falante SAM J5 Prime (Campainha)</t>
  </si>
  <si>
    <t>Auto Falante SAM J7 Prime (Campainha)</t>
  </si>
  <si>
    <t>Auto Falante SAM J5 Pro (Campainha)</t>
  </si>
  <si>
    <t>Auto Falante SAM J530 (Campainha)</t>
  </si>
  <si>
    <t>Auto Falante SAM J6 (Campainha)</t>
  </si>
  <si>
    <t>Auto Falante SAM J600 (Campainha)</t>
  </si>
  <si>
    <t>Auto Falante SAM J8 (Campainha)</t>
  </si>
  <si>
    <t>Auto Falante SAM J7 Pro (Campainha)</t>
  </si>
  <si>
    <t>Auto Falante SAM J730 (Campainha)</t>
  </si>
  <si>
    <t>Auto Falante SAM J5 (Campainha)</t>
  </si>
  <si>
    <t>Auto Falante SAM J500 (Campainha)</t>
  </si>
  <si>
    <t>Auto Falante SAM J7 (Campainha)</t>
  </si>
  <si>
    <t>Auto Falante SAM J700 (Campainha)</t>
  </si>
  <si>
    <t>Auto Falante Xiaomi Mi 8 Lite (Campainha)</t>
  </si>
  <si>
    <t>Auto Falante Xiaomi Redmi 10 (Campainha)</t>
  </si>
  <si>
    <t>Auto Falante Xiaomi Redmi 8 (Campainha)</t>
  </si>
  <si>
    <t>Auto Falante Xiaomi Redmi 8A (Campainha)</t>
  </si>
  <si>
    <t>Auto Falante Xiaomi Redmi 9 (Campainha)</t>
  </si>
  <si>
    <t>Auto Falante Xiaomi Redmi 9A (Campainha)</t>
  </si>
  <si>
    <t>Auto Falante Xiaomi Redmi 9C (Campainha)</t>
  </si>
  <si>
    <t>Auto Falante Xiaomi Redmi Note 10 4G (Campainha)</t>
  </si>
  <si>
    <t>Auto Falante Xiaomi Redmi Note 10s 4G (Campainha)</t>
  </si>
  <si>
    <t>Auto Falante Xiaomi Poco M5s (Campainha)</t>
  </si>
  <si>
    <t>Auto Falante Xiaomi Redmi Note 7 (Campainha)</t>
  </si>
  <si>
    <t>Auto Falante Xiaomi Redmi Note 8 (Campainha)</t>
  </si>
  <si>
    <t>Auto Falante Xiaomi Redmi Note 9 (Campainha)</t>
  </si>
  <si>
    <t>Auto Falante G9 Play (Campainha)</t>
  </si>
  <si>
    <t>Auto Falante G8 Power (Campainha)</t>
  </si>
  <si>
    <t>Auto Falante One (Campainha)</t>
  </si>
  <si>
    <t>Auto Falante One Fusion (Campainha)</t>
  </si>
  <si>
    <t>Auto Falante One Fusion Plus (Campainha)</t>
  </si>
  <si>
    <t>Auto Falante Z Play (Campainha)</t>
  </si>
  <si>
    <t>Auto Falante A01 (Campainha)</t>
  </si>
  <si>
    <t>Auto Falante A02s (Campainha)</t>
  </si>
  <si>
    <t>Auto Falante A03 (Campainha)</t>
  </si>
  <si>
    <t>Auto Falante A03s (Campainha)</t>
  </si>
  <si>
    <t>Auto Falante A10s (Campainha)</t>
  </si>
  <si>
    <t>Auto Falante A11 (Campainha)</t>
  </si>
  <si>
    <t>Auto Falante A14 4G (Campainha)</t>
  </si>
  <si>
    <t>Auto Falante A14 5G (Campainha)</t>
  </si>
  <si>
    <t>Auto Falante A20s (Campainha)</t>
  </si>
  <si>
    <t>Auto Falante A21 (Campainha)</t>
  </si>
  <si>
    <t>Auto Falante A51 (Campainha)</t>
  </si>
  <si>
    <t>Auto Falante A53 (Campainha)</t>
  </si>
  <si>
    <t>Auto Falante A54 (Campainha)</t>
  </si>
  <si>
    <t>Auto Falante A70 (Campainha)</t>
  </si>
  <si>
    <t>Auto Falante A71 (Campainha)</t>
  </si>
  <si>
    <t>Auto Falante J5 Prime (Campainha)</t>
  </si>
  <si>
    <t>Auto Falante J7 Prime (Campainha)</t>
  </si>
  <si>
    <t>Auto Falante J5 Pro (Campainha)</t>
  </si>
  <si>
    <t>Auto Falante J530 (Campainha)</t>
  </si>
  <si>
    <t>Auto Falante J6 (Campainha)</t>
  </si>
  <si>
    <t>Auto Falante J600 (Campainha)</t>
  </si>
  <si>
    <t>Auto Falante J8 (Campainha)</t>
  </si>
  <si>
    <t>Auto Falante J7 Pro (Campainha)</t>
  </si>
  <si>
    <t>Auto Falante J730 (Campainha)</t>
  </si>
  <si>
    <t>Auto Falante J5 (Campainha)</t>
  </si>
  <si>
    <t>Auto Falante J500 (Campainha)</t>
  </si>
  <si>
    <t>Auto Falante J7 (Campainha)</t>
  </si>
  <si>
    <t>Auto Falante J700 (Campainha)</t>
  </si>
  <si>
    <t>Auto Falante Mi 8 Lite (Campainha)</t>
  </si>
  <si>
    <t>Auto Falante Redmi 10 (Campainha)</t>
  </si>
  <si>
    <t>Auto Falante Redmi 8 (Campainha)</t>
  </si>
  <si>
    <t>Auto Falante Redmi 8A (Campainha)</t>
  </si>
  <si>
    <t>Auto Falante Redmi 9 (Campainha)</t>
  </si>
  <si>
    <t>Auto Falante Redmi 9A (Campainha)</t>
  </si>
  <si>
    <t>Auto Falante Redmi 9C (Campainha)</t>
  </si>
  <si>
    <t>Auto Falante Redmi Note 10 4G (Campainha)</t>
  </si>
  <si>
    <t>Auto Falante Redmi Note 10s 4G (Campainha)</t>
  </si>
  <si>
    <t>Auto Falante Poco M5s (Campainha)</t>
  </si>
  <si>
    <t>Auto Falante Redmi Note 7 (Campainha)</t>
  </si>
  <si>
    <t>Auto Falante Redmi Note 8 (Campainha)</t>
  </si>
  <si>
    <t>Auto Falante Redmi Note 9 (Campainha)</t>
  </si>
  <si>
    <t>SAM A13 com aro original (4G)</t>
  </si>
  <si>
    <t>SAM A13 com aro original (5G)</t>
  </si>
  <si>
    <t>SAM A14 com aro original (4G)</t>
  </si>
  <si>
    <t>SAM A14 com aro original (5G)</t>
  </si>
  <si>
    <t>SAM A23 com aro original (4G)</t>
  </si>
  <si>
    <t>SAM A23 com aro original (5G)</t>
  </si>
  <si>
    <t>iPhone 15 - incell (ci)</t>
  </si>
  <si>
    <t>iPhone 15 OLED (ci)</t>
  </si>
  <si>
    <t>iPhone 15 Pro - incell (ci)</t>
  </si>
  <si>
    <t>iPhone 15 Pro OLED (ci)</t>
  </si>
  <si>
    <t>iPhone 15 Pro Max - incell (ci)</t>
  </si>
  <si>
    <t>iPhone 15 Pro Max OLED (ci)</t>
  </si>
  <si>
    <t xml:space="preserve">iPhone 15 - incell (ci) = R$ </t>
  </si>
  <si>
    <t xml:space="preserve">iPhone 15 OLED (ci) = R$ </t>
  </si>
  <si>
    <t xml:space="preserve">iPhone 15 Pro OLED (ci) = R$ </t>
  </si>
  <si>
    <t xml:space="preserve">15 Pro Max - incell (ci) = R$ </t>
  </si>
  <si>
    <t xml:space="preserve">15 Pro Max OLED (ci) = R$ </t>
  </si>
  <si>
    <t>iPhone 11 OLED (Ci Removivel)</t>
  </si>
  <si>
    <t>iPhone 11 Pro incell (Ci Removivel)</t>
  </si>
  <si>
    <t>iPhone 11 Pro original (Ci Removivel)</t>
  </si>
  <si>
    <t>iPhone 11 Pro OLED (Ci Removivel)</t>
  </si>
  <si>
    <t>iPhone 11 Pro VIVID OLED (Ci Removivel)</t>
  </si>
  <si>
    <t>iPhone 11 Pro Max incell (Ci Removivel)</t>
  </si>
  <si>
    <t>iPhone 11 Pro Max original (Ci Removivel)</t>
  </si>
  <si>
    <t>iPhone 11 Pro Max OLED (Ci Removivel)</t>
  </si>
  <si>
    <t>iPhone 11 Pro Max VIVID OLED (Ci Removivel)</t>
  </si>
  <si>
    <t>iPhone 12 incell (Ci Removivel)</t>
  </si>
  <si>
    <t>iPhone 12 original (Ci Removivel)</t>
  </si>
  <si>
    <t>iPhone 12 OLED (Ci Removivel)</t>
  </si>
  <si>
    <t>iPhone 12 VIVID OLED (Ci Removivel)</t>
  </si>
  <si>
    <t>iPhone 12 Pro incell (Ci Removivel)</t>
  </si>
  <si>
    <t>iPhone 12 Pro original (Ci Removivel)</t>
  </si>
  <si>
    <t>iPhone 12 Pro OLED (Ci Removivel)</t>
  </si>
  <si>
    <t>iPhone 12 Pro VIVID OLED (Ci Removivel)</t>
  </si>
  <si>
    <t>iPhone 12 Pro Max incell (Ci Removivel)</t>
  </si>
  <si>
    <t>iPhone 12 Pro Max original (Ci Removivel)</t>
  </si>
  <si>
    <t>iPhone 12 Pro Max OLED (Ci Removivel)</t>
  </si>
  <si>
    <t>iPhone 12 Pro Max VIVID OLED (Ci Removivel)</t>
  </si>
  <si>
    <t>iPhone 13 incell (Ci Removivel)</t>
  </si>
  <si>
    <t>iPhone 13 original (Ci Removivel)</t>
  </si>
  <si>
    <t>iPhone 13 OLED (Ci Removivel)</t>
  </si>
  <si>
    <t>iPhone 13 VIVID OLED (Ci Removivel)</t>
  </si>
  <si>
    <t>iPhone 13 Pro incell (Ci Removivel)</t>
  </si>
  <si>
    <t>iPhone 13 Pro original (Ci Removivel)</t>
  </si>
  <si>
    <t>iPhone 13 Pro OLED (Ci Removivel)</t>
  </si>
  <si>
    <t>iPhone 13 Pro VIVID OLED (Ci Removivel)</t>
  </si>
  <si>
    <t>iPhone 13 Pro Max incell (Ci Removivel)</t>
  </si>
  <si>
    <t>iPhone 13 Pro Max original (Ci Removivel)</t>
  </si>
  <si>
    <t>iPhone 13 Pro Max OLED (Ci Removivel)</t>
  </si>
  <si>
    <t>iPhone 13 Pro Max VIVID OLED (Ci Removivel)</t>
  </si>
  <si>
    <t>iPhone 14 incell (Ci Removivel)</t>
  </si>
  <si>
    <t>iPhone 14 original (Ci Removivel)</t>
  </si>
  <si>
    <t>iPhone 14 OLED (Ci Removivel)</t>
  </si>
  <si>
    <t>iPhone 14 VIVID OLED (Ci Removivel)</t>
  </si>
  <si>
    <t>iPhone 14 Pro incell (Ci Removivel)</t>
  </si>
  <si>
    <t>iPhone 14 Pro original (Ci Removivel)</t>
  </si>
  <si>
    <t>iPhone 14 Pro OLED (Ci Removivel)</t>
  </si>
  <si>
    <t>iPhone 14 Pro VIVID OLED (Ci Removivel)</t>
  </si>
  <si>
    <t>iPhone 14 Pro Max incell (Ci Removivel)</t>
  </si>
  <si>
    <t>iPhone 14 Pro Max original (Ci Removivel)</t>
  </si>
  <si>
    <t>iPhone 14 Pro Max OLED (Ci Removivel)</t>
  </si>
  <si>
    <t>iPhone 14 Pro Max VIVID OLED (Ci Removivel)</t>
  </si>
  <si>
    <t>iPhone 15 incell (Ci Removivel)</t>
  </si>
  <si>
    <t>iPhone 15 original (Ci Removivel)</t>
  </si>
  <si>
    <t>iPhone 15 OLED (Ci Removivel)</t>
  </si>
  <si>
    <t>iPhone 15 VIVID OLED (Ci Removivel)</t>
  </si>
  <si>
    <t>iPhone 15 Pro original (Ci Removivel)</t>
  </si>
  <si>
    <t>iPhone 15 Pro OLED (Ci Removivel)</t>
  </si>
  <si>
    <t>iPhone 15 Pro VIVID OLED (Ci Removivel)</t>
  </si>
  <si>
    <t>iPhone 15 Pro Max incell (Ci Removivel)</t>
  </si>
  <si>
    <t>iPhone 15 Pro Max original (Ci Removivel)</t>
  </si>
  <si>
    <t>iPhone 15 Pro Max OLED (Ci Removivel)</t>
  </si>
  <si>
    <t>iPhone 15 Pro Max VIVID OLED (Ci Removivel)</t>
  </si>
  <si>
    <t>iPhone 15 Pro incell (Ci Removivel)</t>
  </si>
  <si>
    <t>Cola Preta T-7000 (110ml)</t>
  </si>
  <si>
    <t>Cola Preta T7000 (110ml)</t>
  </si>
  <si>
    <t>Cola Transparente B-7000 (110ml)</t>
  </si>
  <si>
    <t>Cola Transparente B7000 (110ml)</t>
  </si>
  <si>
    <t>Cola Branca B-7000 (110ml)</t>
  </si>
  <si>
    <t>Cola Branca B7000 (110ml)</t>
  </si>
  <si>
    <t>Moto G24 sem aro original</t>
  </si>
  <si>
    <t>Moto G24 com aro original</t>
  </si>
  <si>
    <t>Moto G24 original sem aro</t>
  </si>
  <si>
    <t>Moto G24 original com aro</t>
  </si>
  <si>
    <t xml:space="preserve">Redmi Note 11s 5G      = R$ </t>
  </si>
  <si>
    <t>Redmi Note 11s 5G sem aro original</t>
  </si>
  <si>
    <t>Redmi Note 10 incell sem aro (4G)</t>
  </si>
  <si>
    <t>Redmi Note 10 incell com aro (4G)</t>
  </si>
  <si>
    <t>Redmi Note 10s original com aro (4G)</t>
  </si>
  <si>
    <t>Redmi Note 10s incell com aro (4G)</t>
  </si>
  <si>
    <t>Redmi Note 10s original sem aro (4G)</t>
  </si>
  <si>
    <t>Redmi Note 10s incell sem aro (4G)</t>
  </si>
  <si>
    <t>Redmi Note 10 original sem aro (5G)</t>
  </si>
  <si>
    <t xml:space="preserve">Redmi Note 10 Pro original sem aro (5G)(Flex Reto) </t>
  </si>
  <si>
    <t>Redmi Note 11 original com aro (4G)</t>
  </si>
  <si>
    <t>Redmi Note 11 incell com aro (4G)</t>
  </si>
  <si>
    <t>Redmi Note 11 original sem aro (4G)</t>
  </si>
  <si>
    <t>Redmi Note 11 incell sem aro (4G)</t>
  </si>
  <si>
    <t>Redmi Note 11s original com aro (4G)</t>
  </si>
  <si>
    <t>Redmi Note 11s incell com aro (4G)</t>
  </si>
  <si>
    <t>Redmi Note 11s original sem aro (4G)</t>
  </si>
  <si>
    <t>Redmi Note 11s incell sem aro (4G)</t>
  </si>
  <si>
    <t>Redmi Note 11 original sem aro (5G)</t>
  </si>
  <si>
    <t>Redmi Note 12 Pro original com aro (4G)</t>
  </si>
  <si>
    <t>Redmi Note 12 Pro incell com aro (4G)</t>
  </si>
  <si>
    <t>Redmi Note 12 Pro original sem aro (4G)</t>
  </si>
  <si>
    <t>Redmi Note 12 Pro original com aro (5G)</t>
  </si>
  <si>
    <t>Redmi Note 12 Pro incell com aro (5G)</t>
  </si>
  <si>
    <t>Redmi Note 12 Pro original sem aro (5G)</t>
  </si>
  <si>
    <t>Redmi Note 12 Pro incell sem aro (5G)</t>
  </si>
  <si>
    <t>Redmi Note 13 original com aro (4G)</t>
  </si>
  <si>
    <t>Redmi Note 13 incell com aro (4G)</t>
  </si>
  <si>
    <t>Redmi Note 13 original sem aro (4G)</t>
  </si>
  <si>
    <t>Redmi Note 13 incell sem aro (4G)</t>
  </si>
  <si>
    <t>Redmi Note 13 original com aro (5G)</t>
  </si>
  <si>
    <t>Redmi Note 13 incell com aro (5G)</t>
  </si>
  <si>
    <t>Redmi Note 13 original sem aro (5G)</t>
  </si>
  <si>
    <t>Redmi Note 13 incell sem aro (5G)</t>
  </si>
  <si>
    <t xml:space="preserve">Poco F3 - incell = R$ </t>
  </si>
  <si>
    <t xml:space="preserve">Poco F3  - original = R$ </t>
  </si>
  <si>
    <t>Poco F3 sem aro incell</t>
  </si>
  <si>
    <t>Poco F3 sem aro original</t>
  </si>
  <si>
    <t>Poco F3 incell sem aro</t>
  </si>
  <si>
    <t>Poco F3 original sem aro</t>
  </si>
  <si>
    <t>Redmi 9 Nacional c/aro</t>
  </si>
  <si>
    <t xml:space="preserve">Redmi 9A/9C/9i = R$ </t>
  </si>
  <si>
    <t>Redmi 9i sem aro original</t>
  </si>
  <si>
    <t>Redmi 9 com aro Nacional</t>
  </si>
  <si>
    <t>Redmi 9 Nacional com aro</t>
  </si>
  <si>
    <t>SAM A02 sem aro original</t>
  </si>
  <si>
    <t>SAM A22 5G Nacional com aro</t>
  </si>
  <si>
    <t>SAM A22 5G com aro Nacional</t>
  </si>
  <si>
    <t>Redmi Note 11 OLED sem aro OLED (4G)</t>
  </si>
  <si>
    <t>Placa Carga Moto G10</t>
  </si>
  <si>
    <t>Placa Carga Moto G20</t>
  </si>
  <si>
    <t>Dock Carga Moto G10</t>
  </si>
  <si>
    <t>Dock Carga Moto G20</t>
  </si>
  <si>
    <t xml:space="preserve">Redmi A3x  = R$ </t>
  </si>
  <si>
    <t>Redmi A3x sem aro original</t>
  </si>
  <si>
    <t>Redmi A3x original sem aro</t>
  </si>
  <si>
    <t>Mi A2 Lite</t>
  </si>
  <si>
    <t>SAM A13 original com aro (4G)</t>
  </si>
  <si>
    <t>SAM A13 original com aro (5G)</t>
  </si>
  <si>
    <t>SAM A13 com aro Nacional (4G)</t>
  </si>
  <si>
    <t>SAM A13 com aro Nacional (5G)</t>
  </si>
  <si>
    <t>SAM A14 com aro Nacional (4G)</t>
  </si>
  <si>
    <t>SAM A14 com aro Nacional (5G)</t>
  </si>
  <si>
    <t>A14 4G c/aro Nacional</t>
  </si>
  <si>
    <t xml:space="preserve">A14 4G c/aro Nacional = R$ </t>
  </si>
  <si>
    <t>SAM A14 Nacional com aro (4G)</t>
  </si>
  <si>
    <t>SAM A14 4G Nacional com aro</t>
  </si>
  <si>
    <t>SAM A14 4G com aro Nacional</t>
  </si>
  <si>
    <t>Flex Home Biometria Xiaomi Redmi 9 - Preto</t>
  </si>
  <si>
    <t>Flex Home Biometria Redmi Note 7/Note 7 Pro</t>
  </si>
  <si>
    <t xml:space="preserve">Moto E14       = R$ </t>
  </si>
  <si>
    <t xml:space="preserve">Moto E14 c/aro  = R$ </t>
  </si>
  <si>
    <t>Moto E14 sem aro original</t>
  </si>
  <si>
    <t>Moto E14 original sem aro</t>
  </si>
  <si>
    <t>Moto E14 com aro original</t>
  </si>
  <si>
    <t>Moto E14 original com aro</t>
  </si>
  <si>
    <t>A54 - orignal c/aro</t>
  </si>
  <si>
    <t>A70 - incell c/aro</t>
  </si>
  <si>
    <t>A70 - original c/aro (Tela/P)</t>
  </si>
  <si>
    <t>A70 - original c/aro (Tela/G)</t>
  </si>
  <si>
    <t>A71 - incell c/aro</t>
  </si>
  <si>
    <t>A71 - original c/aro (Tela/P)</t>
  </si>
  <si>
    <t>A72 - incell c/aro</t>
  </si>
  <si>
    <t>A72 - original c/aro (Tela/P)</t>
  </si>
  <si>
    <t>A73 - incell c/aro</t>
  </si>
  <si>
    <t>SAM A55 Nacional com aro</t>
  </si>
  <si>
    <t>SAM A55 com aro Nacional</t>
  </si>
  <si>
    <t>Moto G9 Play/E7 Plus c/aro Nacional</t>
  </si>
  <si>
    <t>Moto G52/G72/G82/Edge 30 incell</t>
  </si>
  <si>
    <t>Moto G52/G72/G82/Edge 30 original</t>
  </si>
  <si>
    <t>Editar Sapucaia</t>
  </si>
  <si>
    <t>Placa de Carga SAM A01 (Tipo C)</t>
  </si>
  <si>
    <t>Placa de Carga SAM A01 (V8)</t>
  </si>
  <si>
    <t>Placa Carga SAM A01 (Tipo C)</t>
  </si>
  <si>
    <t>Placa Carga SAM A01 (V8)</t>
  </si>
  <si>
    <t>SAM A22 original com aro (4G)</t>
  </si>
  <si>
    <t>Flex Volume SAM A23 4G</t>
  </si>
  <si>
    <t>Flex Volume SAM A23 5G</t>
  </si>
  <si>
    <t>SAM J4 original sem aro</t>
  </si>
  <si>
    <t>Auricular G5/G6 Play/G6 Plus/E6 Play/G5 Plus/Moto G6/G4 Play/G4 Plus/Moto E5</t>
  </si>
  <si>
    <t>Bateria SAM M20/M30 (EB-BG580)</t>
  </si>
  <si>
    <t>Bateria iPhone 14 Pro Max (Gold-892)</t>
  </si>
  <si>
    <t xml:space="preserve">A51 c/aro - incell = R$ </t>
  </si>
  <si>
    <t xml:space="preserve">A50 c/aro - original  = R$ </t>
  </si>
  <si>
    <t xml:space="preserve">SAM A51 com aro incell </t>
  </si>
  <si>
    <t>SAM A51 incell com aro</t>
  </si>
  <si>
    <t>SAM A51 com aro incell</t>
  </si>
  <si>
    <t>Moto E20 c/aro</t>
  </si>
  <si>
    <t>Moto E6s c/aro</t>
  </si>
  <si>
    <t>Moto E7 c/aro</t>
  </si>
  <si>
    <t>Moto E7 Power c/aro</t>
  </si>
  <si>
    <t>Redmi 10A c/aro Nacional</t>
  </si>
  <si>
    <t xml:space="preserve">Redmi 10A c/aro Nacional = </t>
  </si>
  <si>
    <t>Redmi 10A com aro Nacional</t>
  </si>
  <si>
    <t>Redmi 10A Nacional com aro</t>
  </si>
  <si>
    <t>Moto G84 c/aro Nacional</t>
  </si>
  <si>
    <t xml:space="preserve">Poco X5 - incell c/aro = R$ </t>
  </si>
  <si>
    <t xml:space="preserve">Poco X5 - original c/aro = </t>
  </si>
  <si>
    <t xml:space="preserve">Redmi Note 8 Pro c/aro = R$ </t>
  </si>
  <si>
    <t xml:space="preserve">Galaxy S21 FE c/aro </t>
  </si>
  <si>
    <t xml:space="preserve">Galaxy S21 FE c/aro    = R$ </t>
  </si>
  <si>
    <t>SAM Galaxy S21 FE com aro original</t>
  </si>
  <si>
    <t>SAM Galaxy S21 FE original com aro</t>
  </si>
  <si>
    <t>Redmi Note 8 Pro com aro original</t>
  </si>
  <si>
    <t>Redmi Note 8 Pro original com aro</t>
  </si>
  <si>
    <t>Poco M4/Poco M5/Redmi 10 5G/Redmi 11 Prime</t>
  </si>
  <si>
    <t>Redmi 10 5G original sem aro</t>
  </si>
  <si>
    <t>Redmi 10 5G sem aro original</t>
  </si>
  <si>
    <t>Moto G04/G04s/E14 c/aro</t>
  </si>
  <si>
    <t xml:space="preserve">Note 13 Pro 5G - incell = R$ </t>
  </si>
  <si>
    <t xml:space="preserve">Poco X6 - incell = R$ </t>
  </si>
  <si>
    <t xml:space="preserve">Poco X6 Pro - incell = R$ </t>
  </si>
  <si>
    <t xml:space="preserve">Poco X6 - original = R$ </t>
  </si>
  <si>
    <t xml:space="preserve">Poco X6 Pro - original = R$ </t>
  </si>
  <si>
    <t xml:space="preserve">Note 13 Pro 5G - original = R$ </t>
  </si>
  <si>
    <t>Redmi Note 13 Pro 5G incell sem aro</t>
  </si>
  <si>
    <t>Redmi Note 13 Pro 5G sem aro incell</t>
  </si>
  <si>
    <t>Redmi Note 13 Pro incell sem aro (5G)</t>
  </si>
  <si>
    <t>Redmi Note 13 Pro sem aro incell (5G)</t>
  </si>
  <si>
    <t>Poco X6 5G incell sem aro</t>
  </si>
  <si>
    <t>Poco X6 5G sem aro incell</t>
  </si>
  <si>
    <t>Poco X6 sem aro incell (5G)</t>
  </si>
  <si>
    <t>Poco X6 Pro 5G incell sem aro</t>
  </si>
  <si>
    <t>Poco X6 Pro 5G sem aro incell</t>
  </si>
  <si>
    <t>Poco X6 Pro sem aro incell (5G)</t>
  </si>
  <si>
    <t>Poco X6 5G original sem aro</t>
  </si>
  <si>
    <t>Poco X6 5G sem aro original</t>
  </si>
  <si>
    <t>Poco X6 sem aro original (5G)</t>
  </si>
  <si>
    <t>Poco X6 Pro 5G original sem aro</t>
  </si>
  <si>
    <t>Poco X6 Pro 5G sem aro original</t>
  </si>
  <si>
    <t>Poco X6 Pro sem aro original (5G)</t>
  </si>
  <si>
    <t>Poco X6 incell sem aro (5G)</t>
  </si>
  <si>
    <t>Poco X6 Pro incell sem aro (5G)</t>
  </si>
  <si>
    <t>Poco X6 original sem aro (5G)</t>
  </si>
  <si>
    <t>Poco X6 Pro original sem aro (5G)</t>
  </si>
  <si>
    <t>Conector Moto E30/Moto E7/E7 Power/E20/E40/E32/G50 5G/One Fusion/A04/A20S/A22 5G/K41s/K61</t>
  </si>
  <si>
    <t>Auricular Moto E20/Moto G7/G7 Plus/Moto G8/G8 Play/G8 Power Lite/G9 Play/G9 Plus/G10/G20/G22/G30/One Fusion/SAM A10s/A20s/A01/A03 Core/A03s/A03/A02s/A04/A04E/A21/Redmi 8/Redmi 9</t>
  </si>
  <si>
    <t>Auricular SAM A04</t>
  </si>
  <si>
    <t>Auricular SAM A21</t>
  </si>
  <si>
    <t>Auricular Xiaomi Redmi 8</t>
  </si>
  <si>
    <t>Auricular Xiaomi Redmi 9</t>
  </si>
  <si>
    <t>Auto Falante (Com Tampa) Moto E7 Power</t>
  </si>
  <si>
    <t>Auto Falante (Com Tampa) Moto G20/G10</t>
  </si>
  <si>
    <t>Auto Falante (Com Tampa) Moto G30</t>
  </si>
  <si>
    <t>Auto Falante (Com Tampa) Moto G7 Plus/Moto G7</t>
  </si>
  <si>
    <t>Auto Falante (Com Tampa) Moto G9 Plus</t>
  </si>
  <si>
    <t>Auto Falante (Com Tampa) SAM A03 Core</t>
  </si>
  <si>
    <t>Auto Falante (Sem Tampa) Moto E6i/E6s/G8 Power Lite/G10/G20/G22/G30/E20</t>
  </si>
  <si>
    <t>Auto Falante (Sem Tampa) Moto E7 Power</t>
  </si>
  <si>
    <t>Auto Falante (Sem Tampa) SAM A32 5G/A10/A20/A21s/A22 4G/A30/A50/A30S/A31/A02/A12/A32 4G/A13/A23/J4 Plus/A01 Core/M10/M20/M21S/M30/M31</t>
  </si>
  <si>
    <t>Auto Falante (Sem Tampa) SAM A03 Core/A04E</t>
  </si>
  <si>
    <t>Campainha SAM A04E (Sem Tampa)</t>
  </si>
  <si>
    <t xml:space="preserve">Moto G15       = R$ </t>
  </si>
  <si>
    <t xml:space="preserve">Moto G15 c/aro  = R$ </t>
  </si>
  <si>
    <t>Moto G15 sem aro original</t>
  </si>
  <si>
    <t>Moto G15 com aro original</t>
  </si>
  <si>
    <t>Moto G15 original sem aro</t>
  </si>
  <si>
    <t>Moto G15 original com aro</t>
  </si>
  <si>
    <t>Redmi 14C/Poco C75</t>
  </si>
  <si>
    <t xml:space="preserve">Poco C75  = R$ </t>
  </si>
  <si>
    <t>Poco C75 sem aro original</t>
  </si>
  <si>
    <t>Poco C75 original sem aro</t>
  </si>
  <si>
    <t>A22 5G c/aro</t>
  </si>
  <si>
    <t>Redmi Note 13 Pro 4G/Poco M6 Pro 4G - Incell</t>
  </si>
  <si>
    <t xml:space="preserve">Note 13 Pro 4G - incell = R$ </t>
  </si>
  <si>
    <t xml:space="preserve">Note 13 Pro 4G - original = R$ </t>
  </si>
  <si>
    <t xml:space="preserve">Poco M6 Pro 4G - incell = R$ </t>
  </si>
  <si>
    <t xml:space="preserve">Poco M6 Pro 4G - original = R$ </t>
  </si>
  <si>
    <t>Redmi Note 13 Pro 4G sem aro incell</t>
  </si>
  <si>
    <t>Redmi Note 13 Pro 4G original sem aro</t>
  </si>
  <si>
    <t>Redmi Note 13 Pro 4G incell sem aro</t>
  </si>
  <si>
    <t>Redmi Note 13 Pro sem aro incell (4G)</t>
  </si>
  <si>
    <t>Redmi Note 13 Pro incell sem aro (4G)</t>
  </si>
  <si>
    <t>Redmi Note 13 Pro 4G sem aro original</t>
  </si>
  <si>
    <t>Redmi Note 13 Pro sem aro original (4G)</t>
  </si>
  <si>
    <t>Redmi Note 13 Pro original sem aro (4G)</t>
  </si>
  <si>
    <t>Poco M6 Pro 4G sem aro incell</t>
  </si>
  <si>
    <t>Poco M6 Pro 4G incell sem aro</t>
  </si>
  <si>
    <t>Poco M6 Pro sem aro incell (4G)</t>
  </si>
  <si>
    <t>Poco M6 Pro incell sem aro (4G)</t>
  </si>
  <si>
    <t>Poco M6 Pro 4G sem aro original</t>
  </si>
  <si>
    <t>Poco M6 Pro 4G original sem aro</t>
  </si>
  <si>
    <t>Poco M6 Pro sem aro original (4G)</t>
  </si>
  <si>
    <t>Poco M6 Pro original sem aro (4G)</t>
  </si>
  <si>
    <t>A13 5G/A04s</t>
  </si>
  <si>
    <t>A22 4G - original c/aro</t>
  </si>
  <si>
    <t>Gaveta de Chip A03 Core</t>
  </si>
  <si>
    <t>Gaveta SAM J7 Prime (KIT 2EM1)</t>
  </si>
  <si>
    <t>Gaveta SAM J5 Prime (KIT 2EM1)</t>
  </si>
  <si>
    <t>Gaveta de Chip J5 Prime/J7 Prime (KIT 2EM1)</t>
  </si>
  <si>
    <t>Gaveta J5 Prime (KIT 2EM1)</t>
  </si>
  <si>
    <t>Gaveta J7 Prime (KIT 2EM1)</t>
  </si>
  <si>
    <t>Flex Power Biometria SAM M51/A22 4G/A32 5G/M22/M32</t>
  </si>
  <si>
    <t>Flex Power Biometria M32</t>
  </si>
  <si>
    <t>K12 Max/K12 Prime</t>
  </si>
  <si>
    <t>K12 Max/K12 Prime c/aro</t>
  </si>
  <si>
    <t>K12/K12 Plus</t>
  </si>
  <si>
    <t>K12/K12 Plus c/aro</t>
  </si>
  <si>
    <t xml:space="preserve">A01 (M) c/aro         </t>
  </si>
  <si>
    <t xml:space="preserve">A01 core c/aro         </t>
  </si>
  <si>
    <t>A02/A12/A32 5G/M12</t>
  </si>
  <si>
    <t xml:space="preserve">A12 - orig         = R$ </t>
  </si>
  <si>
    <t xml:space="preserve">A12 c/aro - orig= R$ </t>
  </si>
  <si>
    <t>Redmi Note 12 com aro incell (4G)</t>
  </si>
  <si>
    <t>Redmi Note 12 com aro original (4G)</t>
  </si>
  <si>
    <t>Redmi Note 12 com aro OLED (4G)</t>
  </si>
  <si>
    <t>Redmi Note 12 OLED com aro (4G)</t>
  </si>
  <si>
    <t>Redmi Note 12 com aro Nacional (4G)</t>
  </si>
  <si>
    <t>Redmi Note 12 Nacional com aro (4G)</t>
  </si>
  <si>
    <t>Redmi Note 12 com aro incell (5G)</t>
  </si>
  <si>
    <t>Redmi Note 12 com aro original (5G)</t>
  </si>
  <si>
    <t>Redmi Note 12 com aro OLED (5G)</t>
  </si>
  <si>
    <t>Redmi Note 12 OLED com aro (5G)</t>
  </si>
  <si>
    <t>Redmi Note 12 Pro com aro incell (4G)</t>
  </si>
  <si>
    <t>Redmi Note 12 Pro com aro original (4G)</t>
  </si>
  <si>
    <t>Redmi Note 12 Pro com aro OLED (4G)</t>
  </si>
  <si>
    <t>Redmi Note 12 Pro OLED com aro (4G)</t>
  </si>
  <si>
    <t>Redmi Note 12 Pro sem aro original (4G)</t>
  </si>
  <si>
    <t>Redmi Note 12 Pro sem aro OLED (4G)</t>
  </si>
  <si>
    <t>Redmi Note 12 Pro OLED sem aro (4G)</t>
  </si>
  <si>
    <t>Redmi Note 12 Pro com aro incell (5G)</t>
  </si>
  <si>
    <t>Redmi Note 12 Pro com aro original (5G)</t>
  </si>
  <si>
    <t>Redmi Note 12 Pro com aro OLED (5G)</t>
  </si>
  <si>
    <t>Redmi Note 12 Pro OLED com aro (5G)</t>
  </si>
  <si>
    <t>Redmi Note 12 Pro com aro Nacional (5G)</t>
  </si>
  <si>
    <t>Redmi Note 12 Pro Nacional com aro (5G)</t>
  </si>
  <si>
    <t>Redmi Note 12 Pro sem aro original (5G)</t>
  </si>
  <si>
    <t>Redmi Note 12 Pro sem aro OLED (5G)</t>
  </si>
  <si>
    <t>Redmi Note 12 Pro OLED sem aro (5G)</t>
  </si>
  <si>
    <t>Redmi Note 12 Pro sem aro incell (5G)</t>
  </si>
  <si>
    <t>Redmi Note 13 sem aro incell (4G)</t>
  </si>
  <si>
    <t>Redmi Note 13 com aro original (4G)</t>
  </si>
  <si>
    <t>Redmi Note 13 com aro OLED (4G)</t>
  </si>
  <si>
    <t>Redmi Note 13 OLED com aro (4G)</t>
  </si>
  <si>
    <t>Redmi Note 13 com aro incell (4G)</t>
  </si>
  <si>
    <t>Redmi Note 13 sem aro original (4G)</t>
  </si>
  <si>
    <t>Redmi Note 13 sem aro OLED (4G)</t>
  </si>
  <si>
    <t>Redmi Note 13 OLED sem aro (4G)</t>
  </si>
  <si>
    <t>Redmi Note 13 sem aro incell (5G)</t>
  </si>
  <si>
    <t>Redmi Note 13 com aro original (5G)</t>
  </si>
  <si>
    <t>Redmi Note 13 com aro OLED (5G)</t>
  </si>
  <si>
    <t>Redmi Note 13 OLED com aro (5G)</t>
  </si>
  <si>
    <t>Redmi Note 13 com aro incell (5G)</t>
  </si>
  <si>
    <t>Redmi Note 13 sem aro original (5G)</t>
  </si>
  <si>
    <t>Redmi Note 13 sem aro OLED (5G)</t>
  </si>
  <si>
    <t>Redmi Note 13 OLED sem aro (5G)</t>
  </si>
  <si>
    <t>Moto Edge 20/Edge 20 Pro/Edge 30 Pro original</t>
  </si>
  <si>
    <t>Moto Edge 20 Lite/Edge 20 Fusion original</t>
  </si>
  <si>
    <t xml:space="preserve">Moto Edge 20 Fusion orig = R$ </t>
  </si>
  <si>
    <t xml:space="preserve">Moto Edge 20 Pro orig= R$ </t>
  </si>
  <si>
    <t xml:space="preserve">Moto Edge 30 Pro orig  = R$ </t>
  </si>
  <si>
    <t xml:space="preserve">Moto Edge 30 Neo orig = R$ </t>
  </si>
  <si>
    <t>Moto Edge 20 Pro OLED sem aro</t>
  </si>
  <si>
    <t>Moto Edge 20 Fusion OLED sem aro</t>
  </si>
  <si>
    <t>Moto Edge 20 Pro sem aro OLED</t>
  </si>
  <si>
    <t xml:space="preserve">Moto Edge 20 Fusion sem aro OLED </t>
  </si>
  <si>
    <t>Moto Edge 20 Pro original sem aro</t>
  </si>
  <si>
    <t>Moto Edge 20 Fusion original sem aro</t>
  </si>
  <si>
    <t>Moto Edge 20 Pro sem aro original</t>
  </si>
  <si>
    <t xml:space="preserve">Moto Edge 20 Fusion sem aro original </t>
  </si>
  <si>
    <t>Moto Edge 30 Pro sem aro original</t>
  </si>
  <si>
    <t>Moto Edge 30 Pro sem aro OLED</t>
  </si>
  <si>
    <t>Moto Edge 30 Pro OLED sem aro</t>
  </si>
  <si>
    <t>Moto Edge 30 Pro original sem aro</t>
  </si>
  <si>
    <t>Placa de Carga Moto G52/G82</t>
  </si>
  <si>
    <t>Placa Carga Moto G82</t>
  </si>
  <si>
    <t>Dock Carga Moto G82</t>
  </si>
  <si>
    <t>Placa Carga G82</t>
  </si>
  <si>
    <t>Dock Carga G82</t>
  </si>
  <si>
    <t>Placa G82 (Placa Carga)</t>
  </si>
  <si>
    <t>Placa de Carga Moto G54/G55/G64</t>
  </si>
  <si>
    <t>Placa Carga Moto G55</t>
  </si>
  <si>
    <t>Dock Carga Moto G55</t>
  </si>
  <si>
    <t>Placa Carga G55</t>
  </si>
  <si>
    <t>Dock Carga G55</t>
  </si>
  <si>
    <t>Placa G55 (Placa Carga)</t>
  </si>
  <si>
    <t>Placa Carga Moto G64</t>
  </si>
  <si>
    <t>Dock Carga Moto G64</t>
  </si>
  <si>
    <t>Placa Carga G64</t>
  </si>
  <si>
    <t>Dock Carga G64</t>
  </si>
  <si>
    <t>Placa G64 (Placa Carga)</t>
  </si>
  <si>
    <t>Placa de Carga Xiaomi Redmi 13C/Poco C65</t>
  </si>
  <si>
    <t>Placa Carga Xiaomi Poco C65</t>
  </si>
  <si>
    <t>Placa Carga Poco C65</t>
  </si>
  <si>
    <t>Dock Carga Poco C65</t>
  </si>
  <si>
    <t>Dock Carga Xiaomi Poco C65</t>
  </si>
  <si>
    <t>Placa Poco C65 (Placa Carga)</t>
  </si>
  <si>
    <t>Auricular Moto E7/E7 Power/E7 Plus</t>
  </si>
  <si>
    <t>Auricular Moto E7</t>
  </si>
  <si>
    <t>Auricular E7</t>
  </si>
  <si>
    <t>Auto Falante Moto E7 (Auricular)</t>
  </si>
  <si>
    <t>Auto Falante E7 (Auricular)</t>
  </si>
  <si>
    <t>Auricular Moto E7 Plus</t>
  </si>
  <si>
    <t>Auricular E7 Plus</t>
  </si>
  <si>
    <t>Auto Falante Moto E7 Plus (Auricular)</t>
  </si>
  <si>
    <t>Auto Falante E7 Plus (Auricular)</t>
  </si>
  <si>
    <t>Placa de Carga Xiaomi Redmi 9T/Poco M3</t>
  </si>
  <si>
    <t>Placa Carga Xiaomi Redmi 9T</t>
  </si>
  <si>
    <t>Dock Carga Xiaomi Redmi 9T</t>
  </si>
  <si>
    <t>Placa Carga Redmi 9T</t>
  </si>
  <si>
    <t>Dock Carga Redmi 9T</t>
  </si>
  <si>
    <t>Placa Redmi 9T (Placa Carga)</t>
  </si>
  <si>
    <t>Placa Carga Xiaomi Poco M3</t>
  </si>
  <si>
    <t>Dock Carga Xiaomi Poco M3</t>
  </si>
  <si>
    <t>Placa Carga Poco M3</t>
  </si>
  <si>
    <t>Dock Carga Poco M3</t>
  </si>
  <si>
    <t>Placa Poco M3 (Placa Carga)</t>
  </si>
  <si>
    <t>Placa de Carga Xiaomi Redmi A3/Redmi A3x/Poco C61</t>
  </si>
  <si>
    <t>Placa Carga Xiaomi Redmi A3x</t>
  </si>
  <si>
    <t>Dock Carga Xiaomi Redmi A3x</t>
  </si>
  <si>
    <t>Placa Carga Redmi A3x</t>
  </si>
  <si>
    <t>Dock Carga Redmi A3x</t>
  </si>
  <si>
    <t>Placa Redmi A3x (Placa Carga)</t>
  </si>
  <si>
    <t>Placa Carga Xiaomi Poco C61</t>
  </si>
  <si>
    <t>Dock Carga Xiaomi Poco C61</t>
  </si>
  <si>
    <t>Placa Carga Poco C61</t>
  </si>
  <si>
    <t>Dock Carga Poco C61</t>
  </si>
  <si>
    <t>Placa Poco C61 (Placa Carga)</t>
  </si>
  <si>
    <t>Moto G84 original</t>
  </si>
  <si>
    <t xml:space="preserve">Moto G84 orig  = R$ </t>
  </si>
  <si>
    <t>Moto G84 sem aro original</t>
  </si>
  <si>
    <t>Moto G84 sem aro OLED</t>
  </si>
  <si>
    <t>Moto G84 original sem aro</t>
  </si>
  <si>
    <t>Moto G84 OLED sem aro</t>
  </si>
  <si>
    <t xml:space="preserve">K42 Nacional c/aro = R$ </t>
  </si>
  <si>
    <t xml:space="preserve">K52 Nacional c/aro = R$ </t>
  </si>
  <si>
    <t>LG K42 com aro Nacional</t>
  </si>
  <si>
    <t>LG K42 Nacional com aro</t>
  </si>
  <si>
    <t>LG K52 com aro Nacional</t>
  </si>
  <si>
    <t>LG K52 Nacional com aro</t>
  </si>
  <si>
    <t>K22/k22 Plus</t>
  </si>
  <si>
    <t>K22/k22 Plus c/aro</t>
  </si>
  <si>
    <t>LG K22 com aro Nacional</t>
  </si>
  <si>
    <t>LG K22 Nacional com aro</t>
  </si>
  <si>
    <t>LG K22 Plus com aro Nacional</t>
  </si>
  <si>
    <t>LG K22 Plus Nacional com aro</t>
  </si>
  <si>
    <t>LG K22+ com aro Nacional</t>
  </si>
  <si>
    <t>LG K22+ Nacional com aro</t>
  </si>
  <si>
    <t>Gaveta Moto E6i/E6s/G8 Power Lite</t>
  </si>
  <si>
    <t>Flex Home Biometria Moto G7 Play/G7 Power</t>
  </si>
  <si>
    <t>Flex Home Biometria Moto G60/G60s/G50</t>
  </si>
  <si>
    <t>Flex Home Biometria Moto G50</t>
  </si>
  <si>
    <t>Flex Home Biometria G50</t>
  </si>
  <si>
    <t>Flex Power e Volume SAM A02/A32 4G</t>
  </si>
  <si>
    <t>Flex Power e Volume SAM A52/A72/S20 FE</t>
  </si>
  <si>
    <t>Flex Power e Volume Moto G9 Play/E7 Plus</t>
  </si>
  <si>
    <t>Flex Volume SAM M51/A04s/A12/A13/A14/A23/A32 5G/M12/M14/M22/M32/M33/M52/M62</t>
  </si>
  <si>
    <t>Flex Volume SAM A04s</t>
  </si>
  <si>
    <t>Flex Volume A04s</t>
  </si>
  <si>
    <t>Flex Volume SAM A13 4G</t>
  </si>
  <si>
    <t>Flex Volume A13 5G</t>
  </si>
  <si>
    <t>Flex Volume A13 4G</t>
  </si>
  <si>
    <t>Flex Volume SAM A13 5G</t>
  </si>
  <si>
    <t>Flex Volume SAM A14 4G</t>
  </si>
  <si>
    <t>Flex Volume A14 4G</t>
  </si>
  <si>
    <t>Flex Volume SAM A14 5G</t>
  </si>
  <si>
    <t>Flex Volume A14 5G</t>
  </si>
  <si>
    <t>Flex Volume A23 4G</t>
  </si>
  <si>
    <t>Flex Volume A23 5G</t>
  </si>
  <si>
    <t>Flex Volume SAM A32 5G</t>
  </si>
  <si>
    <t>Flex Volume A32 5G</t>
  </si>
  <si>
    <t>Flex Volume SAM M12</t>
  </si>
  <si>
    <t>Flex Volume M12</t>
  </si>
  <si>
    <t>Flex Volume SAM M14</t>
  </si>
  <si>
    <t>Flex Volume M14</t>
  </si>
  <si>
    <t>Flex Volume SAM M32</t>
  </si>
  <si>
    <t>Flex Volume M32</t>
  </si>
  <si>
    <t>Flex Volume SAM M33</t>
  </si>
  <si>
    <t>Flex Volume M33</t>
  </si>
  <si>
    <t>Flex Volume SAM M62</t>
  </si>
  <si>
    <t>Flex Volume M62</t>
  </si>
  <si>
    <t xml:space="preserve">Poco M5s - orig c/aro = R$ </t>
  </si>
  <si>
    <t>Poco M5s com aro original</t>
  </si>
  <si>
    <t>Poco M5s com aro OLED</t>
  </si>
  <si>
    <t>Poco M5s OLED com aro</t>
  </si>
  <si>
    <t>Poco M5s original com aro</t>
  </si>
  <si>
    <t>A55 - incell c/aro</t>
  </si>
  <si>
    <t>A55 - orignal c/aro</t>
  </si>
  <si>
    <t xml:space="preserve">A55 - incell c/aro     = R$ </t>
  </si>
  <si>
    <t xml:space="preserve">A55 - c/aro orig    = R$ </t>
  </si>
  <si>
    <t>SAM A55 com aro incell</t>
  </si>
  <si>
    <t>SAM A55 com aro original</t>
  </si>
  <si>
    <t>SAM A55 com aro OLED</t>
  </si>
  <si>
    <t>SAM A55 OLED com aro</t>
  </si>
  <si>
    <t>SAM A55 original com aro</t>
  </si>
  <si>
    <t>SAM A55 incell com aro</t>
  </si>
  <si>
    <t>Flex Main SAM M51/M62 (SUB)</t>
  </si>
  <si>
    <t>Flex LCD SAM M62 (SUB)</t>
  </si>
  <si>
    <t>Flex SUB SAM M62</t>
  </si>
  <si>
    <t>Flex LCD M62 (SUB)</t>
  </si>
  <si>
    <t>Flex SUB M62</t>
  </si>
  <si>
    <t>Flex Volume LG K12/K12 Plus/K12 Prime/K12 Max</t>
  </si>
  <si>
    <t>Flex Volume LG K12 Prime</t>
  </si>
  <si>
    <t>Flex Volume LG K12 Max</t>
  </si>
  <si>
    <t>Flex Volume K12 Prime</t>
  </si>
  <si>
    <t>Flex Volume K12 Max</t>
  </si>
  <si>
    <t>Note 10 Pro Max incell c/aro=</t>
  </si>
  <si>
    <t xml:space="preserve">Note 10 Pro - incell c/aro= R$ </t>
  </si>
  <si>
    <t xml:space="preserve">Note 10 Pro - orig c/aro= R$ </t>
  </si>
  <si>
    <t xml:space="preserve">Note 11 Pro - orig c/aro= R$ </t>
  </si>
  <si>
    <t xml:space="preserve">Note 11 Pro - incell c/aro=R$ </t>
  </si>
  <si>
    <t xml:space="preserve">Poco X4 Pro - orig c/aro = R$ </t>
  </si>
  <si>
    <t xml:space="preserve">Poco X4 Pro - incell c/aro= R$ </t>
  </si>
  <si>
    <t>Redmi Note 12 5G c/aro Nacional</t>
  </si>
  <si>
    <t>Redmi Note 12 5G com aro Nacional</t>
  </si>
  <si>
    <t>Redmi Note 12 5G Nacional com aro</t>
  </si>
  <si>
    <t>Redmi Note 12 com aro Nacional (5G)</t>
  </si>
  <si>
    <t>Redmi Note 12 Nacional com aro (5G)</t>
  </si>
  <si>
    <t>Redmi Note 10 Pro com aro incell</t>
  </si>
  <si>
    <t>Redmi Note 10 Pro incell com aro</t>
  </si>
  <si>
    <t>Redmi Note 10 pro Max incell com aro</t>
  </si>
  <si>
    <t>Redmi Note 10 pro Max com aro incell</t>
  </si>
  <si>
    <t>Redmi Note 11 Pro com aro incell</t>
  </si>
  <si>
    <t>Redmi Note 11 Pro incell com aro</t>
  </si>
  <si>
    <t>Poco X4 Pro com aro incell</t>
  </si>
  <si>
    <t>Poco X4 Pro incell com aro</t>
  </si>
  <si>
    <t>Redmi 14C/Poco C75 c/aro</t>
  </si>
  <si>
    <t xml:space="preserve">Poco C75 c/aro = R$ </t>
  </si>
  <si>
    <t>Poco C75 com aro original</t>
  </si>
  <si>
    <t>Poco C75 original com aro</t>
  </si>
  <si>
    <t>Moto G24/G24 Power c/aro</t>
  </si>
  <si>
    <t>Moto G04/G04s/G24/E14/G24 Power</t>
  </si>
  <si>
    <t xml:space="preserve">Moto G24/G24 Power   = R$ </t>
  </si>
  <si>
    <t xml:space="preserve">Moto G24/G24 Power c/aro = </t>
  </si>
  <si>
    <t>Moto G24 Power sem aro original</t>
  </si>
  <si>
    <t>Moto G24 Power original sem aro</t>
  </si>
  <si>
    <t>Moto G24 Power com aro original</t>
  </si>
  <si>
    <t>Moto G24 Power original com aro</t>
  </si>
  <si>
    <t>Bateria Moto G04/G04s/G24/G34/G24 Power (QF50)</t>
  </si>
  <si>
    <t>Bateria Moto G24 Power (QF50)</t>
  </si>
  <si>
    <t>Auricular Moto G14</t>
  </si>
  <si>
    <t>Auto Falante Moto G14 (Campainha)</t>
  </si>
  <si>
    <t>Campainha Moto G14</t>
  </si>
  <si>
    <t>Auto Falante G14 (Campainha)</t>
  </si>
  <si>
    <t>Campainha G14</t>
  </si>
  <si>
    <t>Auto Falante Moto G14 (Auricular)</t>
  </si>
  <si>
    <t>Auto Falante G14 (Auricular)</t>
  </si>
  <si>
    <t>Auricular G14</t>
  </si>
  <si>
    <t>Bateria SAM A16 (BA166A)</t>
  </si>
  <si>
    <t xml:space="preserve">Redmi A5   = R$ </t>
  </si>
  <si>
    <t>Redmi A5 sem aro original</t>
  </si>
  <si>
    <t xml:space="preserve">Redmi A5 original sem aro </t>
  </si>
  <si>
    <t>Bateria Xiaomi Mi 11 Lite (BP42)</t>
  </si>
  <si>
    <t>A25 - original c/aro</t>
  </si>
  <si>
    <t>SAM A24 original sem aro</t>
  </si>
  <si>
    <t>SAM A24 sem aro original</t>
  </si>
  <si>
    <t>SAM A24 sem aro OLED</t>
  </si>
  <si>
    <t>SAM A24 OLED sem aro</t>
  </si>
  <si>
    <t xml:space="preserve">A24 - original = R$ </t>
  </si>
  <si>
    <t xml:space="preserve">A25 - original = R$ </t>
  </si>
  <si>
    <t xml:space="preserve">A25 c/aro - original = R$ </t>
  </si>
  <si>
    <t>SAM A25 original sem aro</t>
  </si>
  <si>
    <t>SAM A25 sem aro original</t>
  </si>
  <si>
    <t>SAM A25 sem aro OLED</t>
  </si>
  <si>
    <t>SAM A25 OLED sem aro</t>
  </si>
  <si>
    <t>SAM A25 OLED com aro</t>
  </si>
  <si>
    <t>SAM A25 com aro OLED</t>
  </si>
  <si>
    <t>SAM A25 original com aro</t>
  </si>
  <si>
    <t>SAM A25 com aro original</t>
  </si>
  <si>
    <t>A35 - incell c/aro</t>
  </si>
  <si>
    <t>SAM A35 com aro incell</t>
  </si>
  <si>
    <t>SAM A35 incell com aro</t>
  </si>
  <si>
    <t>Moto G85/Edge 50 Fusion original</t>
  </si>
  <si>
    <t xml:space="preserve">Moto G85 original = R$ </t>
  </si>
  <si>
    <t xml:space="preserve">Edge 50 Fusion original = R$ </t>
  </si>
  <si>
    <t>Moto G85 sem aro original</t>
  </si>
  <si>
    <t>Moto G85 original sem aro</t>
  </si>
  <si>
    <t>Moto G85 sem aro OLED</t>
  </si>
  <si>
    <t>Moto G85 OLED sem aro</t>
  </si>
  <si>
    <t>Moto Edge 50 Fusion sem aro original</t>
  </si>
  <si>
    <t>Moto Edge 50 Fusion original sem aro</t>
  </si>
  <si>
    <t>Moto Edge 50 Fusion sem aro OLED</t>
  </si>
  <si>
    <t>Moto Edge 50 Fusion OLED sem aro</t>
  </si>
  <si>
    <t>A24/A25/M34 - incell</t>
  </si>
  <si>
    <t>A24/A25/M34 - original</t>
  </si>
  <si>
    <t>M21s - incell</t>
  </si>
  <si>
    <t xml:space="preserve">M34 - original  = R$ </t>
  </si>
  <si>
    <t xml:space="preserve">SAM M34 incell sem aro </t>
  </si>
  <si>
    <t>SAM M34 sem aro original</t>
  </si>
  <si>
    <t xml:space="preserve">SAM M34 original sem aro </t>
  </si>
  <si>
    <t>SAM M34 sem aro OLED</t>
  </si>
  <si>
    <t xml:space="preserve">SAM M34 OLED sem aro </t>
  </si>
  <si>
    <t>A35 - original c/aro</t>
  </si>
  <si>
    <t>SAM A35 com aro original</t>
  </si>
  <si>
    <t>SAM A35 original com aro</t>
  </si>
  <si>
    <t>SAM A35 com aro OLED</t>
  </si>
  <si>
    <t>SAM A35 OLED com aro</t>
  </si>
  <si>
    <t>Mi 11T/Mi 11T Pro - incell</t>
  </si>
  <si>
    <t xml:space="preserve">Mi 11T - incell      = R$ </t>
  </si>
  <si>
    <t xml:space="preserve">Mi 11T Pro - incell   = R$ </t>
  </si>
  <si>
    <t>Mi 11T sem aro incell</t>
  </si>
  <si>
    <t>Mi 11T incell sem aro</t>
  </si>
  <si>
    <t>Mi 11T Pro sem aro incell</t>
  </si>
  <si>
    <t>Mi 11T Pro incell sem aro</t>
  </si>
  <si>
    <t>Redmi Note 11 Pro com aro Nacional</t>
  </si>
  <si>
    <t>Redmi Note 11 Pro Nacional com aro</t>
  </si>
  <si>
    <t>Poco X4 Pro com aro Nacional</t>
  </si>
  <si>
    <t>Poco X4 Pro Nacional com aro</t>
  </si>
  <si>
    <t>Poco X4 GT/Redmi Note 11T</t>
  </si>
  <si>
    <t xml:space="preserve">Redmi Note 11T      = R$ </t>
  </si>
  <si>
    <t>Redmi Note 11T sem aro original</t>
  </si>
  <si>
    <t>Redmi Note 11T original sem aro</t>
  </si>
  <si>
    <t>Infinix</t>
  </si>
  <si>
    <t>Infinix Hot 11s</t>
  </si>
  <si>
    <t>Infinix Hot 12</t>
  </si>
  <si>
    <t>Infinix Hot 20i</t>
  </si>
  <si>
    <t>Infinix Hot 30</t>
  </si>
  <si>
    <t>Infinix Hot 40i/Smart 8/Smart 8 Pro</t>
  </si>
  <si>
    <t>⚠ INFINIX</t>
  </si>
  <si>
    <t xml:space="preserve">Infinix Hot 11s   = R$ </t>
  </si>
  <si>
    <t xml:space="preserve">Infinix Hot 12  = R$ </t>
  </si>
  <si>
    <t xml:space="preserve">Infinix Hot 20i   = R$ </t>
  </si>
  <si>
    <t xml:space="preserve">Infinix Hot 30   = R$ </t>
  </si>
  <si>
    <t xml:space="preserve">Infinix Hot 40i  = R$ </t>
  </si>
  <si>
    <t xml:space="preserve">Infinix Smart 8          = R$ </t>
  </si>
  <si>
    <t xml:space="preserve">Infinix Smart 8 Pro   = R$ </t>
  </si>
  <si>
    <t>Infinix Hot 11s sem aro original</t>
  </si>
  <si>
    <t>Infinix Hot 11s original sem aro</t>
  </si>
  <si>
    <t>Infinix Hot 12 sem aro original</t>
  </si>
  <si>
    <t>Infinix Hot 12 original sem aro</t>
  </si>
  <si>
    <t>Infinix Hot 20i sem aro original</t>
  </si>
  <si>
    <t>Infinix Hot 30 sem aro original</t>
  </si>
  <si>
    <t>Infinix Hot 40i sem aro original</t>
  </si>
  <si>
    <t>Infinix Hot 40i original sem aro</t>
  </si>
  <si>
    <t>Infinix Hot 30 original sem aro</t>
  </si>
  <si>
    <t>Infinix Hot 20i original sem aro</t>
  </si>
  <si>
    <t>Infinix Smart 8 sem aro original</t>
  </si>
  <si>
    <t>Infinix Smart 8 Pro sem aro original</t>
  </si>
  <si>
    <t>Infinix Smart 8 original sem aro</t>
  </si>
  <si>
    <t>Infinix Smart 8 Pro original sem aro</t>
  </si>
  <si>
    <t>Placa de Carga Moto G05</t>
  </si>
  <si>
    <t>Placa Carga Moto G05</t>
  </si>
  <si>
    <t>Placa Carga G05</t>
  </si>
  <si>
    <t>Placa Moto G05 (Placa Carga)</t>
  </si>
  <si>
    <t>Placa G05 (Placa Carga)</t>
  </si>
  <si>
    <t>Flex Power e Volume iPhone 12</t>
  </si>
  <si>
    <t>Flex Volume iPhone 12 (+ Power)</t>
  </si>
  <si>
    <t>Flex Power iPhone 12 (+ Volume)</t>
  </si>
  <si>
    <t>Flex Volume e Power iPhone 12</t>
  </si>
  <si>
    <t xml:space="preserve">Moto G05     = R$ </t>
  </si>
  <si>
    <t xml:space="preserve">Moto G05 c/aro  = R$ </t>
  </si>
  <si>
    <t>Moto G05 sem aro original</t>
  </si>
  <si>
    <t>Moto G05 original sem aro</t>
  </si>
  <si>
    <t>Moto G05 com aro original</t>
  </si>
  <si>
    <t>Moto G05 original com aro</t>
  </si>
  <si>
    <t>Placa de Carga iPhone 8/SE 2020</t>
  </si>
  <si>
    <t>Placa Carga iPhone SE 2020</t>
  </si>
  <si>
    <t>Flex Carga iPhone SE 2020</t>
  </si>
  <si>
    <t>Placa Carga SE 2020</t>
  </si>
  <si>
    <t>Flex Carga SE 2020</t>
  </si>
  <si>
    <t>Dock Carga iPhone SE 2020</t>
  </si>
  <si>
    <t>Dock Carga SE 2020</t>
  </si>
  <si>
    <t>Moto G55 c/aro</t>
  </si>
  <si>
    <t>Moto G55 c/aro Nacional</t>
  </si>
  <si>
    <t xml:space="preserve">Moto G55        = R$ </t>
  </si>
  <si>
    <t xml:space="preserve">Moto G55 c/aro      = R$ </t>
  </si>
  <si>
    <t>Moto G55 sem aro original</t>
  </si>
  <si>
    <t>Moto G55 original sem aro</t>
  </si>
  <si>
    <t xml:space="preserve">Moto G55 original com aro </t>
  </si>
  <si>
    <t>Moto G55 com aro original</t>
  </si>
  <si>
    <t>Moto G55 com aro Nacional</t>
  </si>
  <si>
    <t>Moto G55 Nacional com aro</t>
  </si>
  <si>
    <t>Bateria SAM S22 Ultra (BS908)</t>
  </si>
  <si>
    <t>Bateria SAM Galaxy S22 Ultra (BS908)</t>
  </si>
  <si>
    <t>Redmi Note 13 Pro 5G/Poco F6/Poco X6/Poco X6 Pro - incell</t>
  </si>
  <si>
    <t>Redmi Note 13 Pro 5G/Poco F6/Poco X6/Poco X6 Pro - original</t>
  </si>
  <si>
    <t xml:space="preserve">Poco F6 - incell     = R$ </t>
  </si>
  <si>
    <t xml:space="preserve">Poco F6 - original  = R$ </t>
  </si>
  <si>
    <t>Poco F6 incell sem aro</t>
  </si>
  <si>
    <t>Poco F6 sem aro incell</t>
  </si>
  <si>
    <t>Poco F6 original sem aro</t>
  </si>
  <si>
    <t>Poco F6 sem aro original</t>
  </si>
  <si>
    <t>Poco F6 OLED sem aro</t>
  </si>
  <si>
    <t>Poco F6 sem aro OLED</t>
  </si>
  <si>
    <t>SAM A32 original com aro (4G)</t>
  </si>
  <si>
    <t>SAM A32 4G original com aro (4G)</t>
  </si>
  <si>
    <t>SAM A14 original com aro (5G)</t>
  </si>
  <si>
    <t>SAM A14 original com aro (4G)</t>
  </si>
  <si>
    <t>SAM A14 original sem aro (4G)</t>
  </si>
  <si>
    <t>SAM A14 original sem aro (5G)</t>
  </si>
  <si>
    <t xml:space="preserve">M23 5G - original  = R$ </t>
  </si>
  <si>
    <t>iPhone XR original (JK)</t>
  </si>
  <si>
    <t>SAM A32 com aro OLED (4G)</t>
  </si>
  <si>
    <t>SAM A32 OLED com aro (4G)</t>
  </si>
  <si>
    <t>A71 - original c/aro (Tela/G)</t>
  </si>
  <si>
    <t>Infinix Hot 30i/Smart 7/Spark 10</t>
  </si>
  <si>
    <t xml:space="preserve">Infinix Hot 30i  = R$ </t>
  </si>
  <si>
    <t xml:space="preserve">Infinix Smart 7         = R$ </t>
  </si>
  <si>
    <t xml:space="preserve">Infinix Spark 10   = R$ </t>
  </si>
  <si>
    <t>Infinix Smart 7 sem aro original</t>
  </si>
  <si>
    <t>Infinix Smart 7 original sem aro</t>
  </si>
  <si>
    <t>Infinix Spark 10 sem aro original</t>
  </si>
  <si>
    <t>Infinix Spark 10 original sem aro</t>
  </si>
  <si>
    <t>Infinix Hot 30i sem aro original</t>
  </si>
  <si>
    <t>Infinix Hot 30i original sem aro</t>
  </si>
  <si>
    <t>Moto G75</t>
  </si>
  <si>
    <t xml:space="preserve">Moto G75    = R$ </t>
  </si>
  <si>
    <t>Moto G75 sem aro original</t>
  </si>
  <si>
    <t>Moto G75 original sem aro</t>
  </si>
  <si>
    <t>Moto Z Play - original</t>
  </si>
  <si>
    <t>Moto Z Play - incell</t>
  </si>
  <si>
    <t xml:space="preserve">Moto Z Play - original = R$ </t>
  </si>
  <si>
    <t xml:space="preserve">Moto Z Play - incell = R$ </t>
  </si>
  <si>
    <t>Moto Z Play sem aro incell</t>
  </si>
  <si>
    <t>Moto Z Play incell sem aro</t>
  </si>
  <si>
    <t>Mi 10T/Mi 10T Pro - orig</t>
  </si>
  <si>
    <t xml:space="preserve">Mi 10T - original  = R$ </t>
  </si>
  <si>
    <t xml:space="preserve">Mi 10T Pro - original = R$ </t>
  </si>
  <si>
    <t>Mi 10T Pro original sem aro</t>
  </si>
  <si>
    <t>Mi 10T Pro sem aro original</t>
  </si>
  <si>
    <t>Realme C51/C53/Note 50</t>
  </si>
  <si>
    <t xml:space="preserve">Realme Note 50 = R$ </t>
  </si>
  <si>
    <t>Realme C51 sem aro original</t>
  </si>
  <si>
    <t xml:space="preserve">Realme C51 original sem aro </t>
  </si>
  <si>
    <t>Realme C55 sem aro original</t>
  </si>
  <si>
    <t xml:space="preserve">Realme C55 original sem aro </t>
  </si>
  <si>
    <t>Realme C53 sem aro original</t>
  </si>
  <si>
    <t xml:space="preserve">Realme C53 original sem aro </t>
  </si>
  <si>
    <t>Realme Note 50 sem aro original</t>
  </si>
  <si>
    <t>Realme Note 50 original sem aro</t>
  </si>
  <si>
    <t>Realme C55 com aro original</t>
  </si>
  <si>
    <t xml:space="preserve">Realme C55 original com aro </t>
  </si>
  <si>
    <t>Asus Zenfone Max Pro M1 (ZB601KL/ZB602KL)</t>
  </si>
  <si>
    <t>Xiaomi 13 Lite - original</t>
  </si>
  <si>
    <t xml:space="preserve">Xiaomi 13 Lite/Mi 13 Lite -orig = </t>
  </si>
  <si>
    <t>Xiaomi 13 Lite sem aro OLED</t>
  </si>
  <si>
    <t xml:space="preserve">Xiaomi 13 Lite OLED sem aro </t>
  </si>
  <si>
    <t>Xiaomi 13 Lite sem aro original</t>
  </si>
  <si>
    <t xml:space="preserve">Xiaomi 13 Lite original sem aro </t>
  </si>
  <si>
    <t>Mi 13 Lite sem aro OLED</t>
  </si>
  <si>
    <t xml:space="preserve">Mi 13 Lite OLED sem aro </t>
  </si>
  <si>
    <t>Mi 13 Lite sem aro original</t>
  </si>
  <si>
    <t xml:space="preserve">Mi 13 Lite original sem aro </t>
  </si>
  <si>
    <t>Flex Power Biometria Xiaomi Mi 11 Lite/Xiaomi 11 Lite 5G NE (COM DIGITAL)</t>
  </si>
  <si>
    <t>Flex Power Biometria Xiaomi Mi 11 Lite/Xiaomi 11 Lite 5G NE (SEM DIGITAL)</t>
  </si>
  <si>
    <t>Poco F3/Poco F4 incell</t>
  </si>
  <si>
    <t>Poco F3/Poco F4 original</t>
  </si>
  <si>
    <t xml:space="preserve">Poco F4 - incell     = R$ </t>
  </si>
  <si>
    <t xml:space="preserve">Poco F4 - original  = R$ </t>
  </si>
  <si>
    <t>Poco F3 sem aro OLED</t>
  </si>
  <si>
    <t>Poco F3 OLED sem aro</t>
  </si>
  <si>
    <t>Poco F4 sem aro incell</t>
  </si>
  <si>
    <t>Poco F4 incell sem aro</t>
  </si>
  <si>
    <t>Poco F4 sem aro original</t>
  </si>
  <si>
    <t>Poco F4 original sem aro</t>
  </si>
  <si>
    <t>Poco F4 sem aro OLED</t>
  </si>
  <si>
    <t>Poco F4 OLED sem aro</t>
  </si>
  <si>
    <t>M51 - incell c/aro</t>
  </si>
  <si>
    <t xml:space="preserve">M51 - incell c/aro = R$ </t>
  </si>
  <si>
    <t>SAM M51 com aro incell</t>
  </si>
  <si>
    <t>SAM M51 incell com aro</t>
  </si>
  <si>
    <t>A02 c/aro</t>
  </si>
  <si>
    <t>A02s c/aro</t>
  </si>
  <si>
    <t>A50/A30 - incell c/aro</t>
  </si>
  <si>
    <t>A50/A30 - original c/aro</t>
  </si>
  <si>
    <t>A51 - incell c/aro</t>
  </si>
  <si>
    <t>A51 - original c/aro (T/Pequena)</t>
  </si>
  <si>
    <t>A51 - original c/aro (T/Grande)</t>
  </si>
  <si>
    <t>A53 - original c/aro</t>
  </si>
  <si>
    <t>A80 - original c/aro</t>
  </si>
  <si>
    <t>A7 2018 (A750) - original c/aro</t>
  </si>
  <si>
    <t>M20 c/aro</t>
  </si>
  <si>
    <t>M21s/M30/M30s/M31 - incell c/aro</t>
  </si>
  <si>
    <t>M21s/M30/M30s/M31 - original c/aro</t>
  </si>
  <si>
    <t>A26 - incell c/aro</t>
  </si>
  <si>
    <t>A26 - original</t>
  </si>
  <si>
    <t>A26 - original c/aro</t>
  </si>
  <si>
    <t xml:space="preserve">A26 - incell c/aro = R$ </t>
  </si>
  <si>
    <t xml:space="preserve">A26 - original c/aro = R$ </t>
  </si>
  <si>
    <t xml:space="preserve">A26 - original       = R$ </t>
  </si>
  <si>
    <t>SAM A26 original sem aro</t>
  </si>
  <si>
    <t>SAM A26 sem aro original</t>
  </si>
  <si>
    <t>SAM A26 sem aro OLED</t>
  </si>
  <si>
    <t>SAM A26 OLED sem aro</t>
  </si>
  <si>
    <t>SAM A26 OLED com aro</t>
  </si>
  <si>
    <t>SAM A26 com aro OLED</t>
  </si>
  <si>
    <t>SAM A26 original com aro</t>
  </si>
  <si>
    <t>SAM A26 com aro original</t>
  </si>
  <si>
    <t>SAM A26 com aro incell</t>
  </si>
  <si>
    <t>SAM A26 incell com aro</t>
  </si>
  <si>
    <t>A34 - incell c/aro</t>
  </si>
  <si>
    <t xml:space="preserve">A34 c/aro - incell     = R$ </t>
  </si>
  <si>
    <t>SAM A34 com aro incell</t>
  </si>
  <si>
    <t>SAM A34 incell com aro</t>
  </si>
  <si>
    <t>A36 - incell c/aro</t>
  </si>
  <si>
    <t>A36 - original c/aro</t>
  </si>
  <si>
    <t xml:space="preserve">A36 - incell c/aro = R$ </t>
  </si>
  <si>
    <t xml:space="preserve">A36 - original       = R$ </t>
  </si>
  <si>
    <t xml:space="preserve">A36 - original c/aro = R$ </t>
  </si>
  <si>
    <t>SAM A36 original com aro</t>
  </si>
  <si>
    <t>SAM A36 com aro original</t>
  </si>
  <si>
    <t>SAM A36 com aro incell</t>
  </si>
  <si>
    <t>SAM A36 incell com aro</t>
  </si>
  <si>
    <t>SAM A36 original sem aro</t>
  </si>
  <si>
    <t>SAM A36 sem aro original</t>
  </si>
  <si>
    <t>SAM A36 sem aro OLED</t>
  </si>
  <si>
    <t>SAM A36 OLED sem aro</t>
  </si>
  <si>
    <t>SAM A36 OLED com aro</t>
  </si>
  <si>
    <t>SAM A36 com aro OLED</t>
  </si>
  <si>
    <t>A56 - incell c/aro</t>
  </si>
  <si>
    <t>A56 - original c/aro</t>
  </si>
  <si>
    <t xml:space="preserve">A56 - incell c/aro = R$ </t>
  </si>
  <si>
    <t xml:space="preserve">A56 - original       = R$ </t>
  </si>
  <si>
    <t xml:space="preserve">A56 - original c/aro = R$ </t>
  </si>
  <si>
    <t>SAM A56 com aro incell</t>
  </si>
  <si>
    <t>SAM A56 incell com aro</t>
  </si>
  <si>
    <t>SAM A56 original sem aro</t>
  </si>
  <si>
    <t>SAM A56 sem aro original</t>
  </si>
  <si>
    <t>SAM A56 sem aro OLED</t>
  </si>
  <si>
    <t>SAM A56 OLED sem aro</t>
  </si>
  <si>
    <t>SAM A56 OLED com aro</t>
  </si>
  <si>
    <t>SAM A56 com aro OLED</t>
  </si>
  <si>
    <t>SAM A56 original com aro</t>
  </si>
  <si>
    <t>SAM A56 com aro original</t>
  </si>
  <si>
    <t>M15 - incell c/aro</t>
  </si>
  <si>
    <t>M15 - original c/aro</t>
  </si>
  <si>
    <t xml:space="preserve">M15 - incell c/aro = R$ </t>
  </si>
  <si>
    <t xml:space="preserve">M15 - original       = R$ </t>
  </si>
  <si>
    <t xml:space="preserve">M15 - original c/aro = R$ </t>
  </si>
  <si>
    <t>SAM M15 com aro incell</t>
  </si>
  <si>
    <t>SAM M15 incell com aro</t>
  </si>
  <si>
    <t>SAM M15 original sem aro</t>
  </si>
  <si>
    <t>SAM M15 sem aro original</t>
  </si>
  <si>
    <t>SAM M15 sem aro OLED</t>
  </si>
  <si>
    <t>SAM M15 OLED sem aro</t>
  </si>
  <si>
    <t>SAM M15 OLED com aro</t>
  </si>
  <si>
    <t>SAM M15 com aro OLED</t>
  </si>
  <si>
    <t>SAM M15 original com aro</t>
  </si>
  <si>
    <t>SAM M15 com aro original</t>
  </si>
  <si>
    <t xml:space="preserve">Galaxy S23 FE c/aro </t>
  </si>
  <si>
    <t xml:space="preserve">Galaxy S24 FE c/aro </t>
  </si>
  <si>
    <t xml:space="preserve">Galaxy S23 FE c/aro    = R$ </t>
  </si>
  <si>
    <t xml:space="preserve">Galaxy S24 FE c/aro    = R$ </t>
  </si>
  <si>
    <t>SAM Galaxy S23 FE com aro original</t>
  </si>
  <si>
    <t>SAM Galaxy S23 FE original com aro</t>
  </si>
  <si>
    <t>SAM Galaxy S24 FE com aro original</t>
  </si>
  <si>
    <t>SAM Galaxy S24 FE original com aro</t>
  </si>
  <si>
    <t>Moto G200 c/aro</t>
  </si>
  <si>
    <t xml:space="preserve">Moto G200 c/aro        = R$ </t>
  </si>
  <si>
    <t>Moto G200 com aro original</t>
  </si>
  <si>
    <t>Moto G200 original com aro</t>
  </si>
  <si>
    <t>Moto Edge 40/Edge 40 Neo original</t>
  </si>
  <si>
    <t xml:space="preserve">Moto Edge 40 original = R$ </t>
  </si>
  <si>
    <t xml:space="preserve">Moto Edge 40 Neo orig = R$ </t>
  </si>
  <si>
    <t>Moto Edge 40 sem aro original</t>
  </si>
  <si>
    <t>Moto Edge 40 original sem aro</t>
  </si>
  <si>
    <t>Moto Edge 40 sem aro OLED</t>
  </si>
  <si>
    <t>Moto Edge 40 OLED sem aro</t>
  </si>
  <si>
    <t>Moto Edge 40 Neo sem aro original</t>
  </si>
  <si>
    <t>Moto Edge 40 Neo original sem aro</t>
  </si>
  <si>
    <t>Moto Edge 40 Neo sem aro OLED</t>
  </si>
  <si>
    <t>Moto Edge 40 Neo OLED sem aro</t>
  </si>
  <si>
    <t>A01 Core c/aro Nacional Diamonds</t>
  </si>
  <si>
    <t xml:space="preserve">A01 Core c/aro Nac Diamonds = </t>
  </si>
  <si>
    <t xml:space="preserve">A01 (M) c/aro Nac Diamonds= </t>
  </si>
  <si>
    <t>A02 c/aro Nacional Diamonds</t>
  </si>
  <si>
    <t>A02s c/aro Nacional Diamonds</t>
  </si>
  <si>
    <t>A03 c/aro Nacional Diamonds</t>
  </si>
  <si>
    <t xml:space="preserve">A02 c/aro Nac Diamonds = </t>
  </si>
  <si>
    <t xml:space="preserve">A02s c/aro Nac Diamonds = </t>
  </si>
  <si>
    <t xml:space="preserve">A03 c/aro Nac Diamonds = </t>
  </si>
  <si>
    <t>A03s c/aro Nacional Diamonds</t>
  </si>
  <si>
    <t xml:space="preserve">A03s c/aro Nac Diamonds = </t>
  </si>
  <si>
    <t xml:space="preserve">A03 Core c/aro Nac Diamonds = </t>
  </si>
  <si>
    <t>A03 Core c/aro Nacional</t>
  </si>
  <si>
    <t>A03 Core c/aro Nacional Diamonds</t>
  </si>
  <si>
    <t>A04 c/aro Nacional Diamonds</t>
  </si>
  <si>
    <t xml:space="preserve">A04 c/aro Nacional = R$ </t>
  </si>
  <si>
    <t xml:space="preserve">A04 c/aro Nac Diamonds = </t>
  </si>
  <si>
    <t>A04E c/aro Nacional Diamonds</t>
  </si>
  <si>
    <t xml:space="preserve">A04E c/aro Nac Diamonds = </t>
  </si>
  <si>
    <t>A04s c/aro Nacional Diamonds</t>
  </si>
  <si>
    <t xml:space="preserve">A04s c/aro Nac Diamonds = </t>
  </si>
  <si>
    <t>A10 c/aro Nacional Diamonds</t>
  </si>
  <si>
    <t xml:space="preserve">A10 c/aro Nac Diamonds = </t>
  </si>
  <si>
    <t>A10s c/aro Nacional Diamonds</t>
  </si>
  <si>
    <t xml:space="preserve">A10s c/aro Nac Diamonds = </t>
  </si>
  <si>
    <t>A11 c/aro Nacional Diamonds</t>
  </si>
  <si>
    <t xml:space="preserve">A11 c/aro Nac Diamonds = </t>
  </si>
  <si>
    <t xml:space="preserve">A12 c/aro Nac Diamonds = </t>
  </si>
  <si>
    <t>A13 4G c/aro Nacional Diamonds</t>
  </si>
  <si>
    <t xml:space="preserve">A13 4G c/aro Nac Diamonds = </t>
  </si>
  <si>
    <t>A13 5G c/aro Nacional Diamonds</t>
  </si>
  <si>
    <t xml:space="preserve">A13 5G c/aro Nac Diamonds = </t>
  </si>
  <si>
    <t>A14 4G c/aro Nacional Diamonds</t>
  </si>
  <si>
    <t xml:space="preserve">A14 4G c/aro Nac Diamonds = </t>
  </si>
  <si>
    <t>A14 5G c/aro Nacional Diamonds</t>
  </si>
  <si>
    <t xml:space="preserve">A14 5G c/aro Nac Diamonds = </t>
  </si>
  <si>
    <t>A15 c/aro Nacional</t>
  </si>
  <si>
    <t>A15 c/aro Nacional Diamonds</t>
  </si>
  <si>
    <t>A15 c/aro original</t>
  </si>
  <si>
    <t xml:space="preserve">A15 c/aro Nacional = R$ </t>
  </si>
  <si>
    <t xml:space="preserve">A15 c/aro Nac Diamonds = </t>
  </si>
  <si>
    <t>A20s c/aro Nacional Diamonds</t>
  </si>
  <si>
    <t xml:space="preserve">A20s c/aro Nacional = R$ </t>
  </si>
  <si>
    <t xml:space="preserve">A20s c/aro Nac Diamonds = </t>
  </si>
  <si>
    <t>A21s c/aro Nacional Diamonds</t>
  </si>
  <si>
    <t xml:space="preserve">A21s c/aro Nacional = R$ </t>
  </si>
  <si>
    <t xml:space="preserve">A21s c/aro Nac Diamonds = </t>
  </si>
  <si>
    <t>A22 5G c/aro Nacional</t>
  </si>
  <si>
    <t>A22 5G c/aro Nacional Diamonds</t>
  </si>
  <si>
    <t xml:space="preserve">A22 5G c/aro Nacional = R$ </t>
  </si>
  <si>
    <t xml:space="preserve">A22 5G c/aro Nac Diamonds = </t>
  </si>
  <si>
    <t>A23 4G c/aro Nacional Diamonds</t>
  </si>
  <si>
    <t xml:space="preserve">A23 4G c/aro Nac Diamonds = </t>
  </si>
  <si>
    <t>A23 5G c/aro Nacional Diamonds</t>
  </si>
  <si>
    <t xml:space="preserve">A23 5G c/aro Nac Diamonds = </t>
  </si>
  <si>
    <t>A32 5G c/aro Nacional Diamonds</t>
  </si>
  <si>
    <t xml:space="preserve">A32 5G c/aro Nac Diamonds = </t>
  </si>
  <si>
    <t>A33 c/aro Nacional Diamonds</t>
  </si>
  <si>
    <t xml:space="preserve">A33 c/aro Nac Diamonds = </t>
  </si>
  <si>
    <t>A34 c/aro Nacional Diamonds</t>
  </si>
  <si>
    <t xml:space="preserve">A34 c/aro Nac Diamonds = </t>
  </si>
  <si>
    <t>A35 c/aro Nacional Diamonds</t>
  </si>
  <si>
    <t xml:space="preserve">A35 - incell c/aro = R$ </t>
  </si>
  <si>
    <t xml:space="preserve">A35 - original c/aro = R$ </t>
  </si>
  <si>
    <t xml:space="preserve">A35 c/aro Nacional   = R$ </t>
  </si>
  <si>
    <t xml:space="preserve">A35 c/aro Nac Diamonds = </t>
  </si>
  <si>
    <t>A53 c/aro Nacional Diamonds</t>
  </si>
  <si>
    <t xml:space="preserve">A53 c/aro Nac Diamonds = </t>
  </si>
  <si>
    <t>A54 c/aro Nacional Diamonds</t>
  </si>
  <si>
    <t xml:space="preserve">A54 c/aro Nac Diamonds = </t>
  </si>
  <si>
    <t>A55 c/aro Nacional</t>
  </si>
  <si>
    <t>A55 c/aro Nacional Diamonds</t>
  </si>
  <si>
    <t xml:space="preserve">A55 c/aro Nac Diamonds = </t>
  </si>
  <si>
    <t xml:space="preserve">A55 c/aro Nacional = R$ </t>
  </si>
  <si>
    <t>A72 - original c/aro (Tela/G)</t>
  </si>
  <si>
    <t xml:space="preserve">M12 c/aro Nac Diamonds = </t>
  </si>
  <si>
    <t>M13 4G c/aro Nacional Diamonds</t>
  </si>
  <si>
    <t xml:space="preserve">M13 4G c/aro Nac Diamonds = </t>
  </si>
  <si>
    <t>M22 c/aro Nacional Diamonds</t>
  </si>
  <si>
    <t xml:space="preserve">M22 c/aro Nac Diamonds = </t>
  </si>
  <si>
    <t>M23 5G c/aro Nacional</t>
  </si>
  <si>
    <t>M23 5G c/aro Nacional Diamonds</t>
  </si>
  <si>
    <t xml:space="preserve">M23 5G c/aro Nacional = R$ </t>
  </si>
  <si>
    <t xml:space="preserve">M23 5G c/aro Nac Diamonds = </t>
  </si>
  <si>
    <t>Moto G5G Plus c/aro</t>
  </si>
  <si>
    <t>Moto G5G Plus c/aro Nacional</t>
  </si>
  <si>
    <t xml:space="preserve">Moto G5G Plus c/aro = R$ </t>
  </si>
  <si>
    <t xml:space="preserve">G5G Plus c/aro Nacional = R$ </t>
  </si>
  <si>
    <t>Moto G5G Plus c/aro Nacional Diamonds</t>
  </si>
  <si>
    <t xml:space="preserve">G5G Plus c/aro Nac Diamonds = </t>
  </si>
  <si>
    <t>Moto G5G Plus com aro original</t>
  </si>
  <si>
    <t>Moto G5G Plus original com aro</t>
  </si>
  <si>
    <t>Moto G5G Plus com aro Nacional</t>
  </si>
  <si>
    <t>Moto G5G Plus Nacional com aro</t>
  </si>
  <si>
    <t>Moto G5G Plus com aro Nacional Diamonds</t>
  </si>
  <si>
    <t>Moto G5G Plus Nacional Diamonds com aro</t>
  </si>
  <si>
    <t>M34 c/aro Nacional Diamonds</t>
  </si>
  <si>
    <t>M34 c/aro Nacional</t>
  </si>
  <si>
    <t xml:space="preserve">M34 c/aro Nac Diamonds = </t>
  </si>
  <si>
    <t>M52 c/aro Nacional</t>
  </si>
  <si>
    <t>M52 c/aro Nacional Diamonds</t>
  </si>
  <si>
    <t xml:space="preserve">M52 c/aro Nac Diamonds = </t>
  </si>
  <si>
    <t>M53 c/aro Nacional</t>
  </si>
  <si>
    <t>M53 c/aro Nacional Diamonds</t>
  </si>
  <si>
    <t xml:space="preserve">M53 c/aro Nac Diamonds = </t>
  </si>
  <si>
    <t>Galaxy Note 10 Plus c/aro Nac Diamonds (Tela/P)</t>
  </si>
  <si>
    <t xml:space="preserve">Galaxy S10 c/aro Nac Diamonds = </t>
  </si>
  <si>
    <t xml:space="preserve">Galaxy S10 Plus c/aro Nac Diamonds = </t>
  </si>
  <si>
    <t xml:space="preserve">Galaxy S20 c/aro Nac Diamonds = </t>
  </si>
  <si>
    <t xml:space="preserve">Galaxy S20 FE c/aro Nac Diamonds = </t>
  </si>
  <si>
    <t xml:space="preserve">Galaxy S20 Plus c/aro Nac Diamonds = </t>
  </si>
  <si>
    <t xml:space="preserve">Galaxy S20 Ultra c/aro Nac Diamonds = </t>
  </si>
  <si>
    <t xml:space="preserve">Galaxy S21 c/aro Nac Diamonds = </t>
  </si>
  <si>
    <t xml:space="preserve">Galaxy S21 Plus c/aro Nac Diamonds = </t>
  </si>
  <si>
    <t xml:space="preserve">Galaxy S21 Ultra c/aro Nac Diamonds = </t>
  </si>
  <si>
    <t xml:space="preserve">Galaxy S23 FE c/aro Nac Diamonds = </t>
  </si>
  <si>
    <t>Note 10 Plus c/aro Nac Diamonds (Tela/P)=</t>
  </si>
  <si>
    <t xml:space="preserve">Galaxy S20 FE c/aro = R$  </t>
  </si>
  <si>
    <t>Galaxy S10 c/aro Nac Diamonds</t>
  </si>
  <si>
    <t>Galaxy S10 Plus c/aro Nac Diamonds</t>
  </si>
  <si>
    <t>Galaxy S20 c/aro Nac Diamonds</t>
  </si>
  <si>
    <t>Galaxy S20 Plus c/aro Nac Diamonds</t>
  </si>
  <si>
    <t>Galaxy S20 Ultra c/aro Nac Diamonds</t>
  </si>
  <si>
    <t>Galaxy S21 c/aro Nac Diamonds</t>
  </si>
  <si>
    <t>Galaxy S21 Plus c/aro Nac Diamonds</t>
  </si>
  <si>
    <t>Galaxy S21 Ultra c/aro Nac Diamonds</t>
  </si>
  <si>
    <t>Galaxy S20 FE c/aro Nac Diamonds</t>
  </si>
  <si>
    <t>Galaxy S21 FE c/aro Nac Diamonds</t>
  </si>
  <si>
    <t xml:space="preserve">Galaxy S21 FE c/aro Nac Diamonds = </t>
  </si>
  <si>
    <t>Galaxy S23 FE c/aro Nac Diamonds</t>
  </si>
  <si>
    <t>Galaxy S24 FE c/aro Nac Diamonds</t>
  </si>
  <si>
    <t xml:space="preserve">Galaxy S24 FE c/aro Nac Diamonds = </t>
  </si>
  <si>
    <t>SAM A01 com aro Nacional Diamonds</t>
  </si>
  <si>
    <t>SAM A01 Nacional Diamonds com aro</t>
  </si>
  <si>
    <t>SAM A01 Core com aro Nacional Diamonds</t>
  </si>
  <si>
    <t>SAM A01 Core Nacional Diamonds com aro</t>
  </si>
  <si>
    <t>SAM A02 com aro Nacional Diamonds</t>
  </si>
  <si>
    <t>SAM A02 Nacional Diamonds com aro</t>
  </si>
  <si>
    <t>SAM A02s com aro Nacional Diamonds</t>
  </si>
  <si>
    <t>SAM A02s Nacional Diamonds com aro</t>
  </si>
  <si>
    <t>SAM A03 com aro Nacional Diamonds</t>
  </si>
  <si>
    <t>SAM A03 Nacional Diamonds com aro</t>
  </si>
  <si>
    <t>SAM A03 Core com aro Nacional Diamonds</t>
  </si>
  <si>
    <t>SAM A03 Core Nacional Diamonds com aro</t>
  </si>
  <si>
    <t>SAM A03s com aro Nacional Diamonds</t>
  </si>
  <si>
    <t>SAM A03s Nacional Diamonds com aro</t>
  </si>
  <si>
    <t>SAM A04 com aro Nacional Diamonds</t>
  </si>
  <si>
    <t>SAM A04 Nacional Diamonds com aro</t>
  </si>
  <si>
    <t>SAM A04E com aro Nacional Diamonds</t>
  </si>
  <si>
    <t>SAM A04E Nacional Diamonds com aro</t>
  </si>
  <si>
    <t>SAM A04s com aro Nacional Diamonds</t>
  </si>
  <si>
    <t>SAM A04s Nacional Diamonds com aro</t>
  </si>
  <si>
    <t>SAM A10 com aro Nacional Diamonds</t>
  </si>
  <si>
    <t>SAM A10 Nacional Diamonds com aro</t>
  </si>
  <si>
    <t>SAM A10s com aro Nacional Diamonds</t>
  </si>
  <si>
    <t>SAM A10s Nacional Diamonds com aro</t>
  </si>
  <si>
    <t>SAM A11 com aro Nacional Diamonds</t>
  </si>
  <si>
    <t>SAM A11 Nacional Diamonds com aro</t>
  </si>
  <si>
    <t>SAM A12 com aro Nacional Diamonds</t>
  </si>
  <si>
    <t>SAM A12 Nacional Diamonds com aro</t>
  </si>
  <si>
    <t>SAM A13 4G com aro Nacional Diamonds</t>
  </si>
  <si>
    <t>SAM A13 4G Nacional Diamonds com aro</t>
  </si>
  <si>
    <t>SAM A13 5G com aro Nacional Diamonds</t>
  </si>
  <si>
    <t>SAM A13 5G Nacional Diamonds com aro</t>
  </si>
  <si>
    <t>SAM A14 4G com aro Nacional Diamonds</t>
  </si>
  <si>
    <t>SAM A14 4G Nacional Diamonds com aro</t>
  </si>
  <si>
    <t>SAM A14 com aro Nacional Diamonds (4G)</t>
  </si>
  <si>
    <t>SAM A14 Nacional Diamonds com aro (4G)</t>
  </si>
  <si>
    <t>SAM A14 5G com aro Nacional Diamonds</t>
  </si>
  <si>
    <t>SAM A14 5G Nacional Diamonds com aro</t>
  </si>
  <si>
    <t>SAM A14 com aro Nacional Diamonds (5G)</t>
  </si>
  <si>
    <t>SAM A14 Nacional Diamonds com aro (5G)</t>
  </si>
  <si>
    <t>SAM A15 com aro Nacional Diamonds</t>
  </si>
  <si>
    <t>SAM A15 Nacional Diamonds com aro</t>
  </si>
  <si>
    <t>SAM A15 4G com aro Nacional Diamonds</t>
  </si>
  <si>
    <t>SAM A15 4G Nacional Diamonds com aro</t>
  </si>
  <si>
    <t>SAM A20s com aro Nacional Diamonds</t>
  </si>
  <si>
    <t>SAM A20s Nacional Diamonds com aro</t>
  </si>
  <si>
    <t>SAM A21s com aro Nacional Diamonds</t>
  </si>
  <si>
    <t>SAM A21s Nacional Diamonds com aro</t>
  </si>
  <si>
    <t>SAM A22 5G Nacional Diamonds com aro</t>
  </si>
  <si>
    <t>SAM A22 5G com aro Nacional Diamonds</t>
  </si>
  <si>
    <t>SAM A23 4G com aro Nacional Diamonds</t>
  </si>
  <si>
    <t>SAM A23 4G Nacional Diamonds com aro</t>
  </si>
  <si>
    <t>SAM A23 com aro Nacional Diamonds (4G)</t>
  </si>
  <si>
    <t>SAM A23 Nacional Diamonds com aro (4G)</t>
  </si>
  <si>
    <t>SAM A23 5G com aro Nacional Diamonds</t>
  </si>
  <si>
    <t>SAM A23 5G Nacional Diamonds com aro</t>
  </si>
  <si>
    <t>SAM A23 com aro Nacional Diamonds (5G)</t>
  </si>
  <si>
    <t>SAM A23 Nacional Diamonds com aro (5G)</t>
  </si>
  <si>
    <t>SAM A32 5G com aro Nacional Diamonds</t>
  </si>
  <si>
    <t>SAM A32 5G Nacional Diamonds com aro</t>
  </si>
  <si>
    <t>SAM A32 com aro Nacional Diamonds (5G)</t>
  </si>
  <si>
    <t>SAM A32 Nacional Diamonds com aro (5G)</t>
  </si>
  <si>
    <t>SAM A33 com aro Nacional Diamonds</t>
  </si>
  <si>
    <t>SAM A33 Nacional Diamonds com aro</t>
  </si>
  <si>
    <t>SAM A34 com aro Nacional Diamonds</t>
  </si>
  <si>
    <t>SAM A34 Nacional Diamonds com aro</t>
  </si>
  <si>
    <t>SAM A35 com aro Nacional Diamonds</t>
  </si>
  <si>
    <t>SAM A35 Nacional Diamonds com aro</t>
  </si>
  <si>
    <t>SAM A53 com aro Nacional Diamonds</t>
  </si>
  <si>
    <t>SAM A53 Nacional Diamonds com aro</t>
  </si>
  <si>
    <t>SAM A54 com aro Nacional Diamonds</t>
  </si>
  <si>
    <t>SAM A54 Nacional Diamonds com aro</t>
  </si>
  <si>
    <t>SAM A55 Nacional Diamonds com aro</t>
  </si>
  <si>
    <t>SAM A55 com aro Nacional Diamonds</t>
  </si>
  <si>
    <t>SAM Galaxy S10 com aro Nacional Diamonds</t>
  </si>
  <si>
    <t>SAM Galaxy S10 Nacional Diamonds com aro</t>
  </si>
  <si>
    <t>SAM Galaxy S10 Plus com aro Nacional Diamonds</t>
  </si>
  <si>
    <t>SAM Galaxy S10 Plus Nacional Diamonds com aro</t>
  </si>
  <si>
    <t>SAM Galaxy S20 com aro Nacional Diamonds</t>
  </si>
  <si>
    <t>SAM Galaxy S20 Nacional Diamonds com aro</t>
  </si>
  <si>
    <t>SAM Galaxy S20 Plus com aro Nacional Diamonds</t>
  </si>
  <si>
    <t>SAM Galaxy S20 Plus Nacional Diamonds com aro</t>
  </si>
  <si>
    <t>Bateria SAM A10s/A11/A20s/A21 (Gold-111)</t>
  </si>
  <si>
    <t>Bateria iPhone 13 Gold-873</t>
  </si>
  <si>
    <t>Bateria iPhone 11 Gold-867</t>
  </si>
  <si>
    <t>Bateria iPhone 11 Pro Gold-868</t>
  </si>
  <si>
    <t>Bateria iPhone 11 Pro Max Gold-869</t>
  </si>
  <si>
    <t>Bateria iPhone 12 Foxconn</t>
  </si>
  <si>
    <t>Bateria iPhone 12 Pro Foxconn</t>
  </si>
  <si>
    <t>Bateria iPhone 12 Gold-870</t>
  </si>
  <si>
    <t>Bateria iPhone 12 Pro Gold-871</t>
  </si>
  <si>
    <t>Bateria iPhone 12 Pro Max Gold-872</t>
  </si>
  <si>
    <t>Bateria iPhone 13 Pro Gold-874</t>
  </si>
  <si>
    <t>Bateria iPhone 13 Pro Max Gold-875</t>
  </si>
  <si>
    <t>Bateria iPhone 14 Gold-890</t>
  </si>
  <si>
    <t>Bateria iPhone 14 Pro Gold-891</t>
  </si>
  <si>
    <t>Bateria iPhone 14 Pro Max Gold-892</t>
  </si>
  <si>
    <t>Bateria iPhone 15 Foxconn</t>
  </si>
  <si>
    <t>Bateria iPhone 15 Gold-850</t>
  </si>
  <si>
    <t>Bateria iPhone 15 Pro Foxconn</t>
  </si>
  <si>
    <t>Bateria iPhone 15 Pro Gold</t>
  </si>
  <si>
    <t>Bateria iPhone 15 Pro Max Foxconn</t>
  </si>
  <si>
    <t>Bateria iPhone 15 Pro Max Gold</t>
  </si>
  <si>
    <t>Bateria iPhone 6 Gold-855</t>
  </si>
  <si>
    <t>Bateria iPhone 6 Plus Gold-856</t>
  </si>
  <si>
    <t>Bateria iPhone 6s Gold-857</t>
  </si>
  <si>
    <t>Bateria iPhone 6s Plus Gold-858</t>
  </si>
  <si>
    <t>Bateria iPhone 7 Gold-859</t>
  </si>
  <si>
    <t>Bateria iPhone 7 Plus Gold-860</t>
  </si>
  <si>
    <t>Bateria iPhone 8 Gold-861</t>
  </si>
  <si>
    <t>Bateria iPhone 8 Plus Gold-862</t>
  </si>
  <si>
    <t>Bateria iPhone X Gold-863</t>
  </si>
  <si>
    <t>Bateria iPhone XR Gold-864)</t>
  </si>
  <si>
    <t>Bateria iPhone XS Gold-865</t>
  </si>
  <si>
    <t>Bateria iPhone XS Max Gold-866</t>
  </si>
  <si>
    <t>Bateria 11 Pro Gold-868</t>
  </si>
  <si>
    <t>Bateria 11 Pro Max Gold-869</t>
  </si>
  <si>
    <t>Bateria 12 Pro Foxconn</t>
  </si>
  <si>
    <t>Bateria 12 Pro Gold-871</t>
  </si>
  <si>
    <t>Bateria 12 Pro Max Gold-872</t>
  </si>
  <si>
    <t>Bateria 13 Pro Gold-874</t>
  </si>
  <si>
    <t>Bateria 13 Pro Max Gold-875</t>
  </si>
  <si>
    <t>Bateria 14 Pro Gold-891</t>
  </si>
  <si>
    <t>Bateria 14 Pro Max Gold-892</t>
  </si>
  <si>
    <t>Bateria 15 Pro Foxconn</t>
  </si>
  <si>
    <t>Bateria 15 Pro Gold</t>
  </si>
  <si>
    <t>Bateria 15 Pro Max Foxconn</t>
  </si>
  <si>
    <t>Bateria 15 Pro Max Gold</t>
  </si>
  <si>
    <t>Bateria 6 Plus Gold-856</t>
  </si>
  <si>
    <t>Bateria 6s Gold-857</t>
  </si>
  <si>
    <t>Bateria 6s Plus Gold-858</t>
  </si>
  <si>
    <t>Bateria 7 Plus Gold-860</t>
  </si>
  <si>
    <t>Bateria 8 Plus Gold-862</t>
  </si>
  <si>
    <t>Bateria X Gold-863</t>
  </si>
  <si>
    <t>Bateria XR Gold-864</t>
  </si>
  <si>
    <t>Bateria XS Gold-865</t>
  </si>
  <si>
    <t>Bateria XS Max Gold-866</t>
  </si>
  <si>
    <t>Bateria LG K10 2017 Gold-600</t>
  </si>
  <si>
    <t>Bateria LG K10 Power Gold-601</t>
  </si>
  <si>
    <t>Bateria LG K12 Gold-602</t>
  </si>
  <si>
    <t>Bateria LG K12 Plus Gold-602</t>
  </si>
  <si>
    <t>Bateria LG K12+ Gold-602</t>
  </si>
  <si>
    <t>Bateria LG G7 ThinQ Gold-602</t>
  </si>
  <si>
    <t>Bateria LG K40s Gold-609</t>
  </si>
  <si>
    <t>Bateria LG K12 Prime Gold-609</t>
  </si>
  <si>
    <t>Bateria LG K12 Max Gold-609</t>
  </si>
  <si>
    <t>Bateria LG Q60 Gold-609</t>
  </si>
  <si>
    <t>Bateria Moto E22 Gold-945</t>
  </si>
  <si>
    <t>Bateria Moto E5 Gold-906</t>
  </si>
  <si>
    <t>Bateria Moto Edge 30 Gold-933</t>
  </si>
  <si>
    <t>Bateria Moto G6 Play Gold-906</t>
  </si>
  <si>
    <t>Bateria Moto G8 Gold-907</t>
  </si>
  <si>
    <t>Bateria Moto G8 Play Gold-907</t>
  </si>
  <si>
    <t>Bateria Moto One Macro Gold-907</t>
  </si>
  <si>
    <t>Bateria Moto E7 Gold-907</t>
  </si>
  <si>
    <t>Bateria Moto G13 Gold-924</t>
  </si>
  <si>
    <t>Bateria Moto G22 Gold-924</t>
  </si>
  <si>
    <t>Bateria Moto G53 Gold-924</t>
  </si>
  <si>
    <t>Bateria Moto E13 Gold-924</t>
  </si>
  <si>
    <t>Bateria Moto E32 Gold-924</t>
  </si>
  <si>
    <t>Bateria Moto G23 Gold-939</t>
  </si>
  <si>
    <t>Bateria Moto G4 Gold-903</t>
  </si>
  <si>
    <t>Bateria Moto G4 Plus Gold-903</t>
  </si>
  <si>
    <t>Bateria Moto G5 Plus Gold-896</t>
  </si>
  <si>
    <t>Bateria Moto G5 Gold-904</t>
  </si>
  <si>
    <t>Bateria Moto G4 Play Gold-904</t>
  </si>
  <si>
    <t>Bateria Moto E4 Gold-904</t>
  </si>
  <si>
    <t>Bateria Moto G6 Gold-905</t>
  </si>
  <si>
    <t>Bateria Moto G5s Gold-905</t>
  </si>
  <si>
    <t>Bateria Moto G5s Plus Gold-905</t>
  </si>
  <si>
    <t>Bateria Moto G6 Plus Gold-913</t>
  </si>
  <si>
    <t>Bateria Moto G7 Gold-914</t>
  </si>
  <si>
    <t>Bateria Moto G7 Play Gold-908</t>
  </si>
  <si>
    <t>Bateria Moto Moto One Gold-908</t>
  </si>
  <si>
    <t>Bateria Moto G7 Plus Gold-909</t>
  </si>
  <si>
    <t>Bateria Moto G7 Power Gold-911</t>
  </si>
  <si>
    <t>Bateria Moto G8 Power Lite Gold-911</t>
  </si>
  <si>
    <t>Bateria Moto G9 Play Gold-911</t>
  </si>
  <si>
    <t>Bateria Moto E7 Plus Gold-911</t>
  </si>
  <si>
    <t>Bateria Moto E7 Power Gold-911</t>
  </si>
  <si>
    <t xml:space="preserve">iPhone 11 (JK)(ci)   = R$ </t>
  </si>
  <si>
    <t xml:space="preserve">iPhone XR (JK) = R$ </t>
  </si>
  <si>
    <t>Bateria Moto E40 Gold-911</t>
  </si>
  <si>
    <t>Bateria Moto G10 Gold-911</t>
  </si>
  <si>
    <t>Bateria Moto G20 Gold-911</t>
  </si>
  <si>
    <t>Bateria Moto G30 Gold-911</t>
  </si>
  <si>
    <t>Bateria Moto G31 Gold-911</t>
  </si>
  <si>
    <t>Bateria Moto One Fusion Gold-911</t>
  </si>
  <si>
    <t>Bateria Moto G8 Power Gold-923</t>
  </si>
  <si>
    <t>Bateria Moto G9 Power Gold-917</t>
  </si>
  <si>
    <t>Bateria SAM A01 Gold-104</t>
  </si>
  <si>
    <t>Bateria SAM A02 Gold-108</t>
  </si>
  <si>
    <t>Bateria SAM A12 Gold-109</t>
  </si>
  <si>
    <t>Bateria SAM A04s Gold-108</t>
  </si>
  <si>
    <t>Bateria SAM A13 4G Gold-101</t>
  </si>
  <si>
    <t>Bateria SAM A21s Gold-101</t>
  </si>
  <si>
    <t>Bateria SAM M12 Gold-101</t>
  </si>
  <si>
    <t>Bateria SAM A02s Gold-105</t>
  </si>
  <si>
    <t>Bateria SAM A03 Gold-105</t>
  </si>
  <si>
    <t>Bateria SAM A03s Gold-105</t>
  </si>
  <si>
    <t>Bateria SAM A04 Gold-105</t>
  </si>
  <si>
    <t>Bateria SAM A04E Gold-105</t>
  </si>
  <si>
    <t>Bateria SAM A10 Gold-705</t>
  </si>
  <si>
    <t>Bateria SAM M10 Gold-705</t>
  </si>
  <si>
    <t>Bateria SAM A7 2018 Gold-705</t>
  </si>
  <si>
    <t>Bateria SAM A750 Gold-705</t>
  </si>
  <si>
    <t>Bateria SAM A10s Gold-111</t>
  </si>
  <si>
    <t>Bateria SAM A11 Gold-111</t>
  </si>
  <si>
    <t>Bateria SAM A20s Gold-111</t>
  </si>
  <si>
    <t>Bateria SAM A21 Gold-111</t>
  </si>
  <si>
    <t>Bateria SAM A13 5G Gold</t>
  </si>
  <si>
    <t>Bateria SAM M13 4G Gold</t>
  </si>
  <si>
    <t>Bateria SAM M13 5G Gold</t>
  </si>
  <si>
    <t>Bateria SAM A30 (BA505ABU)</t>
  </si>
  <si>
    <t>Bateria SAM A30S (BA505ABU)</t>
  </si>
  <si>
    <t>Bateria SAM A50 (BA505ABU)</t>
  </si>
  <si>
    <t>Bateria SAM A22 4G (BA315ABY)</t>
  </si>
  <si>
    <t>Bateria SAM A31 (BA315ABY)</t>
  </si>
  <si>
    <t>Bateria SAM A32 4G (BA315ABY)</t>
  </si>
  <si>
    <t>Bateria SAM A23 4G (BM526)</t>
  </si>
  <si>
    <t>Bateria SAM A23 5G (BM526)</t>
  </si>
  <si>
    <t>Bateria SAM M52 (BM526)</t>
  </si>
  <si>
    <t>Bateria SAM A33 (BA336)</t>
  </si>
  <si>
    <t>Bateria SAM A53 (BA536)</t>
  </si>
  <si>
    <t>Bateria SAM A51 (BA515)</t>
  </si>
  <si>
    <t>Bateria SAM A52 4G (BG781)</t>
  </si>
  <si>
    <t>Bateria SAM A52 5G (BG781)</t>
  </si>
  <si>
    <t>Bateria SAM A52s (BG781)</t>
  </si>
  <si>
    <t>Bateria SAM Galaxy S20 FE (BG781)</t>
  </si>
  <si>
    <t>Bateria SAM S20 FE (BG781)</t>
  </si>
  <si>
    <t>Bateria SAM A7 2016 (BA710)</t>
  </si>
  <si>
    <t>Bateria SAM A710 (BA710)</t>
  </si>
  <si>
    <t>Bateria SAM A70 (BA705)</t>
  </si>
  <si>
    <t>Bateria SAM A71 (BA715)</t>
  </si>
  <si>
    <t>Bateria SAM A80 (BA905ABU)</t>
  </si>
  <si>
    <t>Bateria SAM A90 (BA905ABU)</t>
  </si>
  <si>
    <t>Bateria SAM Galaxy S9 (BG960)</t>
  </si>
  <si>
    <t>Bateria S9 (BG960)</t>
  </si>
  <si>
    <t>Bateria SAM J7 Metal (BJ710)</t>
  </si>
  <si>
    <t>Bateria SAM J710 (BJ710)</t>
  </si>
  <si>
    <t>Bateria SAM J7 Prime (BG610ABE)</t>
  </si>
  <si>
    <t>Bateria SAM J4 Plus (BG610ABE)</t>
  </si>
  <si>
    <t>Bateria SAM J4 Core (BG610ABE)</t>
  </si>
  <si>
    <t>Bateria SAM J4+ (BG610ABE)</t>
  </si>
  <si>
    <t>Bateria SAM J6 Plus (BG610ABE)</t>
  </si>
  <si>
    <t>Bateria SAM J6 Core (BG610ABE)</t>
  </si>
  <si>
    <t>Bateria SAM J6+ (BG610ABE)</t>
  </si>
  <si>
    <t>Bateria SAM J8 (BJ800)</t>
  </si>
  <si>
    <t>Bateria SAM J800 (BJ800)</t>
  </si>
  <si>
    <t>Bateria SAM J6 (BJ800)</t>
  </si>
  <si>
    <t>Bateria SAM J600 (BJ800)</t>
  </si>
  <si>
    <t>Bateria SAM M20 (BG580)</t>
  </si>
  <si>
    <t>Bateria SAM M20s (BM207)</t>
  </si>
  <si>
    <t>Bateria SAM M21s (BM207)</t>
  </si>
  <si>
    <t>Bateria SAM M23 (BM207)</t>
  </si>
  <si>
    <t>Bateria SAM M30 (BG580)</t>
  </si>
  <si>
    <t>Bateria SAM M30s (BM207)</t>
  </si>
  <si>
    <t>Bateria SAM M31 (BM207)</t>
  </si>
  <si>
    <t>Bateria SAM Note 20 Ultra (BN985ABY)</t>
  </si>
  <si>
    <t>Bateria SAM J7 (BJ700)</t>
  </si>
  <si>
    <t>Bateria SAM J700 (BJ700)</t>
  </si>
  <si>
    <t>Bateria SAM J7 Neo (BJ700)</t>
  </si>
  <si>
    <t>Bateria SAM J701 (BJ700)</t>
  </si>
  <si>
    <t>Bateria SAM J4 (BJ700)</t>
  </si>
  <si>
    <t>Bateria SAM J400 (BJ700)</t>
  </si>
  <si>
    <t>Bateria SAM J8 Plus (BJ805)</t>
  </si>
  <si>
    <t>Bateria SAM A6 Plus (BJ805)</t>
  </si>
  <si>
    <t>Bateria Galaxy S20 FE (BG781)</t>
  </si>
  <si>
    <t>Bateria S20 FE (BG781)</t>
  </si>
  <si>
    <t>Bateria Galaxy S9 (BG960)</t>
  </si>
  <si>
    <t>Bateria Note 20 Ultra (BN985ABY)</t>
  </si>
  <si>
    <t>Bateria LG K41s/K51s/K61 (Gold-607)</t>
  </si>
  <si>
    <t>Bateria LG K51s Gold-607</t>
  </si>
  <si>
    <t>Bateria LG K61 Gold-607</t>
  </si>
  <si>
    <t>Bateria LG K41s Gold-607</t>
  </si>
  <si>
    <t>Moto G04/G04s/E14 c/aro Nacional</t>
  </si>
  <si>
    <t xml:space="preserve">G04 c/aro Nac Diamonds = </t>
  </si>
  <si>
    <t xml:space="preserve">Moto G04s c/aro Nacional = </t>
  </si>
  <si>
    <t xml:space="preserve">G04s c/aro Nac Diamonds = </t>
  </si>
  <si>
    <t xml:space="preserve">Moto E14 c/aro Nacional = </t>
  </si>
  <si>
    <t xml:space="preserve">E14 c/aro Nac Diamonds = </t>
  </si>
  <si>
    <t xml:space="preserve">Moto G7 Play </t>
  </si>
  <si>
    <t>Moto G7 Play c/aro Nacional</t>
  </si>
  <si>
    <t>Moto G7 Play c/aro Nacional Diamonds</t>
  </si>
  <si>
    <t>Moto G7 Play c/aro</t>
  </si>
  <si>
    <t xml:space="preserve">G7 Play c/aro Nac Diamonds = </t>
  </si>
  <si>
    <t>Moto G8 Play c/aro Nacional Diamonds</t>
  </si>
  <si>
    <t xml:space="preserve">G8 Play c/aro Nac Diamonds = </t>
  </si>
  <si>
    <t>Moto G8 Power Lite c/aro Nacional Diamonds</t>
  </si>
  <si>
    <t xml:space="preserve">G9 Play c/aro Nac Diamonds = </t>
  </si>
  <si>
    <t xml:space="preserve">G8 Power Lite c/aro Nac Diamonds = </t>
  </si>
  <si>
    <t>Moto G9 Play/E7 Plus c/aro Nacional Diamonds</t>
  </si>
  <si>
    <t>Moto G9 Plus c/aro Nacional Diamonds</t>
  </si>
  <si>
    <t xml:space="preserve">G9 Plus c/aro Nac Diamonds = </t>
  </si>
  <si>
    <t>Moto G9 Power c/aro Nacional Diamonds</t>
  </si>
  <si>
    <t xml:space="preserve">G9 Power c/aro Nac Diamonds = </t>
  </si>
  <si>
    <t xml:space="preserve">G10 c/aro Nac Diamonds = </t>
  </si>
  <si>
    <t xml:space="preserve">G30 c/aro Nac Diamonds = </t>
  </si>
  <si>
    <t>Moto G13/G23 c/aro Nacional Diamonds</t>
  </si>
  <si>
    <t xml:space="preserve">G13 c/aro Nac Diamonds = </t>
  </si>
  <si>
    <t>Moto G14 c/aro Nacional Diamonds</t>
  </si>
  <si>
    <t xml:space="preserve">Moto G14 c/aro Nac Diamonds = </t>
  </si>
  <si>
    <t xml:space="preserve">Moto G20 c/aro Nac Diamonds = </t>
  </si>
  <si>
    <t>Moto G22 c/aro Nacional Diamonds</t>
  </si>
  <si>
    <t xml:space="preserve">Moto G22 c/aro Nac Diamonds = </t>
  </si>
  <si>
    <t>Moto G31 c/aro Nacional Diamonds</t>
  </si>
  <si>
    <t xml:space="preserve">Moto G31 c/aro Nac Diamonds = </t>
  </si>
  <si>
    <t>Moto G32 c/aro Nacional Diamonds</t>
  </si>
  <si>
    <t>Moto G32 c/aro Nacional</t>
  </si>
  <si>
    <t xml:space="preserve">Moto G32 c/aro Nac Diamonds = </t>
  </si>
  <si>
    <t xml:space="preserve">Moto G32 c/aro Nacional = </t>
  </si>
  <si>
    <t>Moto G34 c/aro Nacional</t>
  </si>
  <si>
    <t>Moto G34 c/aro Nacional Diamonds</t>
  </si>
  <si>
    <t xml:space="preserve">Moto G34 c/aro Nacional = </t>
  </si>
  <si>
    <t xml:space="preserve">Moto G34 c/aro Nac Diamonds = </t>
  </si>
  <si>
    <t>Moto G41 c/aro Nacional Diamonds</t>
  </si>
  <si>
    <t xml:space="preserve">Moto G41 c/aro Nac Diamonds = </t>
  </si>
  <si>
    <t>Moto G42 c/aro Nacional</t>
  </si>
  <si>
    <t>Moto G42 c/aro Nacional Diamonds</t>
  </si>
  <si>
    <t xml:space="preserve">Moto G42 c/aro Nac Diamonds = </t>
  </si>
  <si>
    <t>Moto G60 c/aro Nacional Diamonds</t>
  </si>
  <si>
    <t>Moto G60s c/aro Nacional Diamonds</t>
  </si>
  <si>
    <t xml:space="preserve">Moto G60 c/aro Nacional=R$ </t>
  </si>
  <si>
    <t xml:space="preserve">G60 c/aro Nac Diamonds = </t>
  </si>
  <si>
    <t xml:space="preserve">Moto G60s c/aro Nacional=R$ </t>
  </si>
  <si>
    <t xml:space="preserve">G60s c/aro Nac Diamonds = </t>
  </si>
  <si>
    <t>Moto G52/G82 c/aro Nacional Diamonds</t>
  </si>
  <si>
    <t>Moto G52/G82 c/aro Nacional</t>
  </si>
  <si>
    <t xml:space="preserve">Moto G52 c/aro Nac Diamonds = </t>
  </si>
  <si>
    <t xml:space="preserve">Moto G82 c/aro Nac Diamonds = </t>
  </si>
  <si>
    <t>Moto G53 c/aro Nacional Diamonds</t>
  </si>
  <si>
    <t xml:space="preserve">Moto G53 c/aro Nac Diamonds = </t>
  </si>
  <si>
    <t>Moto G54 c/aro Nacional Diamonds</t>
  </si>
  <si>
    <t xml:space="preserve">Moto G54 c/aro Nac Diamonds = </t>
  </si>
  <si>
    <t>Moto G55 c/aro Nacional Diamonds</t>
  </si>
  <si>
    <t xml:space="preserve">G55 c/aro Nac Diamonds = </t>
  </si>
  <si>
    <t xml:space="preserve">Moto G55 c/aro Nacional = R$ </t>
  </si>
  <si>
    <t>Moto G72 c/aro Nacional Diamonds</t>
  </si>
  <si>
    <t>Moto G72 c/aro  Nacional</t>
  </si>
  <si>
    <t>Moto G73 c/aro Nacional Diamonds</t>
  </si>
  <si>
    <t xml:space="preserve">Moto G73 c/aro Nacional = R$ </t>
  </si>
  <si>
    <t xml:space="preserve">G73 c/aro Nac Diamonds = </t>
  </si>
  <si>
    <t xml:space="preserve">G72 c/aro Nac Diamonds = </t>
  </si>
  <si>
    <t>Moto G84 c/aro Nacional Diamonds</t>
  </si>
  <si>
    <t xml:space="preserve">Moto G84 Nacional c/aro = </t>
  </si>
  <si>
    <t xml:space="preserve">Moto G84 c/aro Nac Diamonds = </t>
  </si>
  <si>
    <t>Moto G200 c/aro Nacional</t>
  </si>
  <si>
    <t>Moto G200 c/aro Nacional Diamonds</t>
  </si>
  <si>
    <t xml:space="preserve">G200 c/aro Nac Diamonds = </t>
  </si>
  <si>
    <t>Moto One c/aro Nacional</t>
  </si>
  <si>
    <t>Moto One c/aro Nacional Diamonds</t>
  </si>
  <si>
    <t xml:space="preserve">Moto One Nacional c/aro = </t>
  </si>
  <si>
    <t xml:space="preserve">Moto One c/aro Nac Diamonds = </t>
  </si>
  <si>
    <t>Moto One Fusion c/aro Nacional Diamonds</t>
  </si>
  <si>
    <t>One Fusion c/aro Nac Diamonds=</t>
  </si>
  <si>
    <t>One Fusion Plus c/aro Nacional Diamonds</t>
  </si>
  <si>
    <t>One Fusion Plus c/aro Nacional</t>
  </si>
  <si>
    <t>One Fusion Plus c/aro Nac Diamonds=</t>
  </si>
  <si>
    <t>Moto E7 c/aro Nacional Diamonds</t>
  </si>
  <si>
    <t>Moto E7 c/aro Nac Diamonds =</t>
  </si>
  <si>
    <t>Moto E7 Power c/aro Nacional Diamonds</t>
  </si>
  <si>
    <t>Moto E7 Power c/aro Nacional</t>
  </si>
  <si>
    <t>E7 Power Nac Diamonds =</t>
  </si>
  <si>
    <t>Moto E13 c/aro Nacional Diamonds</t>
  </si>
  <si>
    <t xml:space="preserve">E13 c/aro Nac Diamonds = </t>
  </si>
  <si>
    <t xml:space="preserve">E7 Plus c/aro Nac Diamonds = </t>
  </si>
  <si>
    <t>Moto E20 c/aro Nacional Diamonds</t>
  </si>
  <si>
    <t xml:space="preserve">Moto E20 c/aro Nac Diamonds = </t>
  </si>
  <si>
    <t xml:space="preserve">Moto E20 c/aro Nacional = </t>
  </si>
  <si>
    <t>Moto E22 c/aro Nacional Diamonds</t>
  </si>
  <si>
    <t xml:space="preserve">Moto E22 c/aro Nac Diamonds = </t>
  </si>
  <si>
    <t xml:space="preserve">Moto E22 c/aro Nacional = </t>
  </si>
  <si>
    <t>Moto E30/E40 c/aro Nacional Diamonds</t>
  </si>
  <si>
    <t xml:space="preserve">E30/E40 c/aro Nac Diamonds = </t>
  </si>
  <si>
    <t>Moto Edge 20 Lite c/aro Nacional Diamonds</t>
  </si>
  <si>
    <t xml:space="preserve">Edge 20 Lite c/aro Nac Diamonds = </t>
  </si>
  <si>
    <t>Edge 40 Neo c/aro Nacional Diamonds</t>
  </si>
  <si>
    <t xml:space="preserve">Edge 40 Neo c/aro Nac Diamonds = </t>
  </si>
  <si>
    <t>K22/k22 Plus c/aro Nacional Diamonds</t>
  </si>
  <si>
    <t>K22/k22 Plus c/aro Nacional</t>
  </si>
  <si>
    <t xml:space="preserve">K22 c/aro Nac Diamonds = </t>
  </si>
  <si>
    <t xml:space="preserve">K22 Plus c/aro Nac Diamonds = </t>
  </si>
  <si>
    <t xml:space="preserve">K22 c/aro  Nacional = R$ </t>
  </si>
  <si>
    <t xml:space="preserve">K22 Plus c/aro Nacional = R$ </t>
  </si>
  <si>
    <t>K41s c/aro Nacional Diamonds</t>
  </si>
  <si>
    <t xml:space="preserve">K41s c/aro Nac Diamonds = </t>
  </si>
  <si>
    <t>K42/K52 c/aro Nacional Diamonds</t>
  </si>
  <si>
    <t>K42/K52 c/aro Nacional</t>
  </si>
  <si>
    <t xml:space="preserve">K42 c/aro Nac Diamonds = </t>
  </si>
  <si>
    <t xml:space="preserve">K52 c/aro Nac Diamonds = </t>
  </si>
  <si>
    <t>K61 c/aro Nacional Diamonds</t>
  </si>
  <si>
    <t xml:space="preserve">K61 c/aro Nac Diamonds = </t>
  </si>
  <si>
    <t>K62/K62 Plus c/aro Nacional Diamonds</t>
  </si>
  <si>
    <t>K62/K62 Plus c/aro Nacional</t>
  </si>
  <si>
    <t xml:space="preserve">K62/K62 Plus c/aro Nac Diamonds = </t>
  </si>
  <si>
    <t>Note 7/Note 7 Pro c/aro Nacional Diamonds</t>
  </si>
  <si>
    <t xml:space="preserve">Note 7/7 Pro c/aro Nac Diamonds = </t>
  </si>
  <si>
    <t xml:space="preserve">Note 8 c/aro Nac Diamonds = </t>
  </si>
  <si>
    <t xml:space="preserve">Note 8 Pro Nac Diamonds = </t>
  </si>
  <si>
    <t xml:space="preserve">Note 9 c/aro Nac Diamonds = </t>
  </si>
  <si>
    <t xml:space="preserve">Note 9 Pro/9s c/aro Nac Diamonds = </t>
  </si>
  <si>
    <t>Note 11 Pro/Poco X4 Pro c/aro Nacional Diamonds</t>
  </si>
  <si>
    <t>Note 11 Pro/Poco X4 Pro - Nacional c/aro</t>
  </si>
  <si>
    <t xml:space="preserve">Note 11 Pro c/aro Nac Diamonds = </t>
  </si>
  <si>
    <t xml:space="preserve">Note 11 Pro c/aro Nacional  = </t>
  </si>
  <si>
    <t xml:space="preserve">X4 Pro c/aro Nac Diamonds = </t>
  </si>
  <si>
    <t xml:space="preserve">X4 Pro c/aro Nacional = </t>
  </si>
  <si>
    <t>Redmi Note 12 4G c/aro Nacional Diamonds</t>
  </si>
  <si>
    <t xml:space="preserve">Note 12 4G c/aro Nac Diamonds = </t>
  </si>
  <si>
    <t xml:space="preserve">Note 12 4G c/aro Nacional = </t>
  </si>
  <si>
    <t>Redmi Note 12 5G c/aro Nacional Diamonds</t>
  </si>
  <si>
    <t xml:space="preserve">Note 12 5G c/aro Nac Diamonds = </t>
  </si>
  <si>
    <t xml:space="preserve">Note 12 5G c/aro Nacional = </t>
  </si>
  <si>
    <t>Note 12 Pro 5G/Poco X5 Pro c/aro Nacional Diamonds</t>
  </si>
  <si>
    <t xml:space="preserve">Note 12 Pro 5G c/aro Nac Diamonds = </t>
  </si>
  <si>
    <t xml:space="preserve">Poco X5 Pro c/aro Nac Diamonds = </t>
  </si>
  <si>
    <t xml:space="preserve">Poco X5 Pro c/aro Nacional = </t>
  </si>
  <si>
    <t>Redmi 9 c/aro Nacional Diamonds</t>
  </si>
  <si>
    <t xml:space="preserve">Redmi 9 c/aro Nac Diamonds = </t>
  </si>
  <si>
    <t xml:space="preserve">Redmi 9 c/aro Nacional = R$ </t>
  </si>
  <si>
    <t>Redmi 9A/9C c/aro Nacional Diamonds</t>
  </si>
  <si>
    <t>Redmi 9A/9C c/aro Nacional</t>
  </si>
  <si>
    <t xml:space="preserve">Redmi 9A/9C c/aro Nac Diamonds = </t>
  </si>
  <si>
    <t>Redmi 10/10 Prime c/aro Nacional Diamonds</t>
  </si>
  <si>
    <t xml:space="preserve">Redmi 10 c/aro Nac Diamonds = </t>
  </si>
  <si>
    <t xml:space="preserve">Redmi 10 c/aro Nacional =R$ </t>
  </si>
  <si>
    <t xml:space="preserve">Redmi 10 Prime Nac Diamonds = </t>
  </si>
  <si>
    <t>Redmi 10A c/aro Nacional Diamonds</t>
  </si>
  <si>
    <t xml:space="preserve">Redmi 10A c/aro Nac Diamonds = </t>
  </si>
  <si>
    <t>Redmi 12 c/aro Nacional Diamonds</t>
  </si>
  <si>
    <t>Redmi 12 c/aro Nacional</t>
  </si>
  <si>
    <t xml:space="preserve">Redmi 12 /aro Nac Diamonds = </t>
  </si>
  <si>
    <t xml:space="preserve">Redmi 12 c/aro Nacional = </t>
  </si>
  <si>
    <t xml:space="preserve">Redmi 12C c/aro Nac Diamonds = </t>
  </si>
  <si>
    <t xml:space="preserve">Redmi 12C c/aro Nacional = </t>
  </si>
  <si>
    <t>Redmi 13C c/aro Nacional Diamonds</t>
  </si>
  <si>
    <t>Redmi 13C c/aro Nacional</t>
  </si>
  <si>
    <t xml:space="preserve">Redmi 13C c/aro Nac Diamonds = </t>
  </si>
  <si>
    <t xml:space="preserve">Redmi 13C c/aro Nacional = </t>
  </si>
  <si>
    <t>Poco M4/Poco M5 c/aro Nacional</t>
  </si>
  <si>
    <t>Poco M4/Poco M5 c/aro Nacional Diamonds</t>
  </si>
  <si>
    <t xml:space="preserve">Poco M4/M5 c/aro Nac Diamonds = </t>
  </si>
  <si>
    <t xml:space="preserve">Poco M4/M5 c/aro Nac = R$ </t>
  </si>
  <si>
    <t>SAM Galaxy S20 FE com aro Nacional Diamonds</t>
  </si>
  <si>
    <t>SAM Galaxy S20 FE Nacional Diamonds com aro</t>
  </si>
  <si>
    <t>SAM Galaxy S20 Ultra Nacional Diamonds com aro</t>
  </si>
  <si>
    <t>SAM Galaxy S20 Ultra com aro Nacional Diamonds</t>
  </si>
  <si>
    <t>SAM Galaxy S21 com aro Nacional Diamonds</t>
  </si>
  <si>
    <t>SAM Galaxy S21 Plus com aro Nacional Diamonds</t>
  </si>
  <si>
    <t>SAM Galaxy S21 Ultra com aro Nacional Diamonds</t>
  </si>
  <si>
    <t>SAM Galaxy S21 Nacional Diamonds com aro</t>
  </si>
  <si>
    <t>SAM Galaxy S21 FE com aro Nacional Diamonds</t>
  </si>
  <si>
    <t>SAM Galaxy S21 FE Nacional Diamonds com aro</t>
  </si>
  <si>
    <t>SAM Galaxy S21 Plus Nacional Diamonds com aro</t>
  </si>
  <si>
    <t>SAM Galaxy S21 Ultra Nacional Diamonds com aro</t>
  </si>
  <si>
    <t>SAM Galaxy S23 FE com aro Nacional Diamonds</t>
  </si>
  <si>
    <t>SAM Galaxy S23 FE Nacional Diamonds com aro</t>
  </si>
  <si>
    <t>SAM Galaxy S24 FE com aro Nacional Diamonds</t>
  </si>
  <si>
    <t>SAM Galaxy S24 FE Nacional Diamonds com aro</t>
  </si>
  <si>
    <t>SAM M12 com aro Nacional Diamonds</t>
  </si>
  <si>
    <t>SAM M12 Nacional Diamonds com aro</t>
  </si>
  <si>
    <t>SAM M13 4G com aro Nacional Diamonds</t>
  </si>
  <si>
    <t>SAM M13 4G Nacional Diamonds com aro</t>
  </si>
  <si>
    <t>SAM M22 com aro Nacional Diamonds</t>
  </si>
  <si>
    <t>SAM M22 Nacional Diamonds com aro</t>
  </si>
  <si>
    <t>SAM M23 com aro Nacional Diamonds</t>
  </si>
  <si>
    <t>SAM M23 Nacional Diamonds com aro</t>
  </si>
  <si>
    <t>SAM M34 com aro Nacional Diamonds</t>
  </si>
  <si>
    <t>SAM M34 Nacional Diamonds com aro</t>
  </si>
  <si>
    <t>SAM M52 com aro Nacional Diamonds</t>
  </si>
  <si>
    <t>SAM M52 Nacional Diamonds com aro</t>
  </si>
  <si>
    <t>SAM M53 com aro Nacional Diamonds</t>
  </si>
  <si>
    <t>SAM M53 Nacional Diamonds com aro</t>
  </si>
  <si>
    <t>Moto G04 com aro Nacional Diamonds</t>
  </si>
  <si>
    <t>Moto G04 Nacional Diamonds com aro</t>
  </si>
  <si>
    <t>Moto G10 com aro Nacional Diamonds</t>
  </si>
  <si>
    <t>Moto G10 Nacional Diamonds com aro</t>
  </si>
  <si>
    <t>Moto G13 com aro Nacional Diamonds</t>
  </si>
  <si>
    <t>Moto G13 Nacional Diamonds com aro</t>
  </si>
  <si>
    <t>Moto G14 com aro Nacional Diamonds</t>
  </si>
  <si>
    <t>Moto G14 Nacional Diamonds com aro</t>
  </si>
  <si>
    <t>Moto G20 com aro Nacional Diamonds</t>
  </si>
  <si>
    <t>Moto G20 Nacional Diamonds com aro</t>
  </si>
  <si>
    <t>Moto G200 com aro Nacional Diamonds</t>
  </si>
  <si>
    <t>Moto G200 Nacional Diamonds com aro</t>
  </si>
  <si>
    <t>Moto G22 com aro Nacional Diamonds</t>
  </si>
  <si>
    <t>Moto G22 Nacional Diamonds com aro</t>
  </si>
  <si>
    <t>Moto G23 com aro Nacional Diamonds</t>
  </si>
  <si>
    <t>Moto G23 Nacional Diamonds com aro</t>
  </si>
  <si>
    <t>Moto G30 com aro Nacional Diamonds</t>
  </si>
  <si>
    <t>Moto G30 Nacional Diamonds com aro</t>
  </si>
  <si>
    <t>Moto G31 com aro Nacional Diamonds</t>
  </si>
  <si>
    <t>Moto G31 Nacional Diamonds com aro</t>
  </si>
  <si>
    <t>Moto G32 com aro Nacional Diamonds</t>
  </si>
  <si>
    <t>Moto G32 Nacional Diamonds com aro</t>
  </si>
  <si>
    <t>Moto G34 com aro Nacional Diamonds</t>
  </si>
  <si>
    <t>Moto G34 Nacional Diamonds com aro</t>
  </si>
  <si>
    <t>Moto G41 com aro Nacional Diamonds</t>
  </si>
  <si>
    <t>Moto G41 Nacional Diamonds com aro</t>
  </si>
  <si>
    <t>Moto G42 com aro Nacional Diamonds</t>
  </si>
  <si>
    <t>Moto G42 Nacional Diamonds com aro</t>
  </si>
  <si>
    <t>Moto G52 com aro Nacional Diamonds</t>
  </si>
  <si>
    <t>Moto G52 Nacional Diamonds com aro</t>
  </si>
  <si>
    <t>Moto G53 com aro Nacional Diamonds</t>
  </si>
  <si>
    <t>Moto G53 Nacional Diamonds com aro</t>
  </si>
  <si>
    <t>Moto G54 com aro Nacional Diamonds</t>
  </si>
  <si>
    <t>Moto G54 Nacional Diamonds com aro</t>
  </si>
  <si>
    <t>Moto G55 com aro Nacional Diamonds</t>
  </si>
  <si>
    <t>Moto G55 Nacional Diamonds com aro</t>
  </si>
  <si>
    <t>Moto G60 com aro Nacional Diamonds</t>
  </si>
  <si>
    <t>Moto G60 Nacional Diamonds com aro</t>
  </si>
  <si>
    <t>Moto G60s com aro Nacional Diamonds</t>
  </si>
  <si>
    <t>Moto G60s Nacional Diamonds com aro</t>
  </si>
  <si>
    <t>Moto G7 Play com aro Nacional Diamonds</t>
  </si>
  <si>
    <t>Moto G7 Play Nacional Diamonds com aro</t>
  </si>
  <si>
    <t>Moto G72 com aro Nacional Diamonds</t>
  </si>
  <si>
    <t>Moto G72 Nacional Diamonds com aro</t>
  </si>
  <si>
    <t>Moto G73 com aro Nacional Diamonds</t>
  </si>
  <si>
    <t>Moto G73 Nacional Diamonds com aro</t>
  </si>
  <si>
    <t>Moto G8 Play com aro Nacional Diamonds</t>
  </si>
  <si>
    <t>Moto G8 Play Nacional Diamonds com aro</t>
  </si>
  <si>
    <t>Moto G8 Power Lite com aro Nacional Diamonds</t>
  </si>
  <si>
    <t>Moto G8 Power Lite Nacional Diamonds com aro</t>
  </si>
  <si>
    <t>Moto G82 com aro Nacional Diamonds</t>
  </si>
  <si>
    <t>Moto G82 Nacional Diamonds com aro</t>
  </si>
  <si>
    <t>Moto G9 Play com aro Nacional Diamonds</t>
  </si>
  <si>
    <t>Moto G9 Play Nacional Diamonds com aro</t>
  </si>
  <si>
    <t>Moto G9 Plus com aro Nacional Diamonds</t>
  </si>
  <si>
    <t>Moto G9 Plus Nacional Diamonds com aro</t>
  </si>
  <si>
    <t>Moto G9 Power com aro Nacional Diamonds</t>
  </si>
  <si>
    <t>Moto G9 Power Nacional Diamonds com aro</t>
  </si>
  <si>
    <t>Moto One Fusion com aro Nacional Diamonds</t>
  </si>
  <si>
    <t>Moto One Fusion Nacional Diamonds com aro</t>
  </si>
  <si>
    <t>Moto One Fusion Plus com aro Nacional Diamonds</t>
  </si>
  <si>
    <t>Moto One Fusion Plus Nacional Diamonds com aro</t>
  </si>
  <si>
    <t>Moto E13 com aro Nacional Diamonds</t>
  </si>
  <si>
    <t>Moto E13 Nacional Diamonds com aro</t>
  </si>
  <si>
    <t>Moto E20 com aro Nacional Diamonds</t>
  </si>
  <si>
    <t>Moto E20 Nacional Diamonds com aro</t>
  </si>
  <si>
    <t>Moto E22 com aro Nacional Diamonds</t>
  </si>
  <si>
    <t>Moto E22 Nacional Diamonds com aro</t>
  </si>
  <si>
    <t>Moto E30 com aro Nacional Diamonds</t>
  </si>
  <si>
    <t>Moto E30 Nacional Diamonds com aro</t>
  </si>
  <si>
    <t>Moto E32 com aro Nacional Diamonds</t>
  </si>
  <si>
    <t>Moto E32 Nacional Diamonds com aro</t>
  </si>
  <si>
    <t>Moto E32 c/aro Nacional Diamonds</t>
  </si>
  <si>
    <t xml:space="preserve">Moto E32 c/aro Nac Diamonds = </t>
  </si>
  <si>
    <t>Moto E40 com aro Nacional Diamonds</t>
  </si>
  <si>
    <t>Moto E40 Nacional Diamonds com aro</t>
  </si>
  <si>
    <t>Moto E7 com aro Nacional Diamonds</t>
  </si>
  <si>
    <t>Moto E7 Nacional Diamonds com aro</t>
  </si>
  <si>
    <t>Moto E7 Plus com aro Nacional Diamonds</t>
  </si>
  <si>
    <t>Moto E7 Plus Nacional Diamonds com aro</t>
  </si>
  <si>
    <t>Moto E7 Power com aro Nacional Diamonds</t>
  </si>
  <si>
    <t>Moto E7 Power Nacional Diamonds com aro</t>
  </si>
  <si>
    <t>Moto Edge Plus com aro Nacional Diamonds</t>
  </si>
  <si>
    <t>Moto Edge Plus Nacional Diamonds com aro</t>
  </si>
  <si>
    <t>Moto Edge Plus Nacional Diamonds</t>
  </si>
  <si>
    <t xml:space="preserve">Moto Edge Plus Nac Diamonds = </t>
  </si>
  <si>
    <t>Moto Edge 20 Lite com aro Nacional Diamonds</t>
  </si>
  <si>
    <t>Moto Edge 20 Lite Nacional Diamonds com aro</t>
  </si>
  <si>
    <t>Moto Edge 40 Neo com aro Nacional Diamonds</t>
  </si>
  <si>
    <t>Moto Edge 40 Neo Nacional Diamonds com aro</t>
  </si>
  <si>
    <t>LG K22 com aro Nacional Diamonds</t>
  </si>
  <si>
    <t>LG K22 Nacional Diamonds com aro</t>
  </si>
  <si>
    <t>LG K22 Plus com aro Nacional Diamonds</t>
  </si>
  <si>
    <t>LG K22 Plus Nacional Diamonds com aro</t>
  </si>
  <si>
    <t>LG K22+ com aro Nacional Diamonds</t>
  </si>
  <si>
    <t>LG K22+ Nacional Diamonds com aro</t>
  </si>
  <si>
    <t>LG K41s com aro Nacional Diamonds</t>
  </si>
  <si>
    <t>LG K41s Nacional Diamonds com aro</t>
  </si>
  <si>
    <t>LG K42 com aro Nacional Diamonds</t>
  </si>
  <si>
    <t>LG K42 Nacional Diamonds com aro</t>
  </si>
  <si>
    <t>LG K52 com aro Nacional Diamonds</t>
  </si>
  <si>
    <t>LG K52 Nacional Diamonds com aro</t>
  </si>
  <si>
    <t>LG K61 com aro Nacional Diamonds</t>
  </si>
  <si>
    <t>LG K61 Nacional Diamonds com aro</t>
  </si>
  <si>
    <t>LG K62 com aro Nacional Diamonds</t>
  </si>
  <si>
    <t>LG K62 Nacional Diamonds com aro</t>
  </si>
  <si>
    <t>LG K62 Plus com aro Nacional Diamonds</t>
  </si>
  <si>
    <t>LG K62 Plus Nacional Diamonds com aro</t>
  </si>
  <si>
    <t>Redmi Note 7 com aro Nacional Diamonds</t>
  </si>
  <si>
    <t>Redmi Note 7 Nacional Diamonds com aro</t>
  </si>
  <si>
    <t>Redmi Note 7 Pro com aro Nacional Diamonds</t>
  </si>
  <si>
    <t>Redmi Note 7 Pro Nacional Diamonds com aro</t>
  </si>
  <si>
    <t>Redmi Note 8 com aro Nacional Diamonds</t>
  </si>
  <si>
    <t>Redmi Note 8 Nacional Diamonds com aro</t>
  </si>
  <si>
    <t>Redmi Note 8 Pro com aro Nacional Diamonds</t>
  </si>
  <si>
    <t>Redmi Note 8 Pro Nacional Diamonds com aro</t>
  </si>
  <si>
    <t>Redmi Note 9 com aro Nacional Diamonds</t>
  </si>
  <si>
    <t>Redmi Note 9 Nacional Diamonds com aro</t>
  </si>
  <si>
    <t>M54 - incell c/aro</t>
  </si>
  <si>
    <t>M54 - original c/aro</t>
  </si>
  <si>
    <t xml:space="preserve">M54 - incell c/aro     = R$ </t>
  </si>
  <si>
    <t xml:space="preserve">M54 - orig c/aro  = R$ </t>
  </si>
  <si>
    <t>SAM M54 com aro incell</t>
  </si>
  <si>
    <t>SAM M54 incell com aro</t>
  </si>
  <si>
    <t>SAM M54 com aro original</t>
  </si>
  <si>
    <t>SAM M54 com aro OLED</t>
  </si>
  <si>
    <t>SAM M54 OLED com aro</t>
  </si>
  <si>
    <t>SAM M54 original com aro</t>
  </si>
  <si>
    <t xml:space="preserve">A35 - original  = R$ </t>
  </si>
  <si>
    <t>SAM A35 sem aro original</t>
  </si>
  <si>
    <t>SAM A35 original sem aro</t>
  </si>
  <si>
    <t>SAM A35 sem aro OLED</t>
  </si>
  <si>
    <t>SAM A35 OLED sem aro</t>
  </si>
  <si>
    <t>Note 13 Pro 4G/Poco M6 Pro 4G - original</t>
  </si>
  <si>
    <t>Note 13 Pro 4G/Poco M6 Pro 4G - original c/aro</t>
  </si>
  <si>
    <t xml:space="preserve">Note 13 Pro 4G orig c/aro = R$ </t>
  </si>
  <si>
    <t xml:space="preserve">Poco M6 Pro 4G orig c/aro = R$ </t>
  </si>
  <si>
    <t>Redmi Note 13 Pro com aro original (4G)</t>
  </si>
  <si>
    <t>Redmi Note 13 Pro com aro OLED (4G)</t>
  </si>
  <si>
    <t>Redmi Note 13 Pro original com aro  (4G)</t>
  </si>
  <si>
    <t>Redmi Note 13 Pro OLED com aro  (4G)</t>
  </si>
  <si>
    <t>Redmi Note 13 Pro 4G com aro original</t>
  </si>
  <si>
    <t>Redmi Note 13 Pro 4G original com aro</t>
  </si>
  <si>
    <t>Redmi Note 13 Pro 4G com aro OLED</t>
  </si>
  <si>
    <t>Redmi Note 13 Pro 4G OLED com aro</t>
  </si>
  <si>
    <t>Poco M6 Pro com aro original (4G)</t>
  </si>
  <si>
    <t>Poco M6 Pro original com aro  (4G)</t>
  </si>
  <si>
    <t>Poco M6 Pro com aro OLED (4G)</t>
  </si>
  <si>
    <t>Poco M6 Pro OLED com aro  (4G)</t>
  </si>
  <si>
    <t>Poco M6 Pro 4G com aro OLED</t>
  </si>
  <si>
    <t>Poco M6 Pro 4G OLED com aro</t>
  </si>
  <si>
    <t>Poco M6 Pro 4G original com aro</t>
  </si>
  <si>
    <t>Poco M6 Pro 4G com aro original</t>
  </si>
  <si>
    <t>A05s c/aro Nacional</t>
  </si>
  <si>
    <t>A05s c/aro Nacional Diamonds</t>
  </si>
  <si>
    <t xml:space="preserve">A05s c/aro Nacional= R$ </t>
  </si>
  <si>
    <t xml:space="preserve">A05s c/aro Nac Diamonds = </t>
  </si>
  <si>
    <t>SAM A05s com aro Nacional</t>
  </si>
  <si>
    <t>SAM A05s Nacional com aro</t>
  </si>
  <si>
    <t>SAM A05s com aro Nacional Diamonds</t>
  </si>
  <si>
    <t>SAM A05s Nacional Diamonds com aro</t>
  </si>
  <si>
    <t>A20 c/aro Nacional Diamonds</t>
  </si>
  <si>
    <t xml:space="preserve">A20 c/aro Nac Diamonds = </t>
  </si>
  <si>
    <t>SAM A20 com aro Nacional Diamonds</t>
  </si>
  <si>
    <t>SAM A20 Nacional Diamonds com aro</t>
  </si>
  <si>
    <t>A36 c/aro Nacional</t>
  </si>
  <si>
    <t>A36 c/aro Nacional Diamonds</t>
  </si>
  <si>
    <t xml:space="preserve">A36 c/aro Nacional   = R$ </t>
  </si>
  <si>
    <t xml:space="preserve">A36 c/aro Nac Diamonds = </t>
  </si>
  <si>
    <t>SAM A36 com aro Nacional</t>
  </si>
  <si>
    <t>SAM A36 Nacional com aro</t>
  </si>
  <si>
    <t>SAM A36 com aro Nacional Diamonds</t>
  </si>
  <si>
    <t>SAM A36 Nacional Diamonds com aro</t>
  </si>
  <si>
    <t>Moto G05/G15</t>
  </si>
  <si>
    <t>Moto G05/G15 c/aro</t>
  </si>
  <si>
    <t>Moto G05/G15 c/aro Nacional</t>
  </si>
  <si>
    <t>Moto G05/G15 c/aro Nacional Diamonds</t>
  </si>
  <si>
    <t xml:space="preserve">Moto G15 c/aro Nacional= </t>
  </si>
  <si>
    <t xml:space="preserve">Moto G15 c/aro Nac Diamonds = </t>
  </si>
  <si>
    <t xml:space="preserve">Moto G05 c/aro Nac Diamonds = </t>
  </si>
  <si>
    <t>Moto G05 c/aro Nacional= R$</t>
  </si>
  <si>
    <t>Moto G05 com aro Nacional</t>
  </si>
  <si>
    <t>Moto G05 Nacional com aro</t>
  </si>
  <si>
    <t>Moto G05 com aro Nacional Diamonds</t>
  </si>
  <si>
    <t>Moto G05 Nacional Diamonds com aro</t>
  </si>
  <si>
    <t>Moto G15 com aro Nacional</t>
  </si>
  <si>
    <t>Moto G15 Nacional com aro</t>
  </si>
  <si>
    <t>Moto G15 com aro Nacional Diamonds</t>
  </si>
  <si>
    <t>Moto G15 Nacional Diamonds com aro</t>
  </si>
  <si>
    <t>A52/A52s - incell c/aro</t>
  </si>
  <si>
    <t>A52/A52s - original c/aro</t>
  </si>
  <si>
    <t>A52/A52s c/aro Nacional Diamonds</t>
  </si>
  <si>
    <t xml:space="preserve">A52s c/aro-orig (Tela/G) = R$ </t>
  </si>
  <si>
    <t xml:space="preserve">A52 c/aro-orig (Tela/G) = R$ </t>
  </si>
  <si>
    <t xml:space="preserve">A52 c/aro - incell  = R$ </t>
  </si>
  <si>
    <t xml:space="preserve">A52 c/aro Nac Diamonds = </t>
  </si>
  <si>
    <t xml:space="preserve">A52s c/aro Nac Diamonds = </t>
  </si>
  <si>
    <t>SAM A52 com aro incell (4G)</t>
  </si>
  <si>
    <t>SAM A52 com aro incell (5G)</t>
  </si>
  <si>
    <t>SAM A52 4G com aro Nacional Diamonds</t>
  </si>
  <si>
    <t>SAM A52 com aro Nacional Diamonds (4G)</t>
  </si>
  <si>
    <t>SAM A52 5G com aro Nacional Diamonds</t>
  </si>
  <si>
    <t>SAM A52 com aro Nacional Diamonds (5G)</t>
  </si>
  <si>
    <t>SAM A52s com aro Nacional Diamonds</t>
  </si>
  <si>
    <t>SAM A52s Nacional Diamonds com aro</t>
  </si>
  <si>
    <t>Moto G24/G24 Power c/aro Nacional</t>
  </si>
  <si>
    <t>Moto G24/G24 Power c/aro Nacional Diamonds</t>
  </si>
  <si>
    <t>G24/G24 Power c/aro Nac Diamonds=</t>
  </si>
  <si>
    <t xml:space="preserve">G24/G24 Power c/aro Nacional= </t>
  </si>
  <si>
    <t>Moto G24 com aro Nacional</t>
  </si>
  <si>
    <t>Moto G24 Nacional com aro</t>
  </si>
  <si>
    <t>Moto G24 com aro Nacional Diamonds</t>
  </si>
  <si>
    <t>Moto G24 Nacional Diamonds com aro</t>
  </si>
  <si>
    <t>Moto G24 Power com aro Nacional</t>
  </si>
  <si>
    <t>Moto G24 Power Nacional com aro</t>
  </si>
  <si>
    <t>Moto G24 Power com aro Nacional Diamonds</t>
  </si>
  <si>
    <t>Moto G24 Power Nacional Diamonds com aro</t>
  </si>
  <si>
    <t>Moto G85 c/aro Nacional</t>
  </si>
  <si>
    <t>Moto G85 c/aro Nacional Diamonds</t>
  </si>
  <si>
    <t xml:space="preserve">Moto G85 orig c/aro = R$ </t>
  </si>
  <si>
    <t xml:space="preserve">Moto G85 Nacional c/aro = </t>
  </si>
  <si>
    <t xml:space="preserve">Moto G85 c/aro Nac Diamonds = </t>
  </si>
  <si>
    <t>Moto G84 com aro Nacional</t>
  </si>
  <si>
    <t>Moto G84 Nacional com aro</t>
  </si>
  <si>
    <t>Moto G84 com aro Nacional Diamonds</t>
  </si>
  <si>
    <t>Moto G84 Nacional Diamonds com aro</t>
  </si>
  <si>
    <t>Moto G85 com aro Nacional</t>
  </si>
  <si>
    <t>Moto G85 Nacional com aro</t>
  </si>
  <si>
    <t>Moto G85 com aro Nacional Diamonds</t>
  </si>
  <si>
    <t>Moto G85 Nacional Diamonds com aro</t>
  </si>
  <si>
    <t>Moto G85 com aro original</t>
  </si>
  <si>
    <t>Moto G85 original com aro</t>
  </si>
  <si>
    <t>Moto G85 com aro OLED</t>
  </si>
  <si>
    <t>Moto G85 OLED com aro</t>
  </si>
  <si>
    <t>Flex Home Biometria Xiaomi Poco X3/Poco X3 Pro/Note 9s/Note 9 Pro</t>
  </si>
  <si>
    <t>Moto G100 c/aro Nacional Diamonds</t>
  </si>
  <si>
    <t>Moto G100 c/aro Nacional</t>
  </si>
  <si>
    <t xml:space="preserve">G100 c/aro Nacional  = R$ </t>
  </si>
  <si>
    <t xml:space="preserve">G100 c/aro Nac Diamonds = </t>
  </si>
  <si>
    <t>Moto G100 com aro Nacional</t>
  </si>
  <si>
    <t>Moto G100 Nacional com aro</t>
  </si>
  <si>
    <t>Moto G100 com aro Nacional Diamonds</t>
  </si>
  <si>
    <t>Moto G100 Nacional Diamonds com aro</t>
  </si>
  <si>
    <t>Moto Edge 30 Neo - incell c/aro</t>
  </si>
  <si>
    <t>Moto Edge 30 Neo c/aro Nacional</t>
  </si>
  <si>
    <t>Moto Edge 30 Neo c/aro Nacional Diamonds</t>
  </si>
  <si>
    <t xml:space="preserve">Edge 30 Neo incell c/aro = R$ </t>
  </si>
  <si>
    <t xml:space="preserve">Edge 30 Neo c/aro Nacional = </t>
  </si>
  <si>
    <t>Edge 30 Neo c/aro Nac Diamonds=</t>
  </si>
  <si>
    <t>SAM A52 OLED com aro (4G)</t>
  </si>
  <si>
    <t>SAM A52 OLED com aro (5G)</t>
  </si>
  <si>
    <t>A05 c/aro Nacional</t>
  </si>
  <si>
    <t>A05 c/aro Nacional Diamonds</t>
  </si>
  <si>
    <t xml:space="preserve">A05 c/aro Nacional= R$ </t>
  </si>
  <si>
    <t xml:space="preserve">A05 c/aro Nac Diamonds = </t>
  </si>
  <si>
    <t>SAM A05 com aro Nacional</t>
  </si>
  <si>
    <t>SAM A05 Nacional com aro</t>
  </si>
  <si>
    <t>SAM A05 com aro Nacional Diamonds</t>
  </si>
  <si>
    <t>SAM A05 Nacional Diamonds com aro</t>
  </si>
  <si>
    <t>Redmi 9T/Poco M3 c/aro Nacional</t>
  </si>
  <si>
    <t>Redmi 9T/Poco M3 c/aro Nacional Diamonds</t>
  </si>
  <si>
    <t xml:space="preserve">Redmi 9T c/aro Nac = </t>
  </si>
  <si>
    <t xml:space="preserve">Redmi 9T c/aro Nac Diamonds = </t>
  </si>
  <si>
    <t xml:space="preserve">Poco M3 c/aro Nac = R$ </t>
  </si>
  <si>
    <t xml:space="preserve">Poco M3 c/aro Nac Diamonds = </t>
  </si>
  <si>
    <t>Redmi 9T com aro Nacional</t>
  </si>
  <si>
    <t>Redmi 9T Nacional com aro</t>
  </si>
  <si>
    <t>Redmi 9T com aro Nacional Diamonds</t>
  </si>
  <si>
    <t>Redmi 9T Nacional Diamonds com aro</t>
  </si>
  <si>
    <t>Poco M3 com aro Nacional</t>
  </si>
  <si>
    <t>Poco M3 Nacional com aro</t>
  </si>
  <si>
    <t>Poco M3 com aro Nacional Diamonds</t>
  </si>
  <si>
    <t>Poco M3 Nacional Diamonds com aro</t>
  </si>
  <si>
    <t>Bateria Moto E6 Play (KS40)</t>
  </si>
  <si>
    <t>Bateria Moto G60 Gold-917</t>
  </si>
  <si>
    <t xml:space="preserve">Note 14 4G - original = R$ </t>
  </si>
  <si>
    <t xml:space="preserve">Note 14 5G - original = R$ </t>
  </si>
  <si>
    <t>Redmi Note 14 4G sem aro original</t>
  </si>
  <si>
    <t>Redmi Note 14 4G original sem aro</t>
  </si>
  <si>
    <t>Redmi Note 14 4G sem aro OLED</t>
  </si>
  <si>
    <t>Redmi Note 14 4G OLED sem aro</t>
  </si>
  <si>
    <t>Redmi Note 14 sem aro original (4G)</t>
  </si>
  <si>
    <t>Redmi Note 14 original sem aro (4G)</t>
  </si>
  <si>
    <t>Redmi Note 14 sem aro OLED (4G)</t>
  </si>
  <si>
    <t>Redmi Note 14 OLED sem aro (4G)</t>
  </si>
  <si>
    <t>Redmi Note 14 5G sem aro original</t>
  </si>
  <si>
    <t>Redmi Note 14 5G original sem aro</t>
  </si>
  <si>
    <t>Redmi Note 14 5G sem aro OLED</t>
  </si>
  <si>
    <t>Redmi Note 14 5G OLED sem aro</t>
  </si>
  <si>
    <t>Redmi Note 14 sem aro original (5G)</t>
  </si>
  <si>
    <t>Redmi Note 14 original sem aro (5G)</t>
  </si>
  <si>
    <t>Redmi Note 14 sem aro OLED (5G)</t>
  </si>
  <si>
    <t>Redmi Note 14 OLED sem aro (5G)</t>
  </si>
  <si>
    <t>Infinix Hot 10s/Hot 11</t>
  </si>
  <si>
    <t xml:space="preserve">Infinix Hot 10s   = R$ </t>
  </si>
  <si>
    <t xml:space="preserve">Infinix Hot 11  = R$ </t>
  </si>
  <si>
    <t>Infinix Hot 10s sem aro original</t>
  </si>
  <si>
    <t>Infinix Hot 10s original sem aro</t>
  </si>
  <si>
    <t>Infinix Hot 11 sem aro original</t>
  </si>
  <si>
    <t>Infinix Hot 11 original sem aro</t>
  </si>
  <si>
    <t>K51s c/aro Nacional</t>
  </si>
  <si>
    <t>K51s c/aro Nacional Diamonds</t>
  </si>
  <si>
    <t xml:space="preserve">K51s Nacional c/aro = R$ </t>
  </si>
  <si>
    <t xml:space="preserve">K51s c/aro Nac Diamonds = </t>
  </si>
  <si>
    <t>LG K51s com aro Nacional</t>
  </si>
  <si>
    <t>LG K51s Nacional com aro</t>
  </si>
  <si>
    <t>LG K51s com aro Nacional Diamonds</t>
  </si>
  <si>
    <t>LG K51s Nacional Diamonds com aro</t>
  </si>
  <si>
    <t>A24 c/aro Nacional</t>
  </si>
  <si>
    <t>A24 c/aro Nacional Diamonds</t>
  </si>
  <si>
    <t xml:space="preserve">A24 c/aro Nacional=R$ </t>
  </si>
  <si>
    <t xml:space="preserve">A24 c/aro Nac Diamonds = </t>
  </si>
  <si>
    <t>SAM A24 com aro Nacional</t>
  </si>
  <si>
    <t>SAM A24 Nacional com aro</t>
  </si>
  <si>
    <t>SAM A24 com aro Nacional Diamonds</t>
  </si>
  <si>
    <t>SAM A24 Nacional Diamonds com aro</t>
  </si>
  <si>
    <t>Galaxy S23 Ultra c/aro Nac Diamonds</t>
  </si>
  <si>
    <t xml:space="preserve">Galaxy S23 Ultra c/aro Nac Diamonds = </t>
  </si>
  <si>
    <t>SAM Galaxy S23 Ultra com aro Nacional Diamonds</t>
  </si>
  <si>
    <t>SAM Galaxy S23 Ultra Nacional Diamonds com aro</t>
  </si>
  <si>
    <t>A71 c/aro Nacional Diamonds</t>
  </si>
  <si>
    <t xml:space="preserve">A71 c/aro Nac Diamonds = </t>
  </si>
  <si>
    <t>Redmi A1 c/aro Nacional Diamonds</t>
  </si>
  <si>
    <t xml:space="preserve">Redmi A1 c/aro Nac Diamonds = </t>
  </si>
  <si>
    <t>Redmi A1 com aro Nacional Diamonds</t>
  </si>
  <si>
    <t>Redmi A1 Nacional Diamonds com aro</t>
  </si>
  <si>
    <t>Moto E6i c/aro</t>
  </si>
  <si>
    <t>Moto E6i c/aro Nacional Diamonds</t>
  </si>
  <si>
    <t>Moto E6i c/aro Nac Diamonds =</t>
  </si>
  <si>
    <t>Moto E6i com aro Nacional Diamonds</t>
  </si>
  <si>
    <t>Moto E6i Nacional Diamonds com aro</t>
  </si>
  <si>
    <t>Bateria iPhone 12/iPhone 12 Pro (Foxconn)</t>
  </si>
  <si>
    <t>Moto One Action sem aro original</t>
  </si>
  <si>
    <t>Bateria iPhone 11 (Foxconn)</t>
  </si>
  <si>
    <t>Bateria iPhone 11 Pro (Foxconn)</t>
  </si>
  <si>
    <t>Bateria iPhone 11 Pro Max (Foxconn)</t>
  </si>
  <si>
    <t>Bateria iPhone 12 Pro Max (Foxconn)</t>
  </si>
  <si>
    <t>Bateria iPhone 13 (Foxconn)</t>
  </si>
  <si>
    <t>Bateria iPhone 13 Pro (Foxconn)</t>
  </si>
  <si>
    <t>Bateria iPhone 13 Pro Max (Foxconn)</t>
  </si>
  <si>
    <t>Bateria iPhone 14 (Foxconn)</t>
  </si>
  <si>
    <t>Bateria iPhone 14 Pro (Foxconn)</t>
  </si>
  <si>
    <t>Bateria iPhone 14 Pro Max (Foxconn)</t>
  </si>
  <si>
    <t>Bateria iPhone 6 (Foxconn)</t>
  </si>
  <si>
    <t>Bateria iPhone 6 Plus (Foxconn)</t>
  </si>
  <si>
    <t>Bateria iPhone 6s (Foxconn)</t>
  </si>
  <si>
    <t>Bateria iPhone 6s Plus (Foxconn)</t>
  </si>
  <si>
    <t>Bateria iPhone 7 (Foxconn)</t>
  </si>
  <si>
    <t>Bateria iPhone 7 Plus (Foxconn)</t>
  </si>
  <si>
    <t>Bateria iPhone 8 (Foxconn)</t>
  </si>
  <si>
    <t>Bateria iPhone 8 Plus (Foxconn)</t>
  </si>
  <si>
    <t>Bateria iPhone X (Foxconn)</t>
  </si>
  <si>
    <t>Bateria iPhone XR (Foxconn)</t>
  </si>
  <si>
    <t>Bateria iPhone XS (Foxconn)</t>
  </si>
  <si>
    <t>Bateria iPhone XS Max (Foxconn)</t>
  </si>
  <si>
    <t>Bateria iPhone 11 Foxconn</t>
  </si>
  <si>
    <t>Bateria iPhone 11 Pro Foxconn</t>
  </si>
  <si>
    <t>Bateria iPhone 11 Pro Max Foxconn</t>
  </si>
  <si>
    <t>Bateria iPhone 12 Pro Max Foxconn</t>
  </si>
  <si>
    <t>Bateria iPhone 13 Foxconn</t>
  </si>
  <si>
    <t>Bateria iPhone 13 Pro Foxconn</t>
  </si>
  <si>
    <t>Bateria iPhone 13 Pro Max Foxconn</t>
  </si>
  <si>
    <t>Bateria iPhone 14 Foxconn</t>
  </si>
  <si>
    <t>Bateria iPhone 14 Pro Foxconn</t>
  </si>
  <si>
    <t>Bateria iPhone 14 Pro Max Foxconn</t>
  </si>
  <si>
    <t>Bateria iPhone 6 Foxconn</t>
  </si>
  <si>
    <t>Bateria iPhone 6 Plus Foxconn</t>
  </si>
  <si>
    <t>Bateria iPhone 6s Foxconn</t>
  </si>
  <si>
    <t>Bateria iPhone 6s Plus Foxconn</t>
  </si>
  <si>
    <t>Bateria iPhone 7 Foxconn</t>
  </si>
  <si>
    <t>Bateria iPhone 7 Plus Foxconn</t>
  </si>
  <si>
    <t>Bateria iPhone 8 Foxconn</t>
  </si>
  <si>
    <t>Bateria iPhone 8 Plus Foxconn</t>
  </si>
  <si>
    <t>Bateria iPhone X Foxconn</t>
  </si>
  <si>
    <t>Bateria iPhone XR Foxconn</t>
  </si>
  <si>
    <t>Bateria iPhone XS Foxconn</t>
  </si>
  <si>
    <t>Bateria iPhone XS Max Foxconn</t>
  </si>
  <si>
    <t>Bateria 11 Pro Foxconn</t>
  </si>
  <si>
    <t>Bateria 11 Pro Max Foxconn</t>
  </si>
  <si>
    <t>Bateria 12 Pro Max Foxconn</t>
  </si>
  <si>
    <t>Bateria 13 Pro Foxconn</t>
  </si>
  <si>
    <t>Bateria 13 Pro Max Foxconn</t>
  </si>
  <si>
    <t>Bateria 14 Pro Foxconn</t>
  </si>
  <si>
    <t>Bateria 14 Pro Max Foxconn</t>
  </si>
  <si>
    <t>Bateria 6 Plus Foxconn</t>
  </si>
  <si>
    <t>Bateria 6s Foxconn</t>
  </si>
  <si>
    <t>Bateria 6s Plus Foxconn</t>
  </si>
  <si>
    <t>Bateria 7 Plus Foxconn</t>
  </si>
  <si>
    <t>Bateria 8 Plus Foxconn</t>
  </si>
  <si>
    <t>Bateria X Foxconn</t>
  </si>
  <si>
    <t>Bateria XR Foxconn</t>
  </si>
  <si>
    <t>Bateria XS Foxconn</t>
  </si>
  <si>
    <t>Bateria XS Max Foxconn</t>
  </si>
  <si>
    <t>Redmi 9A/9C/Redmi 9i/10A/Poco C3/Poco C31</t>
  </si>
  <si>
    <t xml:space="preserve">Poco C31        = R$ </t>
  </si>
  <si>
    <t>Poco C31 sem aro original</t>
  </si>
  <si>
    <t>Poco C31 original sem aro</t>
  </si>
  <si>
    <t>A22 4G c/aro Nacional Diamonds</t>
  </si>
  <si>
    <t xml:space="preserve">A22 4G c/aro Nac Diamonds = </t>
  </si>
  <si>
    <t>SAM A22 4G com aro Nacional Diamonds</t>
  </si>
  <si>
    <t>SAM A22 4G Nacional Diamonds com aro</t>
  </si>
  <si>
    <t>SAM A22 com aro Nacional Diamonds (4G)</t>
  </si>
  <si>
    <t>SAM A22 Nacional Diamonds com aro (4G)</t>
  </si>
  <si>
    <t>A16 4G - incell</t>
  </si>
  <si>
    <t>A16 4G - incell c/aro</t>
  </si>
  <si>
    <t>A16 4G - original</t>
  </si>
  <si>
    <t>A16 4G - original c/aro</t>
  </si>
  <si>
    <t xml:space="preserve">A16 4G - incell     = R$ </t>
  </si>
  <si>
    <t xml:space="preserve">A16 4G - incell c/aro = R$ </t>
  </si>
  <si>
    <t xml:space="preserve">A16 4G - c/aro - orig    = R$ </t>
  </si>
  <si>
    <t xml:space="preserve">A16 4G - original      = R$ </t>
  </si>
  <si>
    <t>SAM A16 4G sem aro incell</t>
  </si>
  <si>
    <t>SAM A16 4G incell sem aro</t>
  </si>
  <si>
    <t>SAM A16 4G com aro incell</t>
  </si>
  <si>
    <t>SAM A16 4G incell com aro</t>
  </si>
  <si>
    <t>SAM A16 4G original sem aro</t>
  </si>
  <si>
    <t>SAM A16 4G sem aro original</t>
  </si>
  <si>
    <t>SAM A16 4G original com aro</t>
  </si>
  <si>
    <t>SAM A16 4G com aro original</t>
  </si>
  <si>
    <t>SAM A16 4G OLED sem aro</t>
  </si>
  <si>
    <t>SAM A16 4G sem aro OLED</t>
  </si>
  <si>
    <t>SAM A16 4G OLED com aro</t>
  </si>
  <si>
    <t>SAM A16 4G com aro OLED</t>
  </si>
  <si>
    <t>Conector SAM A10s/Moto E5 Play Go</t>
  </si>
  <si>
    <t>Bateria SAM A25/A35/A55 (BA256)</t>
  </si>
  <si>
    <t>Bateria SAM A25 (BA256)</t>
  </si>
  <si>
    <t>Bateria SAM A35 (BA256)</t>
  </si>
  <si>
    <t>Bateria SAM A55 (BA256)</t>
  </si>
  <si>
    <t>Placa Carga A55</t>
  </si>
  <si>
    <t>Dock Carga A55</t>
  </si>
  <si>
    <t>Placa A55 (Placa Carga)</t>
  </si>
  <si>
    <t>Placa de Carga SAM A55</t>
  </si>
  <si>
    <t>Placa Carga SAM A55</t>
  </si>
  <si>
    <t>Dock Carga SAM A55</t>
  </si>
  <si>
    <t>Flex LCD SAM A55 (SUB)</t>
  </si>
  <si>
    <t>Flex SUB SAM A55</t>
  </si>
  <si>
    <t>Flex LCD A55 (SUB)</t>
  </si>
  <si>
    <t>Flex SUB A55</t>
  </si>
  <si>
    <t>Flex Main SAM A55 (SUB/OCTA)</t>
  </si>
  <si>
    <t>Redmi 10C c/aro Nacional</t>
  </si>
  <si>
    <t xml:space="preserve">Redmi 10C c/aro Nacional = </t>
  </si>
  <si>
    <t>Redmi 10C Nacional com aro</t>
  </si>
  <si>
    <t>Redmi 10C com aro Nacional</t>
  </si>
  <si>
    <t xml:space="preserve">Note 12 Pro 4G - incell = R$ </t>
  </si>
  <si>
    <t>Redmi Note 12 Pro 4G sem aro incell</t>
  </si>
  <si>
    <t>Redmi Note 12 Pro 4G incell sem aro</t>
  </si>
  <si>
    <t>Redmi Note 12 Pro sem aro incell (4G)</t>
  </si>
  <si>
    <t>Redmi Note 12 Pro incell sem aro (4G)</t>
  </si>
  <si>
    <t>iPhone 16 - incell (ci)</t>
  </si>
  <si>
    <t>iPhone 16 OLED (ci)</t>
  </si>
  <si>
    <t>iPhone 16 Pro - incell (ci)</t>
  </si>
  <si>
    <t>iPhone 16 Pro OLED (ci)</t>
  </si>
  <si>
    <t>iPhone 16 Pro Max - incell (ci)</t>
  </si>
  <si>
    <t>iPhone 16 Pro Max OLED (ci)</t>
  </si>
  <si>
    <t xml:space="preserve">iPhone 16 - incell (ci) = R$ </t>
  </si>
  <si>
    <t xml:space="preserve">iPhone 16 OLED (ci) = R$ </t>
  </si>
  <si>
    <t xml:space="preserve">iPhone 16 Pro - incell (ci) = R$ </t>
  </si>
  <si>
    <t xml:space="preserve">iPhone 16 Pro OLED (ci) = R$ </t>
  </si>
  <si>
    <t xml:space="preserve">16 Pro Max - incell (ci) = R$ </t>
  </si>
  <si>
    <t xml:space="preserve">16 Pro Max OLED (ci) = R$ </t>
  </si>
  <si>
    <t>iPhone 16 Pro original (Ci Removivel)</t>
  </si>
  <si>
    <t>iPhone 16 Pro OLED (Ci Removivel)</t>
  </si>
  <si>
    <t>iPhone 16 incell (Ci Removivel)</t>
  </si>
  <si>
    <t>iPhone 16 original (Ci Removivel)</t>
  </si>
  <si>
    <t>iPhone 16 OLED (Ci Removivel)</t>
  </si>
  <si>
    <t>iPhone 16 Pro incell (Ci Removivel)</t>
  </si>
  <si>
    <t>iPhone 16 Pro Max incell (Ci Removivel)</t>
  </si>
  <si>
    <t>iPhone 16 Pro Max original (Ci Removivel)</t>
  </si>
  <si>
    <t>iPhone 16 Pro Max OLED (Ci Removivel)</t>
  </si>
  <si>
    <t>Redmi 13 c/aro Nacional</t>
  </si>
  <si>
    <t>Redmi 13 c/aro Nacional Diamonds</t>
  </si>
  <si>
    <t xml:space="preserve">Redmi 13 c/aro Nacional = </t>
  </si>
  <si>
    <t xml:space="preserve">Redmi 13 c/aro Nac Diamonds = </t>
  </si>
  <si>
    <t>Redmi 13 com aro Nacional</t>
  </si>
  <si>
    <t>Redmi 13 Nacional com aro</t>
  </si>
  <si>
    <t>Redmi 13 com aro Nacional Diamonds</t>
  </si>
  <si>
    <t>Redmi 13 Nacional Diamonds com aro</t>
  </si>
  <si>
    <t>Moto G7 Power c/aro Nacional</t>
  </si>
  <si>
    <t>Moto G7 Power c/aro Nacional Diamonds</t>
  </si>
  <si>
    <t xml:space="preserve">G7 Power c/aro Nacional = R$ </t>
  </si>
  <si>
    <t xml:space="preserve">G7 Power c/aro Nac Diamonds = </t>
  </si>
  <si>
    <t>Moto G7 Power com aro Nacional</t>
  </si>
  <si>
    <t>Moto G7 Power Nacional com aro</t>
  </si>
  <si>
    <t>Moto G7 Power com aro Nacional Diamonds</t>
  </si>
  <si>
    <t>Moto G7 Power Nacional Diamonds com aro</t>
  </si>
  <si>
    <t>A32 4G c/aro Nacional Diamonds</t>
  </si>
  <si>
    <t xml:space="preserve">A32 4G c/aro Nac Diamonds = </t>
  </si>
  <si>
    <t>SAM A32 com aro Nacional Diamonds (4G)</t>
  </si>
  <si>
    <t>SAM A32 Nacional Diamonds com aro (4G)</t>
  </si>
  <si>
    <t>SAM A32 (4G) com aro Nacional Diamonds</t>
  </si>
  <si>
    <t>SAM A32 (4G) Nacional Diamonds com aro</t>
  </si>
  <si>
    <t>Redmi 13C/Poco C65 c/aro</t>
  </si>
  <si>
    <t xml:space="preserve">Poco C65 c/aro  = R$ </t>
  </si>
  <si>
    <t>Poco C65 com aro original</t>
  </si>
  <si>
    <t>Poco C65 original com aro</t>
  </si>
  <si>
    <t>Campainha Moto G24</t>
  </si>
  <si>
    <t>Auto Falante Moto G24 (Campainha)</t>
  </si>
  <si>
    <t>Auto Falante G24 (Campainha)</t>
  </si>
  <si>
    <t>Campainha G24</t>
  </si>
  <si>
    <t>Auto Falante (Com Tampa) Moto G71</t>
  </si>
  <si>
    <t>Campainha Moto G71</t>
  </si>
  <si>
    <t>Auto Falante Moto G71 (Campainha)</t>
  </si>
  <si>
    <t>Auto Falante G71 (Campainha)</t>
  </si>
  <si>
    <t>Campainha G71</t>
  </si>
  <si>
    <t>Bateria SAM A34 (BA546)</t>
  </si>
  <si>
    <t>Bateria SAM A54 (BA546)</t>
  </si>
  <si>
    <t>Bateria SAM A06 (HQ-7160)</t>
  </si>
  <si>
    <t>Bateria SAM A05 (WT-S-N28)</t>
  </si>
  <si>
    <t>Redmi 12C/Poco C55</t>
  </si>
  <si>
    <t>Redmi 12C/Poco C55 c/aro</t>
  </si>
  <si>
    <t>Redmi 12C/Poco C55 c/aro Nacional</t>
  </si>
  <si>
    <t>Redmi 12C/Poco C55 c/aro Nacional Diamonds</t>
  </si>
  <si>
    <t xml:space="preserve">Poco C55  = R$ </t>
  </si>
  <si>
    <t xml:space="preserve">Poco C55 c/aro  = R$ </t>
  </si>
  <si>
    <t xml:space="preserve">Poco C55 c/aro Nac Diamonds = </t>
  </si>
  <si>
    <t xml:space="preserve">Poco C55 c/aro Nacional = R$ </t>
  </si>
  <si>
    <t>Poco C55 sem aro original</t>
  </si>
  <si>
    <t>Poco C55 com aro original</t>
  </si>
  <si>
    <t>Poco C55 original com aro</t>
  </si>
  <si>
    <t>Poco C55 original sem aro</t>
  </si>
  <si>
    <t>Poco C55 com aro Nacional</t>
  </si>
  <si>
    <t>Poco C55 Nacional com aro</t>
  </si>
  <si>
    <t>Poco C55 com aro Nacional Diamonds</t>
  </si>
  <si>
    <t>Poco C55 Nacional Diamonds com aro</t>
  </si>
  <si>
    <t>Lente de Camera Moto G24</t>
  </si>
  <si>
    <t>Lente Camera Moto G24</t>
  </si>
  <si>
    <t>Lente Moto G24</t>
  </si>
  <si>
    <t>Lente G24</t>
  </si>
  <si>
    <t>Poco M7 Pro OLED</t>
  </si>
  <si>
    <t>Poco M7 Pro OLED C/Aro</t>
  </si>
  <si>
    <t xml:space="preserve">Poco M7 Pro - original = R$ </t>
  </si>
  <si>
    <t xml:space="preserve">Poco M7 Pro - orig c/aro = R$ </t>
  </si>
  <si>
    <t>Poco M7 Pro com aro original</t>
  </si>
  <si>
    <t>Poco M7 Pro original com aro</t>
  </si>
  <si>
    <t>Poco M7 Pro com aro OLED</t>
  </si>
  <si>
    <t>Poco M7 Pro OLED com aro</t>
  </si>
  <si>
    <t>Poco M7 Pro sem aro original</t>
  </si>
  <si>
    <t>Poco M7 Pro original sem aro</t>
  </si>
  <si>
    <t>Poco M7 Pro sem aro OLED</t>
  </si>
  <si>
    <t>Poco M7 Pro OLED sem aro</t>
  </si>
  <si>
    <t>Bateria Xiaomi Poco M7 Pro (BN5U)</t>
  </si>
  <si>
    <t>Placa de Carga SAM A05s</t>
  </si>
  <si>
    <t>Placa Carga SAM A05s</t>
  </si>
  <si>
    <t>Dock Carga SAM A05s</t>
  </si>
  <si>
    <t>Placa Carga A05s</t>
  </si>
  <si>
    <t>Dock Carga A05s</t>
  </si>
  <si>
    <t>Placa A05s (Placa Carga)</t>
  </si>
  <si>
    <t>Bateria Mi 8 Lite (BM3J)</t>
  </si>
  <si>
    <t>Bateria Mi 9 (BM3L)</t>
  </si>
  <si>
    <t>Bateria Mi 9 SE (BM3M)</t>
  </si>
  <si>
    <t>Bateria Mi 11 Lite (BP42)</t>
  </si>
  <si>
    <t>Bateria Poco C40 (BN66)</t>
  </si>
  <si>
    <t>Bateria Poco F3 (BM4Y)</t>
  </si>
  <si>
    <t>Bateria Poco M3 (BN62)</t>
  </si>
  <si>
    <t>Bateria Poco M7 Pro (BN5U)</t>
  </si>
  <si>
    <t>Bateria Redmi 9A (BN56)</t>
  </si>
  <si>
    <t>Bateria Redmi 9C (BN56)</t>
  </si>
  <si>
    <t>Bateria Redmi 9T (BN62)</t>
  </si>
  <si>
    <t>Bateria Poco X3 (BN57/BN61)</t>
  </si>
  <si>
    <t>Bateria Poco X3 Pro (BN57/BN61)</t>
  </si>
  <si>
    <t>Bateria Poco X3 Gold-467/Gold-468</t>
  </si>
  <si>
    <t>Bateria Poco X3 Pro Gold-467/Gold-468</t>
  </si>
  <si>
    <t>Bateria Redmi 10 (BN63)</t>
  </si>
  <si>
    <t>Bateria Redmi 10 Prime (BN63)</t>
  </si>
  <si>
    <t>Bateria Redmi 10A (BN5G)</t>
  </si>
  <si>
    <t>Bateria Redmi 10C (BN5G)</t>
  </si>
  <si>
    <t>Bateria Redmi 13C (BN5Q)</t>
  </si>
  <si>
    <t>Bateria Redmi 7 (BN46)</t>
  </si>
  <si>
    <t>Bateria Redmi Note 6 (BN46)</t>
  </si>
  <si>
    <t>Bateria Redmi Note 8 (BN46)</t>
  </si>
  <si>
    <t>Bateria Redmi Note 8T (BN46)</t>
  </si>
  <si>
    <t>Bateria Redmi 7 Gold-450</t>
  </si>
  <si>
    <t>Bateria Redmi Note 6 Gold-450</t>
  </si>
  <si>
    <t>Bateria Redmi Note 8 Gold-450</t>
  </si>
  <si>
    <t>Bateria Redmi Note 8T Gold-450</t>
  </si>
  <si>
    <t>Bateria Redmi 8 (BN51)</t>
  </si>
  <si>
    <t>Bateria Redmi 8A (BN51)</t>
  </si>
  <si>
    <t>Bateria Redmi 9 (BN54/BN52)</t>
  </si>
  <si>
    <t>Bateria Redmi Note 9 (BN54/BN52)</t>
  </si>
  <si>
    <t>Bateria Redmi A3 (BN5R)</t>
  </si>
  <si>
    <t>Bateria Redmi Note 10 4G (BN59)</t>
  </si>
  <si>
    <t>Bateria Redmi Note 7 (BN4A)</t>
  </si>
  <si>
    <t>Bateria Redmi Note 7 Pro (BN4A)</t>
  </si>
  <si>
    <t>Bateria Redmi Note 7 Gold-454</t>
  </si>
  <si>
    <t>Bateria Redmi Note 7 Pro Gold-454</t>
  </si>
  <si>
    <t>Bateria Redmi Note 9 Pro (BN53)</t>
  </si>
  <si>
    <t>Bateria Redmi Note 10 Pro (BN53)</t>
  </si>
  <si>
    <t>Bateria Redmi Note 9s (BN55)</t>
  </si>
  <si>
    <t>Bateria Redmi Note 11s (BN5D)</t>
  </si>
  <si>
    <t>Bateria Redmi Note 12s (BN5D)</t>
  </si>
  <si>
    <t>Flex Main Redmi Note 12 4G (SUB)</t>
  </si>
  <si>
    <t>Flex LCD Redmi Note 12 4G (SUB)</t>
  </si>
  <si>
    <t>Flex SUB Redmi Note 12 4G</t>
  </si>
  <si>
    <t>Flex LCD Note 12 4G (SUB)</t>
  </si>
  <si>
    <t>Flex SUB Note 12 4G</t>
  </si>
  <si>
    <t>Flex LCD Redmi Note 12 5G (SUB)</t>
  </si>
  <si>
    <t>Flex SUB Redmi Note 12 5G</t>
  </si>
  <si>
    <t>Flex LCD Note 12 5G (SUB)</t>
  </si>
  <si>
    <t>Flex SUB Note 12 5G</t>
  </si>
  <si>
    <t xml:space="preserve">A52s c/aro - incell  = R$ </t>
  </si>
  <si>
    <t>SAM A52s com aro incell</t>
  </si>
  <si>
    <t>SAM A52s incell com aro</t>
  </si>
  <si>
    <t>Redmi A5/Poco C71</t>
  </si>
  <si>
    <t xml:space="preserve">Poco C71  = R$ </t>
  </si>
  <si>
    <t>Poco C71 sem aro original</t>
  </si>
  <si>
    <t>Poco C71 original sem aro</t>
  </si>
  <si>
    <t>Moto G35 c/aro Nacional</t>
  </si>
  <si>
    <t>Moto G35 c/aro Nacional Diamonds</t>
  </si>
  <si>
    <t xml:space="preserve">Moto G35 c/aro Nacional = </t>
  </si>
  <si>
    <t xml:space="preserve">Moto G35 c/aro Nac Diamonds = </t>
  </si>
  <si>
    <t>Moto G35 com aro Nacional</t>
  </si>
  <si>
    <t>Moto G35 Nacional com aro</t>
  </si>
  <si>
    <t>Moto G35 com aro Nacional Diamonds</t>
  </si>
  <si>
    <t>Moto G35 Nacional Diamonds com aro</t>
  </si>
  <si>
    <t>M32 c/aro Nacional Diamonds</t>
  </si>
  <si>
    <t xml:space="preserve">M32 c/aro Nac Diamonds = </t>
  </si>
  <si>
    <t>SAM M32 com aro Nacional Diamonds</t>
  </si>
  <si>
    <t>SAM M32 Nacional Diamonds com aro</t>
  </si>
  <si>
    <t>Redmi 10C c/aro Nacional Diamonds</t>
  </si>
  <si>
    <t xml:space="preserve">Redmi 10C c/aro Nac Diamonds = </t>
  </si>
  <si>
    <t>Redmi 10C com aro Nacional Diamonds</t>
  </si>
  <si>
    <t>Redmi 10C Nacional Diamonds com aro</t>
  </si>
  <si>
    <t>Redmi 14C/Poco C75 c/aro Nacional</t>
  </si>
  <si>
    <t>Redmi 14C/Poco C75 c/aro Nacional Diamonds</t>
  </si>
  <si>
    <t xml:space="preserve">Redmi 14C c/aro Nacional = </t>
  </si>
  <si>
    <t xml:space="preserve">Redmi 14C c/aro Nac Diamonds = </t>
  </si>
  <si>
    <t xml:space="preserve">Poco C75 c/aro Nacional = R$ </t>
  </si>
  <si>
    <t xml:space="preserve">Poco C75 c/aro Nac Diamonds = </t>
  </si>
  <si>
    <t>Poco C75 com aro Nacional</t>
  </si>
  <si>
    <t>Poco C75 Nacional com aro</t>
  </si>
  <si>
    <t>Poco C75 com aro Nacional Diamonds</t>
  </si>
  <si>
    <t>Poco C75 Nacional Diamonds com aro</t>
  </si>
  <si>
    <t>Moto One Vision c/aro Nacional Diamonds</t>
  </si>
  <si>
    <t xml:space="preserve">Moto One Vision c/aro Nac Diamonds = </t>
  </si>
  <si>
    <t>Moto One Vision com aro Nacional Diamonds</t>
  </si>
  <si>
    <t>Moto One Vision Nacional Diamonds com aro</t>
  </si>
  <si>
    <t>A72 c/aro Nacional Diamonds</t>
  </si>
  <si>
    <t xml:space="preserve">A72 c/aro Nac Diamonds = </t>
  </si>
  <si>
    <t>SAM A72 Nacional Diamonds com aro</t>
  </si>
  <si>
    <t>SAM A72 com aro Nacional Diamonds</t>
  </si>
  <si>
    <t xml:space="preserve">Moto G71 incell c/aro = R$ </t>
  </si>
  <si>
    <t>Moto G71 com aro incell</t>
  </si>
  <si>
    <t>Moto G71 incell com aro</t>
  </si>
  <si>
    <t xml:space="preserve">Grand Prime (G530) =  R$ </t>
  </si>
  <si>
    <t>A16 5G - incell</t>
  </si>
  <si>
    <t>A16 5G - incell c/aro</t>
  </si>
  <si>
    <t>A16 5G - original</t>
  </si>
  <si>
    <t>A16 5G - original c/aro</t>
  </si>
  <si>
    <t xml:space="preserve">A16 5G - incell     = R$ </t>
  </si>
  <si>
    <t xml:space="preserve">A16 5G - incell c/aro = R$ </t>
  </si>
  <si>
    <t xml:space="preserve">A16 5G - original      = R$ </t>
  </si>
  <si>
    <t xml:space="preserve">A16 5G - c/aro - orig    = R$ </t>
  </si>
  <si>
    <t>SAM A16 5G sem aro incell</t>
  </si>
  <si>
    <t>SAM A16 5G incell sem aro</t>
  </si>
  <si>
    <t>SAM A16 5G com aro incell</t>
  </si>
  <si>
    <t>SAM A16 5G incell com aro</t>
  </si>
  <si>
    <t>SAM A16 5G original sem aro</t>
  </si>
  <si>
    <t>SAM A16 5G sem aro original</t>
  </si>
  <si>
    <t>SAM A16 5G original com aro</t>
  </si>
  <si>
    <t>SAM A16 5G com aro original</t>
  </si>
  <si>
    <t>SAM A16 5G OLED sem aro</t>
  </si>
  <si>
    <t>SAM A16 5G sem aro OLED</t>
  </si>
  <si>
    <t>SAM A16 5G OLED com aro</t>
  </si>
  <si>
    <t>SAM A16 5G com aro OLED</t>
  </si>
  <si>
    <t>Redmi Note 14 4G - incell c/aro</t>
  </si>
  <si>
    <t>Redmi Note 14 4G - original c/aro</t>
  </si>
  <si>
    <t xml:space="preserve">Note 14 4G - incell c/aro = </t>
  </si>
  <si>
    <t xml:space="preserve">Note 14 4G - orig c/aro = </t>
  </si>
  <si>
    <t>Redmi Note 14 4G incell com aro</t>
  </si>
  <si>
    <t>Redmi Note 14 4G com aro incell</t>
  </si>
  <si>
    <t>Redmi Note 14 incell com aro (4G)</t>
  </si>
  <si>
    <t>Redmi Note 14 com aro incell (4G)</t>
  </si>
  <si>
    <t>Redmi Note 14 4G original com aro</t>
  </si>
  <si>
    <t>Redmi Note 14 4G com aro original</t>
  </si>
  <si>
    <t>Redmi Note 14 4G OLED com aro</t>
  </si>
  <si>
    <t>Redmi Note 14 4G com aro OLED</t>
  </si>
  <si>
    <t>Redmi Note 14 original com aro (4G)</t>
  </si>
  <si>
    <t>Redmi Note 14 com aro original (4G)</t>
  </si>
  <si>
    <t>Redmi Note 14 OLED com aro (4G)</t>
  </si>
  <si>
    <t>Redmi Note 14 com aro OLED (4G)</t>
  </si>
  <si>
    <t xml:space="preserve">Moto G71 orig c/aro = R$ </t>
  </si>
  <si>
    <t>Moto G71 com aro original</t>
  </si>
  <si>
    <t>Moto G71 original com aro</t>
  </si>
  <si>
    <t>Moto G71 com aro OLED</t>
  </si>
  <si>
    <t>Moto G71 OLED com aro</t>
  </si>
  <si>
    <t xml:space="preserve">Moto G23 c/aro Nac Diamonds = </t>
  </si>
  <si>
    <t>Bateria Xiaomi Mi 12T/Mi 12T Pro/Redmi K50 (BM5J)</t>
  </si>
  <si>
    <t>Bateria Xiaomi 12T</t>
  </si>
  <si>
    <t>Bateria Mi 12T</t>
  </si>
  <si>
    <t>Bateria Xiaomi 12T Pro</t>
  </si>
  <si>
    <t>Bateria Mi 12T Pro</t>
  </si>
  <si>
    <t>Bateria Redmi K50 (BM5J)</t>
  </si>
  <si>
    <t xml:space="preserve">A15/M15 - original  </t>
  </si>
  <si>
    <t>Moto Edge 20 Nacional Diamonds</t>
  </si>
  <si>
    <t xml:space="preserve">Edge 20 c/aro Nac Diamonds = </t>
  </si>
  <si>
    <t>Moto Edge 20 com aro Nacional Diamonds</t>
  </si>
  <si>
    <t>Moto Edge 20 Nacional Diamonds com aro</t>
  </si>
  <si>
    <t>Moto Edge 30 c/aro Nacional Diamonds</t>
  </si>
  <si>
    <t xml:space="preserve">Edge 30 c/aro Nac Diamonds = </t>
  </si>
  <si>
    <t>Moto Edge 30 com aro Nacional Diamonds</t>
  </si>
  <si>
    <t>Moto Edge 30 Nacional Diamonds com aro</t>
  </si>
  <si>
    <t>Moto G85/Edge 50 Fusion incell</t>
  </si>
  <si>
    <t xml:space="preserve">Moto G85 incell = R$ </t>
  </si>
  <si>
    <t xml:space="preserve">Edge 50 Fusion incell = R$ </t>
  </si>
  <si>
    <t>Moto G85 sem aro incell</t>
  </si>
  <si>
    <t>Moto G85 incell sem aro</t>
  </si>
  <si>
    <t>Moto Edge 50 Fusion sem aro incell</t>
  </si>
  <si>
    <t>Moto Edge 50 Fusion incell sem aro</t>
  </si>
  <si>
    <t>Poco F3 - original c/aro</t>
  </si>
  <si>
    <t xml:space="preserve">Poco F3 - orig c/aro = R$ </t>
  </si>
  <si>
    <t>Poco F3 com aro original</t>
  </si>
  <si>
    <t>Poco F3 original com aro</t>
  </si>
  <si>
    <t>Poco F3 com aro OLED</t>
  </si>
  <si>
    <t>Poco F3 OLED com aro</t>
  </si>
  <si>
    <t>Cola B-7000 Transparente (15ml)</t>
  </si>
  <si>
    <t>Cola T-7000 Preta (15ml)</t>
  </si>
  <si>
    <t>Cola T7000 Preta (15ml)</t>
  </si>
  <si>
    <t>Cola B7000 Transparente (15ml)</t>
  </si>
  <si>
    <t>Cola Preta T-7000 (15ml)</t>
  </si>
  <si>
    <t>Cola Preta T7000 (15ml)</t>
  </si>
  <si>
    <t>Cola Transparente B-7000 (15ml)</t>
  </si>
  <si>
    <t>Cola Transparente B7000 (15ml)</t>
  </si>
  <si>
    <t>Cola Branca B-7000 (15ml)</t>
  </si>
  <si>
    <t>Cola Branca B7000 (15ml)</t>
  </si>
  <si>
    <t>Esponja Limpa Solda</t>
  </si>
  <si>
    <t>Esponja Limpar Solda</t>
  </si>
  <si>
    <t>Fita Aluminio Termica 20mm</t>
  </si>
  <si>
    <t>Tampa SAM A21</t>
  </si>
  <si>
    <t>Tampa SAM A73</t>
  </si>
  <si>
    <t>Galaxy Note 10 Plus c/aro Nacional (Tela/G)</t>
  </si>
  <si>
    <t xml:space="preserve">Note 10 Plus c/aro Nac (Tela/G) = </t>
  </si>
  <si>
    <t>SAM Galaxy Note 10 Plus com aro Nacional Diamonds (Tela Pequena)</t>
  </si>
  <si>
    <t>SAM Galaxy Note 10 Plus Nacional Diamonds com aro (Tela Pequena)</t>
  </si>
  <si>
    <t>SAM Galaxy Note 10 Plus com aro Nacional (Tela Grande)</t>
  </si>
  <si>
    <t>SAM Galaxy Note 10 Plus Nacional com aro (Tela Grande)</t>
  </si>
  <si>
    <t>Realme C61/C63/Note 60</t>
  </si>
  <si>
    <t>Realme C31</t>
  </si>
  <si>
    <t xml:space="preserve">Realme C31 = R$ </t>
  </si>
  <si>
    <t xml:space="preserve">Realme C61 = R$ </t>
  </si>
  <si>
    <t xml:space="preserve">Realme C63 = R$ </t>
  </si>
  <si>
    <t xml:space="preserve">Realme Note 60 = R$ </t>
  </si>
  <si>
    <t>Realme C61 sem aro original</t>
  </si>
  <si>
    <t xml:space="preserve">Realme C61 original sem aro </t>
  </si>
  <si>
    <t>Realme C63 sem aro original</t>
  </si>
  <si>
    <t xml:space="preserve">Realme C63 original sem aro </t>
  </si>
  <si>
    <t>Realme Note 60 sem aro original</t>
  </si>
  <si>
    <t>Realme Note 60 original sem aro</t>
  </si>
  <si>
    <t>Lente Note 11 4G</t>
  </si>
  <si>
    <t>Lente Note 11s 4G</t>
  </si>
  <si>
    <t>Lente Camera Redmi Note 11 Pro</t>
  </si>
  <si>
    <t>Lente Redmi Note 11 Pro</t>
  </si>
  <si>
    <t>Lente Note 11 Pro</t>
  </si>
  <si>
    <t>Imagem</t>
  </si>
  <si>
    <t>a12_sem_aro.jpg</t>
  </si>
  <si>
    <t>a01_sem_aro.jpg</t>
  </si>
  <si>
    <t>a01_com_aro_nacional.jpg</t>
  </si>
  <si>
    <t>a01_com_aro.jpg</t>
  </si>
  <si>
    <t>a01_core_sem_aro.jpg</t>
  </si>
  <si>
    <t>a01_core_com_aro.jpg</t>
  </si>
  <si>
    <t>a02_com_aro.jpg</t>
  </si>
  <si>
    <t>a02_com_aro_nacional.jpg</t>
  </si>
  <si>
    <t>a02s_com_aro.jpg</t>
  </si>
  <si>
    <t>a02s_sem_aro.jpg</t>
  </si>
  <si>
    <t>a02s_com_aro_nacional.jpg</t>
  </si>
  <si>
    <t>a03_com_aro.jpg</t>
  </si>
  <si>
    <t>a03_com_aro_nacional.jpg</t>
  </si>
  <si>
    <t>a03_core_sem_aro.jpg</t>
  </si>
  <si>
    <t>a03_core_com_aro.jpg</t>
  </si>
  <si>
    <t>a03_core_com_aro_nacional.jpg</t>
  </si>
  <si>
    <t>a03s_com_aro.jpg</t>
  </si>
  <si>
    <t>a03s_com_aro_nacional.jpg</t>
  </si>
  <si>
    <t>a04_sem_aro.jpg</t>
  </si>
  <si>
    <t>a04_com_aro.jpg</t>
  </si>
  <si>
    <t>a04_com_aro_nacional.jpg</t>
  </si>
  <si>
    <t>a04e_com_aro.jpg</t>
  </si>
  <si>
    <t>a04e_com_aro_nacional.jpg</t>
  </si>
  <si>
    <t>a04s_sem_aro.jpg</t>
  </si>
  <si>
    <t>a04s_com_aro.jpg</t>
  </si>
  <si>
    <t>a04s_com_aro_nacional.jpg</t>
  </si>
  <si>
    <t>a05_sem_aro.jpg</t>
  </si>
  <si>
    <t>a05_com_aro.jpg</t>
  </si>
  <si>
    <t>a05_com_aro_nacional.jpg</t>
  </si>
  <si>
    <t>a05s_sem_aro.jpg</t>
  </si>
  <si>
    <t>a05s_com_aro.jpg</t>
  </si>
  <si>
    <t>a05s_com_aro_nacional.jpg</t>
  </si>
  <si>
    <t>A06 4G</t>
  </si>
  <si>
    <t>A06 4G c/aro</t>
  </si>
  <si>
    <t>A06 4G c/aro Nacional</t>
  </si>
  <si>
    <t>A06 4G c/aro Nacional Diamonds</t>
  </si>
  <si>
    <t>A06 5G</t>
  </si>
  <si>
    <t>A06 5G c/aro</t>
  </si>
  <si>
    <t>A06 5G c/aro Nacional</t>
  </si>
  <si>
    <t>A06 5G c/aro Nacional Diamonds</t>
  </si>
  <si>
    <t xml:space="preserve">A06 4G       = R$ </t>
  </si>
  <si>
    <t xml:space="preserve">A06 4G c/aro    = R$ </t>
  </si>
  <si>
    <t xml:space="preserve">A06 4G c/aro Nacional= R$ </t>
  </si>
  <si>
    <t xml:space="preserve">A06 4G c/aro Nac Diamonds = </t>
  </si>
  <si>
    <t xml:space="preserve">A06 5G       = R$ </t>
  </si>
  <si>
    <t xml:space="preserve">A06 5G c/aro    = R$ </t>
  </si>
  <si>
    <t xml:space="preserve">A06 5G c/aro Nacional= R$ </t>
  </si>
  <si>
    <t xml:space="preserve">A06 5G c/aro Nac Diamonds = </t>
  </si>
  <si>
    <t>SAM A06 4G sem aro original</t>
  </si>
  <si>
    <t>SAM A06 4G com aro original</t>
  </si>
  <si>
    <t>SAM A06 4G com aro Nacional</t>
  </si>
  <si>
    <t>SAM A06 4G Nacional com aro</t>
  </si>
  <si>
    <t>SAM A06 4G com aro Nacional Diamonds</t>
  </si>
  <si>
    <t>SAM A06 4G Nacional Diamonds com aro</t>
  </si>
  <si>
    <t>SAM A06 5G sem aro original</t>
  </si>
  <si>
    <t>SAM A06 5G com aro original</t>
  </si>
  <si>
    <t>SAM A06 5G com aro Nacional</t>
  </si>
  <si>
    <t>SAM A06 5G Nacional com aro</t>
  </si>
  <si>
    <t>SAM A06 5G com aro Nacional Diamonds</t>
  </si>
  <si>
    <t>SAM A06 5G Nacional Diamonds com aro</t>
  </si>
  <si>
    <t>SAM A06 5G original sem aro</t>
  </si>
  <si>
    <t>SAM A06 5G original com aro</t>
  </si>
  <si>
    <t>Bateria SAM A34/A54 (BA546)</t>
  </si>
  <si>
    <t>Moto G8 Power c/aro Nacional</t>
  </si>
  <si>
    <t>Moto G8 Power c/aro Nacional Diamonds</t>
  </si>
  <si>
    <t xml:space="preserve">G8 Power c/aro Nac Diamonds = </t>
  </si>
  <si>
    <t xml:space="preserve">G8 Power c/aro Nacional = R$ </t>
  </si>
  <si>
    <t>Moto G8 Power com aro Nacional</t>
  </si>
  <si>
    <t>Moto G8 Power Nacional com aro</t>
  </si>
  <si>
    <t>Moto G8 Power com aro Nacional Diamonds</t>
  </si>
  <si>
    <t>Moto G8 Power Nacional Diamonds com aro</t>
  </si>
  <si>
    <t xml:space="preserve">Tampa iPhone 8 Plus </t>
  </si>
  <si>
    <t>Tampa K11/K11 Plus</t>
  </si>
  <si>
    <t>Tampa K12/K12 Plus/K40</t>
  </si>
  <si>
    <t>Tampa K22/K22 Plus</t>
  </si>
  <si>
    <t>Tampa E5 Play/E5 Play Go</t>
  </si>
  <si>
    <t>Tampa E6s/E6i</t>
  </si>
  <si>
    <t>Tampa G10/G20/G30</t>
  </si>
  <si>
    <t>Tampa G22/E32</t>
  </si>
  <si>
    <t>Tampa A5 2016 (A510)</t>
  </si>
  <si>
    <t>Tampa A5 2017 (A520)</t>
  </si>
  <si>
    <t>Tampa A7 2016 (A710)</t>
  </si>
  <si>
    <t>Tampa A7 2018 (A750)</t>
  </si>
  <si>
    <t>Tampa A8 Plus (A730)</t>
  </si>
  <si>
    <t>Tampa A8/A8 2018/A530</t>
  </si>
  <si>
    <t xml:space="preserve">Tampa A920 </t>
  </si>
  <si>
    <t xml:space="preserve">Tampa J5 </t>
  </si>
  <si>
    <t>Tampa J5 Pro (J530)</t>
  </si>
  <si>
    <t>Tampa J701/J7 Neo</t>
  </si>
  <si>
    <t>Tampa J7 Pro (J730)</t>
  </si>
  <si>
    <t>Tampa Note 10 Pro</t>
  </si>
  <si>
    <t>Tampa Note 20</t>
  </si>
  <si>
    <t>Tampa Note 20 Ultra</t>
  </si>
  <si>
    <t>Tampa S20</t>
  </si>
  <si>
    <t>Tampa S20 FE</t>
  </si>
  <si>
    <t>Tampa S20 Plus</t>
  </si>
  <si>
    <t>Tampa S20 Ultra</t>
  </si>
  <si>
    <t>Tampa S8</t>
  </si>
  <si>
    <t>Tampa S8 Plus</t>
  </si>
  <si>
    <t>Tampa Poco X4 Pro</t>
  </si>
  <si>
    <t xml:space="preserve">Tampa Redmi 12 </t>
  </si>
  <si>
    <t>Tampa Redmi Note 7/Note 7 Pro</t>
  </si>
  <si>
    <t xml:space="preserve">Tampa Redmi Note 9 </t>
  </si>
  <si>
    <t>Tampa Redmi Note 9s/Note 9 Pro</t>
  </si>
  <si>
    <t>Tampa Redmi Note 10/Note 10s 4G</t>
  </si>
  <si>
    <t>Tampa Redmi Note 11 4G/Note 11s 4G</t>
  </si>
  <si>
    <t>Tampa Xiaomi Mi Note 10</t>
  </si>
  <si>
    <t>Tampa Traseira Xiaomi Mi Note 10</t>
  </si>
  <si>
    <t>Tampa Mi Note 10</t>
  </si>
  <si>
    <t>a06_4g_com_aro.jpg</t>
  </si>
  <si>
    <t>a06_4g_sem_aro.jpg</t>
  </si>
  <si>
    <t>a06_4G_com_aro_nacional.jpg</t>
  </si>
  <si>
    <t>a06_5g_sem_aro.jpg</t>
  </si>
  <si>
    <t>a06_5G_com_aro.jpg</t>
  </si>
  <si>
    <t>a06_5G_com_aro_nacional.jpg</t>
  </si>
  <si>
    <t>A10_sem_aro.jpg</t>
  </si>
  <si>
    <t>A10_com_aro.jpg</t>
  </si>
  <si>
    <t>A10_com_aro_nacional.jpg</t>
  </si>
  <si>
    <t>A10s_sem_aro.jpg</t>
  </si>
  <si>
    <t>A10s_com_aro.jpg</t>
  </si>
  <si>
    <t>A10s_com_aro_nacional.jpg</t>
  </si>
  <si>
    <t>A11_sem_aro.jpg</t>
  </si>
  <si>
    <t>A11_com_aro.jpg</t>
  </si>
  <si>
    <t>A11_com_aro_nacional.jpg</t>
  </si>
  <si>
    <t>A12_com_aro_nacional.jpg</t>
  </si>
  <si>
    <t>A13_4G_sem_aro.jpg</t>
  </si>
  <si>
    <t>A13_4G_com_aro.jpg</t>
  </si>
  <si>
    <t>A13_4G_com_aro_nacional.jpg</t>
  </si>
  <si>
    <t>A13_5G_sem_aro.jpg</t>
  </si>
  <si>
    <t>A13_5G_com_aro.jpg</t>
  </si>
  <si>
    <t>A13_5G_com_aro_nacional.jpg</t>
  </si>
  <si>
    <t>A14_4G_sem_aro.jpg</t>
  </si>
  <si>
    <t>A14_4G_com_aro.jpg</t>
  </si>
  <si>
    <t>A14_5G_sem_aro.jpg</t>
  </si>
  <si>
    <t>A14_5G_com_aro.jpg</t>
  </si>
  <si>
    <t>A14_5G_com_aro_nacional.jpg</t>
  </si>
  <si>
    <t>A15_com_aro_incell.jpg</t>
  </si>
  <si>
    <t>A15_sem_aro_oled.jpg</t>
  </si>
  <si>
    <t>A15_com_aro_oled.jpg</t>
  </si>
  <si>
    <t>A15_com_aro_nacional.jpg</t>
  </si>
  <si>
    <t>A16_5G_com_aro_oled.jpg</t>
  </si>
  <si>
    <t>A16_5G_com_aro_incell.jpg</t>
  </si>
  <si>
    <t>A16_4G_com_aro_oled.jpg</t>
  </si>
  <si>
    <t>A16_4G_com_aro_incell.jpg</t>
  </si>
  <si>
    <t>A16_4G_sem_aro_oled.jpg</t>
  </si>
  <si>
    <t>A16_4G_sem_aro_incell.jpg</t>
  </si>
  <si>
    <t>A16_5G_sem_aro_incell.jpg</t>
  </si>
  <si>
    <t>A16_5G_sem_aro_oled.jpg</t>
  </si>
  <si>
    <t>SAM A06 4G original com aro</t>
  </si>
  <si>
    <t>SAM A06 4G original sem aro</t>
  </si>
  <si>
    <t>iphone_xr.jpg</t>
  </si>
  <si>
    <t>iphone_11.jpg</t>
  </si>
  <si>
    <t>A12_com_aro.jpg</t>
  </si>
  <si>
    <t>A14_4G_com_aro_nacional.jpg</t>
  </si>
  <si>
    <t>A20_com_aro_incell.jpg</t>
  </si>
  <si>
    <t>A20_com_aro_oled.jpg</t>
  </si>
  <si>
    <t>A20_sem_aro_oled.jpg</t>
  </si>
  <si>
    <t>A20s_sem_aro.jpg</t>
  </si>
  <si>
    <t>A20s_com_aro.jpg</t>
  </si>
  <si>
    <t>A20s_com_aro_nacional.jpg</t>
  </si>
  <si>
    <t>A21_sem_aro.jpg</t>
  </si>
  <si>
    <t>A21s_sem_aro.jpg</t>
  </si>
  <si>
    <t>A21s_com_aro.jpg</t>
  </si>
  <si>
    <t>A21s_com_aro_nacional.jpg</t>
  </si>
  <si>
    <t>A22_4G_com_aro_incell.jpg</t>
  </si>
  <si>
    <t>A22_4G_com_aro_oled.jpg</t>
  </si>
  <si>
    <t>A22_5G_sem_aro.jpg</t>
  </si>
  <si>
    <t>A22_5G_com_aro.jpg</t>
  </si>
  <si>
    <t>A22_5G_com_aro_nacional.jpg</t>
  </si>
  <si>
    <t>A23_4G_sem_aro.jpg</t>
  </si>
  <si>
    <t>A23_4G_com_aro.jpg</t>
  </si>
  <si>
    <t>A23_4G_com_aro_nacional.jpg</t>
  </si>
  <si>
    <t>A23_5G_sem_aro.jpg</t>
  </si>
  <si>
    <t>A23_5G_com_aro.jpg</t>
  </si>
  <si>
    <t>A23_5G_com_aro_nacional.jpg</t>
  </si>
  <si>
    <t>A24_sem_aro_incell.jpg</t>
  </si>
  <si>
    <t>A24_com_aro_oled.jpg</t>
  </si>
  <si>
    <t>A24_sem_aro_oled.jpg</t>
  </si>
  <si>
    <t>A24_com_aro_incell.jpg</t>
  </si>
  <si>
    <t>A25_sem_aro_incell.jpg</t>
  </si>
  <si>
    <t>A25_sem_aro_oled .jpg</t>
  </si>
  <si>
    <t>A25_com_aro_incell.jpg</t>
  </si>
  <si>
    <t>A25_com_aro_oled.jpg</t>
  </si>
  <si>
    <t>K50s c/aro Nacional</t>
  </si>
  <si>
    <t xml:space="preserve">K50s Nacional c/aro = R$ </t>
  </si>
  <si>
    <t>LG K50s com aro Nacional</t>
  </si>
  <si>
    <t>LG K50s Nacional com aro</t>
  </si>
  <si>
    <t xml:space="preserve">Redmi 15C    = R$ </t>
  </si>
  <si>
    <t xml:space="preserve">Redmi 15C c/aro   = R$ </t>
  </si>
  <si>
    <t>Redmi 15C sem aro original</t>
  </si>
  <si>
    <t>Redmi 15C original sem aro</t>
  </si>
  <si>
    <t>Redmi 15C com aro original</t>
  </si>
  <si>
    <t>Redmi 15C original com aro</t>
  </si>
  <si>
    <t>A25 c/aro Nacional Diamonds</t>
  </si>
  <si>
    <t xml:space="preserve">A25 c/aro Nac Diamonds = </t>
  </si>
  <si>
    <t>SAM A25 com aro Nacional Diamonds</t>
  </si>
  <si>
    <t>SAM A25 Nacional Diamonds com aro</t>
  </si>
  <si>
    <t>A26_com_aro_incell.jpg</t>
  </si>
  <si>
    <t>A26_sem_aro_oled .jpg</t>
  </si>
  <si>
    <t>A01 (M) c/aro Nacional Diamonds</t>
  </si>
  <si>
    <t>A26_com_aro_oled.jpg</t>
  </si>
  <si>
    <t>A30_com_aro_incell.jpg</t>
  </si>
  <si>
    <t>A30_com_aro_oled.jpg</t>
  </si>
  <si>
    <t>A30_sem_aro_oled.jpg</t>
  </si>
  <si>
    <t>A30s_com_aro_incell.jpg</t>
  </si>
  <si>
    <t>A30s_com_aro_oled.jpg</t>
  </si>
  <si>
    <t>A30s_sem_aro_incell.jpg</t>
  </si>
  <si>
    <t>A30s_sem_aro_oled.jpg</t>
  </si>
  <si>
    <t>A31_com_aro_incell.jpg</t>
  </si>
  <si>
    <t>A31_com_aro_oled.jpg</t>
  </si>
  <si>
    <t>A32_4g_com_aro_incell.jpg</t>
  </si>
  <si>
    <t>A32_5g_com_aro_nacional.jpg</t>
  </si>
  <si>
    <t>A32_5g_com_aro.jpg</t>
  </si>
  <si>
    <t>A33_com_aro_incell.jpg</t>
  </si>
  <si>
    <t>A33_com_aro_oled.jpg</t>
  </si>
  <si>
    <t>A33_com_aro_nacional.jpg</t>
  </si>
  <si>
    <t>A33 - original</t>
  </si>
  <si>
    <t xml:space="preserve">A33 - original    = R$ </t>
  </si>
  <si>
    <t>SAM A33 sem aro original</t>
  </si>
  <si>
    <t>SAM A33 original sem aro</t>
  </si>
  <si>
    <t>A33_sem_aro_incell.jpg</t>
  </si>
  <si>
    <t>A33_sem_aro_oled.jpg</t>
  </si>
  <si>
    <t>A34_com_aro_incell.jpg</t>
  </si>
  <si>
    <t>A34_com_aro_oled.jpg</t>
  </si>
  <si>
    <t>A34_com_aro_nacional.jpg</t>
  </si>
  <si>
    <t>A35_com_aro_incell.jpg</t>
  </si>
  <si>
    <t>A35_com_aro_oled.jpg</t>
  </si>
  <si>
    <t>A35_com_aro_nacional.jpg</t>
  </si>
  <si>
    <t>A36_com_aro_oled.jpg</t>
  </si>
  <si>
    <t>A36_com_aro_incell.jpg</t>
  </si>
  <si>
    <t>A36/A56 - original</t>
  </si>
  <si>
    <t>A36_sem_aro_oled.jpg</t>
  </si>
  <si>
    <t>A56_sem_aro_oled.jpg</t>
  </si>
  <si>
    <t>A35_sem_aro_oled.jpg</t>
  </si>
  <si>
    <t>A51_com_aro_incell.jpg</t>
  </si>
  <si>
    <t>A52_com_aro_incell.jpg</t>
  </si>
  <si>
    <t>A52s_com_aro_incell.jpg</t>
  </si>
  <si>
    <t>A52_com_aro_oled.jpg</t>
  </si>
  <si>
    <t>A52s_com_aro_oled.jpg</t>
  </si>
  <si>
    <t>A50_sem_aro_oled.jpg</t>
  </si>
  <si>
    <t>A50_com_aro_oled.jpg</t>
  </si>
  <si>
    <t>A50_com_aro_incell.jpg</t>
  </si>
  <si>
    <t>A51_com_aro_oled.jpg</t>
  </si>
  <si>
    <t>A53_com_aro_incell.jpg</t>
  </si>
  <si>
    <t>A53_com_aro_oled.jpg</t>
  </si>
  <si>
    <t>A54_com_aro_incell.jpg</t>
  </si>
  <si>
    <t>A54_com_aro_oled.jpg</t>
  </si>
  <si>
    <t>A55_com_aro_oled.jpg</t>
  </si>
  <si>
    <t>A55_com_aro_incell.jpg</t>
  </si>
  <si>
    <t>M20 c/aro Nacional</t>
  </si>
  <si>
    <t xml:space="preserve">M20 c/aro Naciona     = R$ </t>
  </si>
  <si>
    <t>SAM M20 com aro Nacional</t>
  </si>
  <si>
    <t>SAM M20 Nacional com aro</t>
  </si>
  <si>
    <t xml:space="preserve">Realme C35 = R$ </t>
  </si>
  <si>
    <t>Poco C35 sem aro original</t>
  </si>
  <si>
    <t>Poco C35 original sem aro</t>
  </si>
  <si>
    <t>Realme C35</t>
  </si>
  <si>
    <t xml:space="preserve">Moto G71 c/aro Nacional= </t>
  </si>
  <si>
    <t>Moto G71 com aro Nacional</t>
  </si>
  <si>
    <t>Moto G71 Nacional com aro</t>
  </si>
  <si>
    <t>Moto G8 Plus c/aro Nacional</t>
  </si>
  <si>
    <t>Moto G8 Plus c/aro Nacional Diamonds</t>
  </si>
  <si>
    <t xml:space="preserve">G8 Plus c/aro Nacional= R$ </t>
  </si>
  <si>
    <t xml:space="preserve">G8 Plus c/aro Nac Diamonds = </t>
  </si>
  <si>
    <t>Moto G8 Plus com aro Nacional</t>
  </si>
  <si>
    <t>Moto G8 Plus Nacional com aro</t>
  </si>
  <si>
    <t>Moto G8 Plus com aro Nacional Diamonds</t>
  </si>
  <si>
    <t>Moto G8 Plus Nacional Diamonds com aro</t>
  </si>
  <si>
    <t>A70_com_aro_incell.jpg</t>
  </si>
  <si>
    <t>A70_com_aro_oled_tg.jpg</t>
  </si>
  <si>
    <t>A70_com_aro_oled_tp.jpg</t>
  </si>
  <si>
    <t>A71_com_aro_incell.jpg</t>
  </si>
  <si>
    <t>A71_com_aro_oled_tg.jpg</t>
  </si>
  <si>
    <t>A71_com_aro_oled_tp.jpg</t>
  </si>
  <si>
    <t>A72_com_aro_incell.jpg</t>
  </si>
  <si>
    <t>A72_com_aro_oled_tg.jpg</t>
  </si>
  <si>
    <t>SAM A72 original com aro (Tela Grande)</t>
  </si>
  <si>
    <t>SAM A72 original com aro (Tela Pequena)</t>
  </si>
  <si>
    <t>SAM A73 original com aro (Tela Grande)</t>
  </si>
  <si>
    <t>SAM A73 original com aro (Tela Pequena)</t>
  </si>
  <si>
    <t>A72_com_aro_oled_tp.jpg</t>
  </si>
  <si>
    <t>A73_com_aro_incell.jpg</t>
  </si>
  <si>
    <t>A73_com_aro_oled_tp.jpg</t>
  </si>
  <si>
    <t>A73_com_aro_oled_tg.jpg</t>
  </si>
  <si>
    <t>A80_sem_aro_oled.jpg</t>
  </si>
  <si>
    <t>A80_com_aro_oled.jpg</t>
  </si>
  <si>
    <t>e6s_e6i_sem_aro.jpg</t>
  </si>
  <si>
    <t>G24_G04_G04s_E14_G24_Power_sem_aro.jpg</t>
  </si>
  <si>
    <t>e13_sem_aro.jpg</t>
  </si>
  <si>
    <t>G04_G04s_E14_com_aro.jpg</t>
  </si>
  <si>
    <t>G04_G04s_E14_com_aro_nacional.jpg</t>
  </si>
  <si>
    <t>Moto G04/G04s/E14 c/aro Nacional Diamonds</t>
  </si>
  <si>
    <t>Moto G04s com aro Nacional</t>
  </si>
  <si>
    <t>Moto G04s Nacional com aro</t>
  </si>
  <si>
    <t>Moto G04s com aro Nacional Diamonds</t>
  </si>
  <si>
    <t>Moto G04s Nacional Diamonds com aro</t>
  </si>
  <si>
    <t>e20_sem_aro.jpg</t>
  </si>
  <si>
    <t>iphone_6.jpg</t>
  </si>
  <si>
    <t>iphone_6s.jpg</t>
  </si>
  <si>
    <t>iphone_6_plus.jpg</t>
  </si>
  <si>
    <t>iphone_6s_plus.jpg</t>
  </si>
  <si>
    <t>iphone_7.jpg</t>
  </si>
  <si>
    <t>iphone_7_plus.jpg</t>
  </si>
  <si>
    <t>iphone_8_iphone_SE.jpg</t>
  </si>
  <si>
    <t>iphone_8_plus.jpg</t>
  </si>
  <si>
    <t>iphone_x_incell.jpg</t>
  </si>
  <si>
    <t>iphone_x_oled.jpg</t>
  </si>
  <si>
    <t>iphone_xs_incell.jpg</t>
  </si>
  <si>
    <t>iphone_xs_oled.jpg</t>
  </si>
  <si>
    <t>iphone_xs_max_incell.jpg</t>
  </si>
  <si>
    <t>iphone_xs_max_oled.jpg</t>
  </si>
  <si>
    <t>G05_G15_sem_aro.jpg</t>
  </si>
  <si>
    <t>G05_G15_com_aro.jpg</t>
  </si>
  <si>
    <t>Lente de Camera Moto G50 4G (KIT 3EM1)</t>
  </si>
  <si>
    <t>Lente Camera Moto G50 4G</t>
  </si>
  <si>
    <t>Lente Moto G50 4G</t>
  </si>
  <si>
    <t>Lente G50 4G</t>
  </si>
  <si>
    <t>Flex Power e Volume Redmi 9C/Redmi 9A/Redmi 10A/Redmi 10C</t>
  </si>
  <si>
    <t>Flex Power e Volume Redmi 10C</t>
  </si>
  <si>
    <t>Flex Power Redmi 10C</t>
  </si>
  <si>
    <t>Flex Volume Redmi 10C</t>
  </si>
  <si>
    <t>Flex Main SAM A50/A30 (OCTA)</t>
  </si>
  <si>
    <t>Flex OCTA SAM A50</t>
  </si>
  <si>
    <t>Flex LCD A50 (OCTA)</t>
  </si>
  <si>
    <t>Flex OCTA A50</t>
  </si>
  <si>
    <t>Flex LCD SAM A30 (OCTA)</t>
  </si>
  <si>
    <t>Flex OCTA SAM A30</t>
  </si>
  <si>
    <t>Flex LCD A30 (OCTA)</t>
  </si>
  <si>
    <t>Flex OCTA A30</t>
  </si>
  <si>
    <t>Flex Volume SAM J7 Prime/J5 Prime</t>
  </si>
  <si>
    <t>Flex Power SAM J7 Prime/J5 Prime</t>
  </si>
  <si>
    <t>Flex Power J7 Prime</t>
  </si>
  <si>
    <t>Flex Power J5 Prime</t>
  </si>
  <si>
    <t>Flex Volume J5 Prime</t>
  </si>
  <si>
    <t>Flex Volume J7 Prime</t>
  </si>
  <si>
    <t>SAM A16 sem aro incell (4G)</t>
  </si>
  <si>
    <t>SAM A16 incell sem aro (4G)</t>
  </si>
  <si>
    <t>SAM A16 com aro incell (4G)</t>
  </si>
  <si>
    <t>SAM A16 incell com aro (4G)</t>
  </si>
  <si>
    <t>SAM A16 original sem aro (4G)</t>
  </si>
  <si>
    <t>SAM A16 sem aro original (4G)</t>
  </si>
  <si>
    <t>SAM A16 original com aro (4G)</t>
  </si>
  <si>
    <t>SAM A16 com aro original (4G)</t>
  </si>
  <si>
    <t>SAM A16 OLED sem aro (4G)</t>
  </si>
  <si>
    <t>SAM A16 sem aro OLED (4G)</t>
  </si>
  <si>
    <t>SAM A16 OLED com aro (4G)</t>
  </si>
  <si>
    <t>SAM A16 com aro OLED (4G)</t>
  </si>
  <si>
    <t>SAM A16 sem aro incell (5G)</t>
  </si>
  <si>
    <t>SAM A16 incell sem aro (5G)</t>
  </si>
  <si>
    <t>SAM A16 com aro incell (5G)</t>
  </si>
  <si>
    <t>SAM A16 incell com aro (5G)</t>
  </si>
  <si>
    <t>SAM A16 original sem aro (5G)</t>
  </si>
  <si>
    <t>SAM A16 sem aro original (5G)</t>
  </si>
  <si>
    <t>SAM A16 original com aro (5G)</t>
  </si>
  <si>
    <t>SAM A16 com aro original (5G)</t>
  </si>
  <si>
    <t>SAM A16 OLED sem aro (5G)</t>
  </si>
  <si>
    <t>SAM A16 sem aro OLED (5G)</t>
  </si>
  <si>
    <t>SAM A16 OLED com aro (5G)</t>
  </si>
  <si>
    <t>SAM A16 com aro OLED (5G)</t>
  </si>
  <si>
    <t>Moto G06 c/aro</t>
  </si>
  <si>
    <t>Moto G06</t>
  </si>
  <si>
    <t>Moto G06 c/aro Nacional</t>
  </si>
  <si>
    <t xml:space="preserve">Moto G06 Nacional c/aro  = R$ </t>
  </si>
  <si>
    <t xml:space="preserve">Moto G06    = R$ </t>
  </si>
  <si>
    <t xml:space="preserve">Moto G06 c/aro   = R$ </t>
  </si>
  <si>
    <t>Moto G06 com aro original</t>
  </si>
  <si>
    <t>Moto G06 sem aro original</t>
  </si>
  <si>
    <t xml:space="preserve">Moto G06 original sem aro </t>
  </si>
  <si>
    <t>Moto G06 original com aro</t>
  </si>
  <si>
    <t>Moto G06 com aro Nacional</t>
  </si>
  <si>
    <t>Moto G06 Nacional com aro</t>
  </si>
  <si>
    <t xml:space="preserve">A07 </t>
  </si>
  <si>
    <t xml:space="preserve">A07 c/aro  </t>
  </si>
  <si>
    <t>A07 c/aro Nacional</t>
  </si>
  <si>
    <t xml:space="preserve">A07     = R$ </t>
  </si>
  <si>
    <t xml:space="preserve">A07 c/aro    = R$ </t>
  </si>
  <si>
    <t xml:space="preserve">A07 c/aro Nacional= R$ </t>
  </si>
  <si>
    <t>SAM A07 sem aro original</t>
  </si>
  <si>
    <t>SAM A07 original sem aro</t>
  </si>
  <si>
    <t>SAM A07 com aro original</t>
  </si>
  <si>
    <t>SAM A07 original com aro</t>
  </si>
  <si>
    <t>SAM A07 com aro Nacional</t>
  </si>
  <si>
    <t>SAM A07 Nacional com aro</t>
  </si>
  <si>
    <t>Redmi 15C/Poco C85</t>
  </si>
  <si>
    <t>Redmi 15C/Poco C85 c/aro</t>
  </si>
  <si>
    <t xml:space="preserve">Poco C85  = R$ </t>
  </si>
  <si>
    <t xml:space="preserve">Poco C85 c/aro = R$ </t>
  </si>
  <si>
    <t>Poco C85 sem aro original</t>
  </si>
  <si>
    <t>Poco C85 original sem aro</t>
  </si>
  <si>
    <t>Poco C85 com aro original</t>
  </si>
  <si>
    <t>Poco C85 original com aro</t>
  </si>
  <si>
    <t>Redmi Note 13 Pro 5G/Poco X6 - original c/aro</t>
  </si>
  <si>
    <t xml:space="preserve">Note 13 Pro 5G orig c/aro = R$ </t>
  </si>
  <si>
    <t xml:space="preserve">Poco X6 - orig c/aro = R$ </t>
  </si>
  <si>
    <t>Redmi Note 12 Pro Plus original sem aro</t>
  </si>
  <si>
    <t>Redmi Note 12 Pro Plus incell sem aro</t>
  </si>
  <si>
    <t>Redmi Note 13 Pro 5G original sem aro</t>
  </si>
  <si>
    <t>Redmi Note 13 Pro 5G sem aro original</t>
  </si>
  <si>
    <t>Redmi Note 13 Pro original sem aro (5G)</t>
  </si>
  <si>
    <t>Redmi Note 13 Pro sem aro original (5G)</t>
  </si>
  <si>
    <t>Redmi Note 13 Pro 5G original com aro</t>
  </si>
  <si>
    <t>Redmi Note 13 Pro 5G com aro original</t>
  </si>
  <si>
    <t>Redmi Note 13 Pro original com aro (5G)</t>
  </si>
  <si>
    <t>Redmi Note 13 Pro com aro original (5G)</t>
  </si>
  <si>
    <t>Poco X6 5G original com aro</t>
  </si>
  <si>
    <t>Poco X6 5G com aro original</t>
  </si>
  <si>
    <t>Poco X6 com aro original (5G)</t>
  </si>
  <si>
    <t>Poco X6 original com aro (5G)</t>
  </si>
  <si>
    <t>Moto G86 c/aro original</t>
  </si>
  <si>
    <t>Moto G85 c/aro original</t>
  </si>
  <si>
    <t xml:space="preserve">Moto G86 orig c/aro = R$ </t>
  </si>
  <si>
    <t>Moto G86 com aro original</t>
  </si>
  <si>
    <t>Moto G86 original com aro</t>
  </si>
  <si>
    <t>Moto G86 com aro OLED</t>
  </si>
  <si>
    <t>Moto G86 OLED com aro</t>
  </si>
  <si>
    <t>Redmi Note 14 5G - original c/aro</t>
  </si>
  <si>
    <t xml:space="preserve">Note 14 5G - orig c/aro = </t>
  </si>
  <si>
    <t>Redmi Note 14 5G com aro original</t>
  </si>
  <si>
    <t>Redmi Note 14 5G original com aro</t>
  </si>
  <si>
    <t>Redmi Note 14 5G com aro OLED</t>
  </si>
  <si>
    <t>Redmi Note 14 5G OLED com aro</t>
  </si>
  <si>
    <t>Redmi Note 14 com aro original (5G)</t>
  </si>
  <si>
    <t>Redmi Note 14 original com aro  (5G)</t>
  </si>
  <si>
    <t>Redmi Note 14 com aro OLED (5G)</t>
  </si>
  <si>
    <t>Redmi Note 14 OLED com aro  (5G)</t>
  </si>
  <si>
    <t>A17 - original</t>
  </si>
  <si>
    <t>A17 - incell c/aro</t>
  </si>
  <si>
    <t xml:space="preserve">A17 - incell c/aro = R$ </t>
  </si>
  <si>
    <t xml:space="preserve">A17 - original             = R$ </t>
  </si>
  <si>
    <t>SAM A17 com aro incell</t>
  </si>
  <si>
    <t>SAM A17 incell com aro</t>
  </si>
  <si>
    <t>SAM A17 sem aro original</t>
  </si>
  <si>
    <t>SAM A17 original sem aro</t>
  </si>
  <si>
    <t>Redmi Note 14 5G - incell c/aro</t>
  </si>
  <si>
    <t xml:space="preserve">Note 14 5G - incell c/aro = </t>
  </si>
  <si>
    <t>Redmi Note 14 5G com aro incell</t>
  </si>
  <si>
    <t>Redmi Note 14 5G incell com aro</t>
  </si>
  <si>
    <t>Redmi Note 14 com aro incell (5G)</t>
  </si>
  <si>
    <t>Redmi Note 14 incell com aro  (5G)</t>
  </si>
  <si>
    <t>Moto G85 Incell c/aro</t>
  </si>
  <si>
    <t xml:space="preserve">Moto G85 incell c/aro = R$ </t>
  </si>
  <si>
    <t>Moto G85 com aro incell</t>
  </si>
  <si>
    <t>Moto G85 incell com aro</t>
  </si>
  <si>
    <t>Lente de Camera Xiaomi Redmi Note 10 5G</t>
  </si>
  <si>
    <t>Lente de Camera Xiaomi Redmi Note 11 4G</t>
  </si>
  <si>
    <t>Lente de Camera Xiaomi Redmi Note 11s 4G/Note 11 Pro</t>
  </si>
  <si>
    <t>Lente de Camera Xiaomi Mi 9T/Mi 9T Pro</t>
  </si>
  <si>
    <t>Lente Camera Xiaomi Mi 9T</t>
  </si>
  <si>
    <t>Lente Xiaomi Mi 9T</t>
  </si>
  <si>
    <t>Lente Mi 9T</t>
  </si>
  <si>
    <t>Lente Camera Xiaomi Mi 9T Pro</t>
  </si>
  <si>
    <t>Lente Xiaomi Mi 9T Pro</t>
  </si>
  <si>
    <t>Lente Mi 9T Pro</t>
  </si>
  <si>
    <t>Moto G10/G20/G30 c/aro Nacional</t>
  </si>
  <si>
    <t>Moto G10/G20/G30 c/aro Nacional Diamonds</t>
  </si>
  <si>
    <t>A12/M12 c/aro</t>
  </si>
  <si>
    <t>A12/M12 c/aro Nacional</t>
  </si>
  <si>
    <t>A12/M12 c/aro Nacional Diamonds</t>
  </si>
  <si>
    <t>A73 c/aro Nacional Diamonds</t>
  </si>
  <si>
    <t xml:space="preserve">A73 c/aro Nac Diamonds = </t>
  </si>
  <si>
    <t>SAM A73 Nacional Diamonds com aro</t>
  </si>
  <si>
    <t>SAM A73 com aro Nacional Diamonds</t>
  </si>
  <si>
    <t>Redmi A3/Redmi A3x/Poco C61</t>
  </si>
  <si>
    <t xml:space="preserve">Poco C61  = R$ </t>
  </si>
  <si>
    <t>Poco C61 sem aro original</t>
  </si>
  <si>
    <t>Poco C61 original sem aro</t>
  </si>
  <si>
    <t>Placa de Carga Moto E5 Plus</t>
  </si>
  <si>
    <t>Placa Carga Moto E5 Plus</t>
  </si>
  <si>
    <t>Dock Carga Moto E5 Plus</t>
  </si>
  <si>
    <t>Placa Carga E5 Plus</t>
  </si>
  <si>
    <t>Dock Carga E5 Plus</t>
  </si>
  <si>
    <t>Placa E5 Plus (Placa Carga)</t>
  </si>
  <si>
    <t xml:space="preserve">A13 5G/A04s c/aro </t>
  </si>
  <si>
    <t>A13 4G/M13 4G</t>
  </si>
  <si>
    <t>A23 4G/A23 5G/M23 5G c/aro</t>
  </si>
  <si>
    <t>A23 4G/A23 5G/M23 5G c/aro Nacional</t>
  </si>
  <si>
    <t>A23 4G/A23 5G/M23 5G</t>
  </si>
  <si>
    <t xml:space="preserve">Poco M6 Pro 5G     = R$ </t>
  </si>
  <si>
    <t>Poco M6 Pro 5G sem aro original</t>
  </si>
  <si>
    <t>Poco M6 Pro 5G original sem aro</t>
  </si>
  <si>
    <t>Poco M6 Pro sem aro original (5G)</t>
  </si>
  <si>
    <t>Poco M6 Pro original sem aro (5G)</t>
  </si>
  <si>
    <t>A71/M62 - original</t>
  </si>
  <si>
    <t xml:space="preserve">A71 - original       = R$ </t>
  </si>
  <si>
    <t>SAM A71 original sem aro</t>
  </si>
  <si>
    <t>SAM A71 sem aro original</t>
  </si>
  <si>
    <t>SAM A71 sem aro OLED</t>
  </si>
  <si>
    <t>SAM A71 OLED sem aro</t>
  </si>
  <si>
    <t>Redmi Note 13 5G/Poco F5 - incell</t>
  </si>
  <si>
    <t>Redmi Note 13 5G/Poco F5 - original</t>
  </si>
  <si>
    <t xml:space="preserve">Poco F5 - incell     = R$ </t>
  </si>
  <si>
    <t xml:space="preserve">Poco F5 - original  = R$ </t>
  </si>
  <si>
    <t>Poco F5 sem aro incell</t>
  </si>
  <si>
    <t>Poco F5 incell sem aro</t>
  </si>
  <si>
    <t>Poco F5 sem aro original</t>
  </si>
  <si>
    <t>Poco F5 original sem aro</t>
  </si>
  <si>
    <t>Poco F5 sem aro OLED</t>
  </si>
  <si>
    <t>Poco F5 OLED sem aro</t>
  </si>
  <si>
    <t>Moto G14/G54/G55</t>
  </si>
  <si>
    <t>Moto G13/G23/G34/G53</t>
  </si>
  <si>
    <t xml:space="preserve">Realme C65 = R$ </t>
  </si>
  <si>
    <t xml:space="preserve">Realme C67 = R$ </t>
  </si>
  <si>
    <t xml:space="preserve">Realme 11 = R$ </t>
  </si>
  <si>
    <t xml:space="preserve">Realme 11x 5G = R$ </t>
  </si>
  <si>
    <t xml:space="preserve">Realme 12 5G   = R$ </t>
  </si>
  <si>
    <t>Realme 11 sem aro original</t>
  </si>
  <si>
    <t xml:space="preserve">Realme 11 original sem aro </t>
  </si>
  <si>
    <t>Realme 11x 5G sem aro original</t>
  </si>
  <si>
    <t xml:space="preserve">Realme 11x 5G original sem aro </t>
  </si>
  <si>
    <t>Realme 12 5G sem aro original</t>
  </si>
  <si>
    <t xml:space="preserve">Realme 12 5G original sem aro </t>
  </si>
  <si>
    <t>Realme C65 sem aro original</t>
  </si>
  <si>
    <t xml:space="preserve">Realme C65 original sem aro </t>
  </si>
  <si>
    <t>Realme C67 sem aro original</t>
  </si>
  <si>
    <t xml:space="preserve">Realme C67 original sem aro </t>
  </si>
  <si>
    <t>Bateria Moto E4 Plus/E5 Plus (HE50)</t>
  </si>
  <si>
    <t>Bateria Moto Z Power/Z Force (GV30)</t>
  </si>
  <si>
    <t>Bateria Moto G60s (LK50)</t>
  </si>
  <si>
    <t>Bateria Moto Edge 20 Lite (NT50)</t>
  </si>
  <si>
    <t>Bateria Moto G42/G62 (ND50)</t>
  </si>
  <si>
    <t>Bateria Moto G42 (ND50)</t>
  </si>
  <si>
    <t>Bateria Moto G62 (ND50)</t>
  </si>
  <si>
    <t xml:space="preserve">A17 - original c/aro  </t>
  </si>
  <si>
    <t xml:space="preserve">A17 - original c/aro = R$ </t>
  </si>
  <si>
    <t>SAM A17 sem aro OLED</t>
  </si>
  <si>
    <t>SAM A17 OLED sem aro</t>
  </si>
  <si>
    <t>SAM A17 com aro original</t>
  </si>
  <si>
    <t xml:space="preserve">SAM A17 original com aro </t>
  </si>
  <si>
    <t>SAM A17 com aro OLED</t>
  </si>
  <si>
    <t xml:space="preserve">SAM A17 OLED com aro </t>
  </si>
  <si>
    <t>iPhone XR (JK)</t>
  </si>
  <si>
    <t>iPhone 11 (ci) (JK)</t>
  </si>
  <si>
    <t>Moto G4 Plus c/aro</t>
  </si>
  <si>
    <t>Bateria Redmi Note 10s (BN59)</t>
  </si>
  <si>
    <t>Bateria Poco M5s (BN59)</t>
  </si>
  <si>
    <t>A50/A30 c/aro Nacional Diamonds</t>
  </si>
  <si>
    <t xml:space="preserve">A50 c/aro Nac Diamonds = </t>
  </si>
  <si>
    <t xml:space="preserve">A30 c/aro Nac Diamonds = </t>
  </si>
  <si>
    <t>SAM A30 com aro Nacional Diamonds</t>
  </si>
  <si>
    <t>SAM A30 Nacional Diamonds com aro</t>
  </si>
  <si>
    <t>SAM A50 com aro Nacional Diamonds</t>
  </si>
  <si>
    <t>SAM A50 Nacional Diamonds com aro</t>
  </si>
  <si>
    <t>Galaxy S22 Ultra c/aro Nac Diamonds</t>
  </si>
  <si>
    <t xml:space="preserve">Galaxy S22 Ultra c/aro Nac Diamonds = </t>
  </si>
  <si>
    <t>SAM Galaxy S22 Ultra com aro Nacional Diamonds</t>
  </si>
  <si>
    <t>SAM Galaxy S22 Ultra Nacional Diamonds com aro</t>
  </si>
  <si>
    <t>Moto G86 original</t>
  </si>
  <si>
    <t xml:space="preserve">Moto G86 original  = R$ </t>
  </si>
  <si>
    <t>Moto G86 sem aro original</t>
  </si>
  <si>
    <t>Moto G86 original sem aro</t>
  </si>
  <si>
    <t>Moto G86 sem aro OLED</t>
  </si>
  <si>
    <t>Moto G86 OLED sem aro</t>
  </si>
  <si>
    <t>Moto One Fusion c/aro</t>
  </si>
  <si>
    <t xml:space="preserve">iPhone 11 Pro incell (ci) = R$ </t>
  </si>
  <si>
    <t xml:space="preserve">iPhone 12/12 Pro incell (ci) = </t>
  </si>
  <si>
    <t>Note 8</t>
  </si>
  <si>
    <t>Note 8 c/aro</t>
  </si>
  <si>
    <t>Note 8 c/aro Nacional</t>
  </si>
  <si>
    <t>Note 8 c/aro Nacional Diamonds</t>
  </si>
  <si>
    <t>Note 8T</t>
  </si>
  <si>
    <t>Note 6 Pro</t>
  </si>
  <si>
    <t>Note 7/Note 7 Pro</t>
  </si>
  <si>
    <t>Note 7/Note 7 Pro c/aro</t>
  </si>
  <si>
    <t>Note 7/Note 7 Pro c/aro Nacional</t>
  </si>
  <si>
    <t>Note 8 Pro</t>
  </si>
  <si>
    <t>Note 8 Pro c/aro</t>
  </si>
  <si>
    <t>Note 8 Pro c/aro Nacional</t>
  </si>
  <si>
    <t>Note 8 Pro c/aro Nacional Diamonds</t>
  </si>
  <si>
    <t>Note 9</t>
  </si>
  <si>
    <t>Note 9 c/aro</t>
  </si>
  <si>
    <t>Note 9 c/aro Nacional</t>
  </si>
  <si>
    <t>Note 9s/Note 9 Pro c/aro</t>
  </si>
  <si>
    <t>Note 9 c/aro Nacional Diamonds</t>
  </si>
  <si>
    <t>Note 9s/Note 9 Pro</t>
  </si>
  <si>
    <t>Note 9s/Note 9 Pro c/aro Nacional</t>
  </si>
  <si>
    <t>Note 9s/Note 9 Pro c/aro Nacional Diamonds</t>
  </si>
  <si>
    <t>Note 10/10s 4G/Poco M5s - incell</t>
  </si>
  <si>
    <t>Note 10/10s 4G/Poco M5s - incell c/aro</t>
  </si>
  <si>
    <t>Note 10/10s 4G/Poco M5s - original</t>
  </si>
  <si>
    <t>Note 10/10s 4G/Poco M5s - original c/aro</t>
  </si>
  <si>
    <t>Note 10 5G</t>
  </si>
  <si>
    <t>Note 10 Pro/Note 11 Pro/Note 12 Pro 4G/Poco X4 Pro - Incel</t>
  </si>
  <si>
    <t>Note 10 Pro/10 pro Max - incell c/aro</t>
  </si>
  <si>
    <t>Note 10 Pro/10 pro Max - orig c/aro</t>
  </si>
  <si>
    <t>Note 10 Pro/Note 11 Pro/Note 12 Pro 4G/Poco X4 Pro - orig</t>
  </si>
  <si>
    <t>Note 11 4G/Note 11s/Note 12s/Poco M4 Pro - incell</t>
  </si>
  <si>
    <t>Note 11 4G/Note 11s/Note 12s/Poco M4 Pro - original</t>
  </si>
  <si>
    <t>Note 11s/11 4G/12s/Poco M4 Pro - incell c/aro</t>
  </si>
  <si>
    <t>Note 11s/11 4G/12s/Poco M4 Pro - original c/aro</t>
  </si>
  <si>
    <t>Note 11 5G/Note 11s 5G/Poco M4 Pro 5G</t>
  </si>
  <si>
    <t>Note 11 Pro/Poco X4 Pro - incell c/aro</t>
  </si>
  <si>
    <t>Note 11 Pro/Poco X4 Pro - original c/aro</t>
  </si>
  <si>
    <t>Mi 9 SE - orig (T/P)</t>
  </si>
  <si>
    <t xml:space="preserve">Mi 9 SE - orig  (Tela/P) = R$ </t>
  </si>
  <si>
    <t>Moto G41 c/aro Nacional</t>
  </si>
  <si>
    <t>Moto G31 incell c/aro</t>
  </si>
  <si>
    <t>Moto G31 original c/aro</t>
  </si>
  <si>
    <t>Moto G31 c/aro Nacional</t>
  </si>
  <si>
    <t>Moto G71 c/aro Nacional</t>
  </si>
  <si>
    <t>Moto G71 c/aro Nacional Diamonds</t>
  </si>
  <si>
    <t>Moto G41 incell c/aro</t>
  </si>
  <si>
    <t>Moto G41 original c/aro</t>
  </si>
  <si>
    <t>Moto G71 incell c/aro</t>
  </si>
  <si>
    <t>Moto G71 original c/aro</t>
  </si>
  <si>
    <t xml:space="preserve">G71 c/aro Nac Diamonds = </t>
  </si>
  <si>
    <t>Bateria Redmi 12C (BN5K)</t>
  </si>
  <si>
    <t>Placa Carga 13C</t>
  </si>
  <si>
    <t>Dock Carga 13C</t>
  </si>
  <si>
    <t>Placa 13C (Placa Carga)</t>
  </si>
  <si>
    <t>Bateria BN5Q</t>
  </si>
  <si>
    <t>Bateria Poco C65 (BN5Q)</t>
  </si>
  <si>
    <t>Bateria Poco M6 (BN5Q)</t>
  </si>
  <si>
    <t>Bateria BN5K</t>
  </si>
  <si>
    <t>Bateria Poco C55 (BN5K)</t>
  </si>
  <si>
    <t>Bateria Xiaomi Poco M4/Poco M5 (BN5H)</t>
  </si>
  <si>
    <t>Bateria Poco M4 (BN5H)</t>
  </si>
  <si>
    <t>Bateria Poco M5 (BN5H)</t>
  </si>
  <si>
    <t>Bateria BN5H</t>
  </si>
  <si>
    <t>Bateria Redmi 7/Note 6/Note 8/Note 8T (BN46)</t>
  </si>
  <si>
    <t>Bateria Redmi 7/Note 6/Note 8/Note 8T (Gold-450)</t>
  </si>
  <si>
    <t>Bateria Redmi 8/Redmi 8A (BN51)</t>
  </si>
  <si>
    <t>Bateria Redmi 9/Redmi Note 9 (BN54/BN52)</t>
  </si>
  <si>
    <t>Bateria Redmi 9A/Redmi 9C (BN56)</t>
  </si>
  <si>
    <t>Bateria Redmi 10/Redmi 10 Prime (BN63)</t>
  </si>
  <si>
    <t>Bateria Redmi 10A/Redmi 10C (BN5G)</t>
  </si>
  <si>
    <t>Bateria Redmi 12C/Poco C55 (BN5K)</t>
  </si>
  <si>
    <t>Bateria Redmi 13C/Poco C65/Poco M6 (BN5Q)</t>
  </si>
  <si>
    <t>Bateria Redmi Note 10 4G/Note 10s/Poco M5s (BN59)</t>
  </si>
  <si>
    <t>Bateria Redmi Note 11 4G/Note 11s/Note 12s/Poco M4 Pro 4G (BN5D)</t>
  </si>
  <si>
    <t>Bateria Redmi Note 7/Note 7 Pro (BN4A)</t>
  </si>
  <si>
    <t>Bateria Redmi Note 7/Note 7 Pro (Gold-454)</t>
  </si>
  <si>
    <t>Bateria Redmi Note 9 Pro/Note 10 Pro (BN53)</t>
  </si>
  <si>
    <t>Bateria Redmi Note 11 5G/Poco M4 Pro 5G (BN5C)</t>
  </si>
  <si>
    <t>Bateria Redmi Note 11 4G (BN5D)</t>
  </si>
  <si>
    <t>Bateria Poco M4 Pro 4G (BN5D)</t>
  </si>
  <si>
    <t>Bateria Redmi Note 11 5G (BN5C)</t>
  </si>
  <si>
    <t>Bateria BN5C</t>
  </si>
  <si>
    <t>Bateria Poco M4 Pro 5G (BN5C)</t>
  </si>
  <si>
    <t>Bateria SAM M14/M34/M54 (BM146)</t>
  </si>
  <si>
    <t>Bateria SAM M14 (BM146)</t>
  </si>
  <si>
    <t>Bateria SAM M34 (BM146)</t>
  </si>
  <si>
    <t>Bateria SAM M54 (BM146)</t>
  </si>
  <si>
    <t>Bateria BM146</t>
  </si>
  <si>
    <t>Bateria EB-BM146</t>
  </si>
  <si>
    <t>SAM A52 original com aro (4G)</t>
  </si>
  <si>
    <t>SAM A52 com aro original (4G)</t>
  </si>
  <si>
    <t>SAM A52 com aro OLED (4G)</t>
  </si>
  <si>
    <t>SAM A06 sem aro original (4G)</t>
  </si>
  <si>
    <t>SAM A06 com aro original (4G)</t>
  </si>
  <si>
    <t>SAM A06 sem aro original (5G)</t>
  </si>
  <si>
    <t>SAM A06 com aro original (5G)</t>
  </si>
  <si>
    <t>Moto G62 c/aro Nacional</t>
  </si>
  <si>
    <t>Moto G62 c/aro Nacional Diamonds</t>
  </si>
  <si>
    <t xml:space="preserve">Moto G62 c/aro Nacional = </t>
  </si>
  <si>
    <t xml:space="preserve">Moto G62 c/aro Nac Diamonds = </t>
  </si>
  <si>
    <t>Moto G62 com aro Nacional</t>
  </si>
  <si>
    <t>Moto G62 Nacional com aro</t>
  </si>
  <si>
    <t>Moto G62 com aro Nacional Diamonds</t>
  </si>
  <si>
    <t>Moto G62 Nacional Diamonds com aro</t>
  </si>
  <si>
    <t>Redmi 12/Redmi 13/Poco M6 4G/Poco M6 Pro 5G</t>
  </si>
  <si>
    <t>Redmi 13C/Poco C65/Poco M6 5G</t>
  </si>
  <si>
    <t xml:space="preserve">Poco M6 4G = R$ </t>
  </si>
  <si>
    <t xml:space="preserve">Poco M6 5G  = R$ </t>
  </si>
  <si>
    <t>Poco M6 4G sem aro original</t>
  </si>
  <si>
    <t>Poco M6 4G original sem aro</t>
  </si>
  <si>
    <t>Poco M6 sem aro original (4G)</t>
  </si>
  <si>
    <t>Poco M6 original sem aro (4G)</t>
  </si>
  <si>
    <t>Poco M6 5G sem aro original</t>
  </si>
  <si>
    <t>Poco M6 5G original sem aro</t>
  </si>
  <si>
    <t>Poco M6 sem aro original (5G)</t>
  </si>
  <si>
    <t>Poco M6 original sem aro (5G)</t>
  </si>
  <si>
    <t>iPhone 16 Pro - incell (ci) (JK)</t>
  </si>
  <si>
    <t>iPhone 17 - incell (ci)</t>
  </si>
  <si>
    <t>iPhone 17 OLED (ci)</t>
  </si>
  <si>
    <t>iPhone 17 Pro - incell (ci)</t>
  </si>
  <si>
    <t>iPhone 17 Pro OLED (ci)</t>
  </si>
  <si>
    <t>iPhone 17 Pro Max - incell (ci)</t>
  </si>
  <si>
    <t>iPhone 17 Pro Max OLED (ci)</t>
  </si>
  <si>
    <t>iPhone XS - (JK)</t>
  </si>
  <si>
    <t>iPhone XS Max - (JK)</t>
  </si>
  <si>
    <t>iPhone 11 Pro - (JK) (ci)</t>
  </si>
  <si>
    <t>iPhone 11 Pro Max - (JK) (ci)</t>
  </si>
  <si>
    <t>iPhone 15 Pro - (JK) (ci)</t>
  </si>
  <si>
    <t>iPhone 16 Pro Max - (JK) (ci)</t>
  </si>
  <si>
    <t>iPhone 17 - (JK) (ci)</t>
  </si>
  <si>
    <t>iPhone 17 Pro - (JK) (ci)</t>
  </si>
  <si>
    <t>iPhone 17 Pro Max - (JK) (ci)</t>
  </si>
  <si>
    <t xml:space="preserve">iPhone 13 Pro OLED (ci) = </t>
  </si>
  <si>
    <t>Moto Edge 40 Neo original c/aro</t>
  </si>
  <si>
    <t xml:space="preserve">Edge 40 Neo orig c/aro = R$ </t>
  </si>
  <si>
    <t>Moto Edge 40 Neo com aro OLED</t>
  </si>
  <si>
    <t>Moto Edge 40 Neo OLED com aro</t>
  </si>
  <si>
    <t>Moto Edge 40 Neo com aro original</t>
  </si>
  <si>
    <t>Moto Edge 40 Neo original com aro</t>
  </si>
  <si>
    <t>Moto One Fusion Plus c/aro</t>
  </si>
  <si>
    <t xml:space="preserve">Moto One Fusion Plus c/aro = R$ </t>
  </si>
  <si>
    <t>Moto One Fusion Plus com aro original</t>
  </si>
  <si>
    <t>Moto One Fusion Plus original com aro</t>
  </si>
  <si>
    <t>Moto G75 c/aro</t>
  </si>
  <si>
    <t xml:space="preserve">Moto G75 c/aro = R$ </t>
  </si>
  <si>
    <t>iPhone 15 Pro OLED (ci) (JK)</t>
  </si>
  <si>
    <t>iPhone 14 Pro Max OLED (ci) (JK)</t>
  </si>
  <si>
    <t>iPhone 16 Pro Max OLED (ci) (JK)</t>
  </si>
  <si>
    <t>iPhone 14 Plus (JK )(ci)</t>
  </si>
  <si>
    <t xml:space="preserve">iPhone 17 OLED (ci) = R$ </t>
  </si>
  <si>
    <t xml:space="preserve">17 Pro Max - incell (ci) = R$ </t>
  </si>
  <si>
    <t xml:space="preserve">17 Pro Max OLED (ci) = R$ </t>
  </si>
  <si>
    <t>iPhone 14 Pro Max original JK (Ci Removivel)</t>
  </si>
  <si>
    <t xml:space="preserve">14 Pro Max OLED (JK) (ci) = R$ </t>
  </si>
  <si>
    <t>iPhone 17 original (Ci Removivel)</t>
  </si>
  <si>
    <t>iPhone 17 OLED (Ci Removivel)</t>
  </si>
  <si>
    <t>iPhone 17 Pro Max incell (Ci Removivel)</t>
  </si>
  <si>
    <t>iPhone 17 Pro Max original (Ci Removivel)</t>
  </si>
  <si>
    <t>iPhone 17 Pro Max OLED (Ci Removivel)</t>
  </si>
  <si>
    <t>Redmi Note 13 4G/Note 14 4G - original</t>
  </si>
  <si>
    <t>Redmi Note 14 5G - original</t>
  </si>
  <si>
    <t>iPhone X - incell (JK)</t>
  </si>
  <si>
    <t>iPhone 12/12 Pro - incell (ci) (JK)</t>
  </si>
  <si>
    <t>iPhone 12/12 Pro OLED (ci) (JK)</t>
  </si>
  <si>
    <t>iPhone 12 Pro Max - incell (ci) (JK)</t>
  </si>
  <si>
    <t>iPhone 13 - incell (ci) (JK)</t>
  </si>
  <si>
    <t>iPhone 13 OLED (ci) (JK)</t>
  </si>
  <si>
    <t>iPhone 13 Pro Max - incell (ci) (JK)</t>
  </si>
  <si>
    <t>iPhone 13 Pro - incell (ci) (JK)</t>
  </si>
  <si>
    <t>iPhone 13 Pro OLED (ci) (JK)</t>
  </si>
  <si>
    <t>iPhone 14 - incell (ci) (JK)</t>
  </si>
  <si>
    <t>iPhone 14 OLED (ci) (JK)</t>
  </si>
  <si>
    <t>iPhone 14 Pro - incell (ci) (JK)</t>
  </si>
  <si>
    <t>iPhone 14 Pro OLED (ci) (JK)</t>
  </si>
  <si>
    <t>iPhone 14 Pro Max - incell (ci) (JK)</t>
  </si>
  <si>
    <t>iPhone 15 - incell (JK) (ci)</t>
  </si>
  <si>
    <t>iPhone 15 OLED (ci) (JK)</t>
  </si>
  <si>
    <t>iPhone 15 Pro Max - incell (ci) (JK)</t>
  </si>
  <si>
    <t>iPhone 15 Pro Max OLED (ci) (JK)</t>
  </si>
  <si>
    <t>iPhone 16 - incell (ci) (JK)</t>
  </si>
  <si>
    <t>iPhone 16 OLED (ci) (JK)</t>
  </si>
  <si>
    <t>iPhone 12/12 Pro OLED(ci)(JK)=</t>
  </si>
  <si>
    <t>iPhone 12/12 Pro incell (ci)(JK)=</t>
  </si>
  <si>
    <t xml:space="preserve">iPhone 12/12 Pro OLED(ci)= </t>
  </si>
  <si>
    <t xml:space="preserve">iPhone 13 OLED (ci)(JK) = R$ </t>
  </si>
  <si>
    <t xml:space="preserve">iPhone 13 incell (ci)(JK) = R$ </t>
  </si>
  <si>
    <t xml:space="preserve">iPhone X - incell (JK) = R$ </t>
  </si>
  <si>
    <t xml:space="preserve">iPhone XS - incell (JK) = R$ </t>
  </si>
  <si>
    <t xml:space="preserve">iPhone XS Max incell (JK) = R$ </t>
  </si>
  <si>
    <t xml:space="preserve">iPhone 11 Pro incell (ci)(JK) = </t>
  </si>
  <si>
    <t xml:space="preserve">11 Pro Max - incell (ci)(JK) = </t>
  </si>
  <si>
    <t xml:space="preserve">12 Pro Max incell (ci)(JK) = </t>
  </si>
  <si>
    <t xml:space="preserve">iPhone 13 Pro incell (ci)(JK) = </t>
  </si>
  <si>
    <t xml:space="preserve">iPhone 13 Pro incell (ci) = R$ </t>
  </si>
  <si>
    <t xml:space="preserve">iPhone 13 Pro OLED (ci)(JK)= </t>
  </si>
  <si>
    <t xml:space="preserve">13 Pro Max incell (ci)(JK) = </t>
  </si>
  <si>
    <t xml:space="preserve">iPhone 14 incell (ci)(JK) = R$ </t>
  </si>
  <si>
    <t xml:space="preserve">iPhone 14 OLED (ci)(JK) = R$ </t>
  </si>
  <si>
    <t xml:space="preserve">14 Pro incell (ci)(JK) = R$ </t>
  </si>
  <si>
    <t xml:space="preserve">14 Pro OLED (ci)(JK) = R$ </t>
  </si>
  <si>
    <t xml:space="preserve">14 Pro Max incell (ci)(JK) = </t>
  </si>
  <si>
    <t xml:space="preserve">14 Plus - incell (ci)(JK = R$ </t>
  </si>
  <si>
    <t xml:space="preserve">iPhone 15 - incell (ci)(JK) = R$ </t>
  </si>
  <si>
    <t xml:space="preserve">iPhone 15 OLED (ci)(JK) = R$ </t>
  </si>
  <si>
    <t xml:space="preserve">iPhone 15 Pro incell (ci) = R$ </t>
  </si>
  <si>
    <t xml:space="preserve">iPhone 15 Pro incell (ci)(JK) = </t>
  </si>
  <si>
    <t xml:space="preserve">iPhone 15 Pro OLED (ci)(JK) = </t>
  </si>
  <si>
    <t xml:space="preserve">15 Pro Max - incell (ci)(JK) = </t>
  </si>
  <si>
    <t xml:space="preserve">15 Pro Max OLED (ci)(JK) = </t>
  </si>
  <si>
    <t xml:space="preserve">iPhone 16 - incell (ci)(JK) = R$ </t>
  </si>
  <si>
    <t xml:space="preserve">iPhone 16 OLED (ci)(JK) = R$ </t>
  </si>
  <si>
    <t xml:space="preserve">iPhone 16 Pro - incell (ci)(JK)= </t>
  </si>
  <si>
    <t xml:space="preserve">16 Pro Max - incell (ci)(JK)= </t>
  </si>
  <si>
    <t xml:space="preserve">16 Pro Max OLED (ci)(JK) = </t>
  </si>
  <si>
    <t xml:space="preserve">iPhone 17 Pro incell (ci) = R$ </t>
  </si>
  <si>
    <t xml:space="preserve">iPhone 17 Pro OLED (ci) = R$ </t>
  </si>
  <si>
    <t>iPhone 17 Pro incell (Ci Removivel)</t>
  </si>
  <si>
    <t>iPhone 17 Pro OLED (Ci Removivel)</t>
  </si>
  <si>
    <t>iPhone 12 Pro Max OLED (S/M)</t>
  </si>
  <si>
    <t>iPhone 12/12 Pro OLED (S/M)</t>
  </si>
  <si>
    <t>iPhone 13 OLED (S/M)</t>
  </si>
  <si>
    <t>iPhone 14 OLED (S/M)</t>
  </si>
  <si>
    <t>iPhone 15 Pro Max OLED (S/M)</t>
  </si>
  <si>
    <t xml:space="preserve">iPhone 12/12 Pro OLED (S/M)= </t>
  </si>
  <si>
    <t xml:space="preserve">12 Pro Max OLED (S/M) = R$ </t>
  </si>
  <si>
    <t xml:space="preserve">iPhone 13 OLED (S/M) = R$ </t>
  </si>
  <si>
    <t xml:space="preserve">iPhone 14 OLED (S/M) = R$ </t>
  </si>
  <si>
    <t xml:space="preserve">15 Pro Max OLED (S/M) = R$ </t>
  </si>
  <si>
    <t>iPhone 12 Pro OLED (Sem Mensagem)</t>
  </si>
  <si>
    <t>iPhone 12 OLED (Sem Mensagem)</t>
  </si>
  <si>
    <t>iPhone 12 Pro Max OLED (Sem Mensagem)</t>
  </si>
  <si>
    <t>iPhone 13 OLED (Sem Mensagem)</t>
  </si>
  <si>
    <t>iPhone 14 OLED (Sem Mensagem)</t>
  </si>
  <si>
    <t>iPhone 15 Pro Max OLED (Sem Mensagem)</t>
  </si>
  <si>
    <t>Flex Home Biometria SAM A03/A03s/A03 Core</t>
  </si>
  <si>
    <t>Flex Home Biometria SAM A20/A30</t>
  </si>
  <si>
    <t>Flex Home Biometria Redmi 9T/Poco M3</t>
  </si>
  <si>
    <t>Flex Home Biometria Moto G8 Power Lite/E6s</t>
  </si>
  <si>
    <t>Flex Home Biometria Moto G71/G31</t>
  </si>
  <si>
    <t>Flex Home Biometria Moto G7 Plus/Moto G7</t>
  </si>
  <si>
    <t>Flex Home Biometria Moto G5 Plus/G5s</t>
  </si>
  <si>
    <t>Flex Home Biometria Moto E7 Power/E7 Plus</t>
  </si>
  <si>
    <t>Flex Home Biometria Moto G10/G30</t>
  </si>
  <si>
    <t>Placa de Carga iPhone XS Max</t>
  </si>
  <si>
    <t>Placa de Carga iPhone XS</t>
  </si>
  <si>
    <t>Placa de Carga iPhone XR</t>
  </si>
  <si>
    <t>Placa de Carga iPhone X</t>
  </si>
  <si>
    <t>Placa de Carga iPhone 8 Plus</t>
  </si>
  <si>
    <t>Placa de Carga iPhone 7 Plus</t>
  </si>
  <si>
    <t>Placa de Carga iPhone 7</t>
  </si>
  <si>
    <t>Placa de Carga iPhone 6s Plus</t>
  </si>
  <si>
    <t>Placa de Carga iPhone 6s</t>
  </si>
  <si>
    <t>Placa de Carga iPhone 6</t>
  </si>
  <si>
    <t>Placa de Carga iPhone 12/iPhone 12 Pro</t>
  </si>
  <si>
    <t>Placa de Carga iPhone 12 Mini</t>
  </si>
  <si>
    <t>Placa de Carga iPhone 11 Pro Max</t>
  </si>
  <si>
    <t>Placa de Carga iPhone 11 Pro</t>
  </si>
  <si>
    <t>Placa de Carga iPhone 11</t>
  </si>
  <si>
    <t>Lente de Camera Xiaomi Redmi 9T</t>
  </si>
  <si>
    <t>Lente de Camera SAM A22 4G</t>
  </si>
  <si>
    <t>Lente de Camera SAM A22 5G</t>
  </si>
  <si>
    <t>Lente de Camera Moto One Fusion Plus (KIT 2EM1)</t>
  </si>
  <si>
    <t>Lente de Camera Moto G9 Play</t>
  </si>
  <si>
    <t>Lente de Camera Moto G9 Plus</t>
  </si>
  <si>
    <t>Lente de Camera Moto G7 Play</t>
  </si>
  <si>
    <t>Lente de Camera Moto G6 Play/Moto E5</t>
  </si>
  <si>
    <t>Lente de Camera Moto G6 Plus</t>
  </si>
  <si>
    <t>Lente de Camera Moto G30/G20/G10</t>
  </si>
  <si>
    <t>Gaveta de Chip Xiaomi Redmi Note 8</t>
  </si>
  <si>
    <t>Gaveta de Chip Xiaomi Redmi Note 11</t>
  </si>
  <si>
    <t>Gaveta de Chip Xiaomi Redmi 9A/Redmi 9C</t>
  </si>
  <si>
    <t>Gaveta de Chip Xiaomi Redmi 8/Redmi 8A</t>
  </si>
  <si>
    <t>Gaveta de Chip S8/S8 Plus</t>
  </si>
  <si>
    <t>Gaveta de Chip S21 Plus/SAM S21</t>
  </si>
  <si>
    <t>Gaveta de Chip J6/J8</t>
  </si>
  <si>
    <t>Gaveta de Chip J6 Plus/J4 Plus/J8 Plus</t>
  </si>
  <si>
    <t>Gaveta de Chip J4/J6/J8</t>
  </si>
  <si>
    <t>Gaveta de Chip J4 Core</t>
  </si>
  <si>
    <t>Gaveta de Chip Galaxy S9/S9 Plus</t>
  </si>
  <si>
    <t>Gaveta de Chip Galaxy S10/S10 Plus</t>
  </si>
  <si>
    <t>Gaveta de Chip A70</t>
  </si>
  <si>
    <t>Gaveta de Chip A53</t>
  </si>
  <si>
    <t>Gaveta de Chip A52 4G/A52 5G/A72</t>
  </si>
  <si>
    <t>Gaveta de Chip A51/A71</t>
  </si>
  <si>
    <t>Gaveta de Chip A5 2017 (A520)/A7 2017 (A720)/A3 2017 (A320)</t>
  </si>
  <si>
    <t>Gaveta de Chip A32 5G</t>
  </si>
  <si>
    <t>Gaveta de Chip A32 4G</t>
  </si>
  <si>
    <t>Gaveta de Chip A31</t>
  </si>
  <si>
    <t>Gaveta de Chip A30s/A50s</t>
  </si>
  <si>
    <t>Gaveta de Chip A22 4G</t>
  </si>
  <si>
    <t>Gaveta de Chip A21s</t>
  </si>
  <si>
    <t>Gaveta de Chip A20s</t>
  </si>
  <si>
    <t>Gaveta de Chip A13 4G</t>
  </si>
  <si>
    <t>Gaveta de Chip A10s</t>
  </si>
  <si>
    <t>Gaveta de Chip A11</t>
  </si>
  <si>
    <t>Gaveta de Chip A10/A20/A30/A50</t>
  </si>
  <si>
    <t>Gaveta de Chip A04E</t>
  </si>
  <si>
    <t>Gaveta de Chip A02s/A03s</t>
  </si>
  <si>
    <t>Gaveta de Chip A02/A12/M12</t>
  </si>
  <si>
    <t>Gaveta de Chip A01 Core</t>
  </si>
  <si>
    <t>Gaveta de Chip A01</t>
  </si>
  <si>
    <t>Gaveta de Chip Redmi Note 9</t>
  </si>
  <si>
    <t>Gaveta de Chip Redmi Note 7</t>
  </si>
  <si>
    <t>Gaveta de Chip Redmi Note 12 Pro</t>
  </si>
  <si>
    <t>Gaveta de Chip One Zoom</t>
  </si>
  <si>
    <t>Gaveta de Chip One Hyper</t>
  </si>
  <si>
    <t>Gaveta de Chip One Fusion Plus</t>
  </si>
  <si>
    <t>Gaveta de Chip One Fusion</t>
  </si>
  <si>
    <t>Gaveta de Chip One Action/One Vision</t>
  </si>
  <si>
    <t>Gaveta de Chip One Action/Moto One Vision</t>
  </si>
  <si>
    <t>Gaveta de Chip One</t>
  </si>
  <si>
    <t>Gaveta de Chip Moto G6 Play/E5</t>
  </si>
  <si>
    <t>Gaveta de Chip G9 Power</t>
  </si>
  <si>
    <t>Gaveta de Chip G9 Plus</t>
  </si>
  <si>
    <t>Flex Main LG K41s (SUB)</t>
  </si>
  <si>
    <t>Flex Main LG K42/K52/K62</t>
  </si>
  <si>
    <t>Flex Main LG K51s (SUB)</t>
  </si>
  <si>
    <t>Flex Main LG K61 (SUB)</t>
  </si>
  <si>
    <t>Flex Main Mi 8 (SUB)</t>
  </si>
  <si>
    <t>Flex Main Mi 9 (SUB)</t>
  </si>
  <si>
    <t>Flex Main Mi A2 Lite (SUB)</t>
  </si>
  <si>
    <t>Flex Main Moto E4 Plus (SUB)</t>
  </si>
  <si>
    <t>Flex Main Moto E5 Play (SUB)</t>
  </si>
  <si>
    <t>Flex Main Moto E5 Plus (SUB)</t>
  </si>
  <si>
    <t>Flex Main Moto G100 (SUB)</t>
  </si>
  <si>
    <t>Flex Main Moto G200 (SUB/OCTA)</t>
  </si>
  <si>
    <t>Flex Main Moto G31/G41 (SUB)</t>
  </si>
  <si>
    <t>Flex Main Moto G32 (SUB)</t>
  </si>
  <si>
    <t>Flex Main Moto G4 Play (SUB)</t>
  </si>
  <si>
    <t>Flex Main Moto G5 (SUB)</t>
  </si>
  <si>
    <t>Flex Main Moto G50 4G (SUB)</t>
  </si>
  <si>
    <t>Flex Main Moto G50 5G (SUB)</t>
  </si>
  <si>
    <t>Flex Main Moto G52 (SUB)</t>
  </si>
  <si>
    <t>Flex Main Moto G5G (SUB)</t>
  </si>
  <si>
    <t>Flex Main Moto G5G Plus (SUB)</t>
  </si>
  <si>
    <t>Flex Main Moto G6 Play (SUB)</t>
  </si>
  <si>
    <t>Flex Main Moto G7 Play (SUB)</t>
  </si>
  <si>
    <t>Flex Main Moto G7 Power (SUB)</t>
  </si>
  <si>
    <t>Flex Main Moto G71 (SUB)</t>
  </si>
  <si>
    <t>Flex Main Moto G8 (SUB)</t>
  </si>
  <si>
    <t>Flex Main Moto G9 Play/E7 Plus (SUB)</t>
  </si>
  <si>
    <t>Flex Main Moto G9 Plus (SUB)</t>
  </si>
  <si>
    <t>Flex Main Moto G9 Power (SUB)</t>
  </si>
  <si>
    <t>Flex Main Moto One</t>
  </si>
  <si>
    <t>Flex Main Moto One Action/Moto One Vision (SUB)</t>
  </si>
  <si>
    <t>Flex Main Moto One Fusion (SUB)</t>
  </si>
  <si>
    <t>Flex Main Moto One Fusion Plus (SUB)</t>
  </si>
  <si>
    <t>Flex Main Moto One Hyper</t>
  </si>
  <si>
    <t>Flex Main Moto One Power/Moto P30 (SUB)</t>
  </si>
  <si>
    <t>Flex Main Moto One Zoom (SUB)</t>
  </si>
  <si>
    <t>Flex Main Poco F3 5G (SUB)</t>
  </si>
  <si>
    <t>Flex Main Poco X3/Poco X3 Pro/Poco X3 GT/Poco X3 NFC (SUB)</t>
  </si>
  <si>
    <t>Flex Main Redmi 10x (OCTA)</t>
  </si>
  <si>
    <t>Flex Main SAM A10/M10 (SUB)</t>
  </si>
  <si>
    <t>Flex Main SAM A10E (SUB) (Não Comprar Mais)</t>
  </si>
  <si>
    <t>Flex Main SAM A20 (OCTA)</t>
  </si>
  <si>
    <t>Flex Main SAM A20s (M12)(SUB)</t>
  </si>
  <si>
    <t>Flex Main SAM A20s (M14/M15) (SUB)</t>
  </si>
  <si>
    <t>Flex Main SAM A21 (SUB)</t>
  </si>
  <si>
    <t>Flex Main SAM A21s (SUB/OCTA)</t>
  </si>
  <si>
    <t>Flex Main SAM A22 5G (SUB)</t>
  </si>
  <si>
    <t>Flex Main SAM A30 (SUB)</t>
  </si>
  <si>
    <t>Flex Main SAM A31 (SUB/OCTA)</t>
  </si>
  <si>
    <t>Flex Main SAM A33 (SUB/OCTA)</t>
  </si>
  <si>
    <t>Flex Main SAM A50s (SUB) (NÂO COMPRAR MAIS)</t>
  </si>
  <si>
    <t>Flex Main SAM A52 4G/A52 5G (SUB/OCTA)</t>
  </si>
  <si>
    <t>Flex Main SAM A7 2018 (A750) (SUB)</t>
  </si>
  <si>
    <t>Flex Main SAM A70 (SUB)</t>
  </si>
  <si>
    <t>Flex Main SAM A71 (SUB)</t>
  </si>
  <si>
    <t>Flex Main SAM A72 (SUB)</t>
  </si>
  <si>
    <t>Flex Main SAM A80</t>
  </si>
  <si>
    <t>Flex Main SAM A9 2018 (A920) (SUB)</t>
  </si>
  <si>
    <t>Flex Main SAM M20 (SUB)</t>
  </si>
  <si>
    <t>Flex Main SAM M30 (SUB)</t>
  </si>
  <si>
    <t>Flex Main SAM M31/M30s (OCTA)</t>
  </si>
  <si>
    <t>Flex Main SAM S20 FE (SUB)</t>
  </si>
  <si>
    <t>Flex Main Xiaomi 11T Pro (SUB)</t>
  </si>
  <si>
    <t>Flex Main SAM A32 4G/A32 5G/A22 4G (SUB/OCTA)</t>
  </si>
  <si>
    <t>Flex Main SAM M30s/M31 (SUB)</t>
  </si>
  <si>
    <t>Flex Main Redmi Note 8</t>
  </si>
  <si>
    <t>Flex Main Redmi 9/Redmi 9A/Redmi 9C (SUB)</t>
  </si>
  <si>
    <t>Flex Main Mi A3 (OCTA)</t>
  </si>
  <si>
    <t>Flex Main Redmi Note 12 5G/Poco X5 (SUB/OCTA)</t>
  </si>
  <si>
    <t>Flex SUB Poco X5</t>
  </si>
  <si>
    <t>Flex SUB Xiaomi Poco X5</t>
  </si>
  <si>
    <t>Flex Main Poco X5 (SUB/OCTA)</t>
  </si>
  <si>
    <t>Flex LCD Xiaomi Poco X5 (SUB/OCTA)</t>
  </si>
  <si>
    <t>Flex LCD Poco X5 (SUB/OCTA)</t>
  </si>
  <si>
    <t>Flex OCTA Xiaomi Poco X5</t>
  </si>
  <si>
    <t>Flex OCTA Poco X5</t>
  </si>
  <si>
    <t>Flex Power e Volume Redmi Note 11 4G/Note 11s 4G/Note 12s/Poco M4 Pro 4G</t>
  </si>
  <si>
    <t>Flex Power e Volume Redmi Note 12s</t>
  </si>
  <si>
    <t>Flex Power Redmi Note 12s</t>
  </si>
  <si>
    <t>Flex Volume Redmi Note 12s</t>
  </si>
  <si>
    <t>Realme C55/C65/C67/C75/Realme 11/Realme 11x 5G/Realme 12 5G</t>
  </si>
  <si>
    <t xml:space="preserve">Realme C75 = R$ </t>
  </si>
  <si>
    <t>iPhone 17 Pro Max OLED (ci) (JK)</t>
  </si>
  <si>
    <t xml:space="preserve">17 Pro Max OLED (ci)(JK) = </t>
  </si>
  <si>
    <t>iPhone 17 OLED (ci) (JK)</t>
  </si>
  <si>
    <t>iPhone 17 Pro OLED (ci) (JK)</t>
  </si>
  <si>
    <t>iPhone 16 Pro OLED (ci) (JK)</t>
  </si>
  <si>
    <t xml:space="preserve">iPhone 16 Pro OLED (ci)(JK) = </t>
  </si>
  <si>
    <t xml:space="preserve">iPhone 17 OLED (ci)(JK) = R$ </t>
  </si>
  <si>
    <t xml:space="preserve">iPhone 17 Pro OLED (ci)(JK) = </t>
  </si>
  <si>
    <t>iPhone 11 JK original (Ci Removivel)</t>
  </si>
  <si>
    <t>iPhone 11 Pro JK OLED (Ci Removivel)</t>
  </si>
  <si>
    <t>iPhone 11 Pro JK LCD (Ci Removivel)</t>
  </si>
  <si>
    <t>iPhone 12 JK OLED (Ci Removivel)</t>
  </si>
  <si>
    <t>iPhone 12 JK LCD (Ci Removivel)</t>
  </si>
  <si>
    <t>iPhone 11 Pro Max JK LCD (Ci Removivel)</t>
  </si>
  <si>
    <t>iPhone X JK LCD</t>
  </si>
  <si>
    <t>iPhone XS JK LCD</t>
  </si>
  <si>
    <t>iPhone XS Max JK LCD</t>
  </si>
  <si>
    <t>iPhone 12 Pro JK LCD (Ci Removivel)</t>
  </si>
  <si>
    <t>iPhone 12 Pro JK OLED (Ci Removivel)</t>
  </si>
  <si>
    <t>iPhone 12 Pro Max JK LCD (Ci Removivel)</t>
  </si>
  <si>
    <t>iPhone 13 JK LCD (Ci Removivel)</t>
  </si>
  <si>
    <t>iPhone 13 JK OLED (Ci Removivel)</t>
  </si>
  <si>
    <t>iPhone 13 Pro JK LCD (Ci Removivel)</t>
  </si>
  <si>
    <t>iPhone 13 Pro JK OLED (Ci Removivel)</t>
  </si>
  <si>
    <t>iPhone 13 Pro Max JK LCD (Ci Removivel)</t>
  </si>
  <si>
    <t>iPhone 14 JK LCD (Ci Removivel)</t>
  </si>
  <si>
    <t>iPhone 14 JK OLED (Ci Removivel)</t>
  </si>
  <si>
    <t>iPhone 14 Pro JK LCD (Ci Removivel)</t>
  </si>
  <si>
    <t>iPhone 14 Pro JK OLED (Ci Removivel)</t>
  </si>
  <si>
    <t>iPhone 14 Pro Max JK LCD (Ci Removivel)</t>
  </si>
  <si>
    <t>iPhone 14 Pro Max JK OLED (Ci Removivel)</t>
  </si>
  <si>
    <t>iPhone 14 Plus JK LCD (Ci Removivel)</t>
  </si>
  <si>
    <t>iPhone 15 JK LCD (Ci Removivel)</t>
  </si>
  <si>
    <t>iPhone 15 JK OLED (Ci Removivel)</t>
  </si>
  <si>
    <t>iPhone 15 Pro JK LCD (Ci Removivel)</t>
  </si>
  <si>
    <t>iPhone 15 Pro JK OLED (Ci Removivel)</t>
  </si>
  <si>
    <t>iPhone 15 Pro Max JK LCD (Ci Removivel)</t>
  </si>
  <si>
    <t>iPhone 15 Pro Max JK OLED (Ci Removivel)</t>
  </si>
  <si>
    <t>iPhone 16 JK LCD (Ci Removivel)</t>
  </si>
  <si>
    <t>iPhone 16 JK OLED (Ci Removivel)</t>
  </si>
  <si>
    <t>iPhone 16 Pro JK LCD (Ci Removivel)</t>
  </si>
  <si>
    <t>iPhone 16 Pro JK OLED (Ci Removivel)</t>
  </si>
  <si>
    <t>iPhone 16 Pro Max JK LCD (Ci Removivel)</t>
  </si>
  <si>
    <t>iPhone 16 Pro Max JK OLED (Ci Removivel)</t>
  </si>
  <si>
    <t>iPhone 17 JK OLED (Ci Removivel)</t>
  </si>
  <si>
    <t>iPhone 17 Pro JK OLED (Ci Removivel)</t>
  </si>
  <si>
    <t>iPhone 17 Pro Max JK OLED (Ci Removivel)</t>
  </si>
  <si>
    <t>Redmi A5/Poco C71 c/aro</t>
  </si>
  <si>
    <t xml:space="preserve">Redmi A5 c/aro = R$ </t>
  </si>
  <si>
    <t xml:space="preserve">Poco C71 c/aro = R$ </t>
  </si>
  <si>
    <t>Moto Edge 60 Pro original</t>
  </si>
  <si>
    <t>Moto Edge 60 Pro original c/aro</t>
  </si>
  <si>
    <t>Moto Edge 60 Pro Nacional</t>
  </si>
  <si>
    <t>Moto Edge 60 Pro c/aro Nacional</t>
  </si>
  <si>
    <t xml:space="preserve">Edge 60 Fusion Nacional = R$ </t>
  </si>
  <si>
    <t xml:space="preserve">Edge 60 c/aro Nacional = R$ </t>
  </si>
  <si>
    <t xml:space="preserve">Edge 60 Pro Nacional = R$ </t>
  </si>
  <si>
    <t xml:space="preserve">Edge 60 Pro c/aro Nacional = R$ </t>
  </si>
  <si>
    <t>Moto Edge 40/Edge 40 Neo Nacional</t>
  </si>
  <si>
    <t xml:space="preserve">Moto Edge 40 Nacional = R$ </t>
  </si>
  <si>
    <t xml:space="preserve">Moto Edge 40 Neo Nac = R$ </t>
  </si>
  <si>
    <t>Moto Edge 60 c/aro Nacional</t>
  </si>
  <si>
    <t>Moto Edge 60 Fusion Nacional</t>
  </si>
  <si>
    <t>Redmi A5 com aro original</t>
  </si>
  <si>
    <t xml:space="preserve">Redmi A5 original com aro </t>
  </si>
  <si>
    <t>Poco C71 com aro original</t>
  </si>
  <si>
    <t>Poco C71 original com aro</t>
  </si>
  <si>
    <t>Moto Edge 40 sem aro Nacional</t>
  </si>
  <si>
    <t>Moto Edge 40 Nacional sem aro</t>
  </si>
  <si>
    <t>Moto Edge 40 Neo Nacional sem aro</t>
  </si>
  <si>
    <t>Moto Edge 40 Neo sem aro Nacional</t>
  </si>
  <si>
    <t>Moto Edge 60 Nacional com aro</t>
  </si>
  <si>
    <t>Moto Edge 60 com aro Nacional</t>
  </si>
  <si>
    <t>Moto Edge 60 Fusion Nacional sem aro</t>
  </si>
  <si>
    <t>Moto Edge 60 Fusion sem aro Nacional</t>
  </si>
  <si>
    <t>Moto Edge 60 Pro Nacional sem aro</t>
  </si>
  <si>
    <t>Moto Edge 60 Pro sem aro Nacional</t>
  </si>
  <si>
    <t>Moto Edge 60 Pro Nacional com aro</t>
  </si>
  <si>
    <t>Moto Edge 60 Pro com aro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</si>
</sst>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6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rgb="FFB2A1C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rgb="FF76923C"/>
      </patternFill>
    </fill>
    <fill>
      <patternFill patternType="solid">
        <fgColor theme="5" tint="0.79998168889431442"/>
        <bgColor rgb="FFD9959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rgb="FFB2A1C7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58" fillId="0" borderId="0" xfId="0" applyFont="1" applyAlignment="1">
      <alignment vertical="center"/>
    </xf>
    <xf numFmtId="0" fontId="58" fillId="2" borderId="3" xfId="0" applyFont="1" applyFill="1" applyBorder="1" applyAlignment="1">
      <alignment horizontal="center" vertical="center"/>
    </xf>
    <xf numFmtId="6" fontId="58" fillId="2" borderId="3" xfId="0" applyNumberFormat="1" applyFont="1" applyFill="1" applyBorder="1" applyAlignment="1">
      <alignment horizontal="center" vertical="center"/>
    </xf>
    <xf numFmtId="0" fontId="58" fillId="0" borderId="0" xfId="0" applyFont="1"/>
    <xf numFmtId="0" fontId="58" fillId="0" borderId="0" xfId="0" applyFont="1" applyAlignment="1">
      <alignment horizontal="right"/>
    </xf>
    <xf numFmtId="0" fontId="58" fillId="0" borderId="4" xfId="0" applyFont="1" applyBorder="1" applyAlignment="1">
      <alignment horizontal="left" vertical="center"/>
    </xf>
    <xf numFmtId="0" fontId="58" fillId="0" borderId="5" xfId="0" applyFont="1" applyBorder="1"/>
    <xf numFmtId="0" fontId="58" fillId="0" borderId="4" xfId="0" applyFont="1" applyBorder="1" applyAlignment="1">
      <alignment horizontal="left"/>
    </xf>
    <xf numFmtId="0" fontId="58" fillId="0" borderId="0" xfId="0" applyFont="1" applyAlignment="1">
      <alignment horizontal="left" vertical="center"/>
    </xf>
    <xf numFmtId="2" fontId="58" fillId="0" borderId="0" xfId="0" applyNumberFormat="1" applyFont="1" applyAlignment="1">
      <alignment horizontal="right"/>
    </xf>
    <xf numFmtId="0" fontId="58" fillId="0" borderId="9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8" fillId="0" borderId="13" xfId="0" applyFont="1" applyBorder="1" applyAlignment="1">
      <alignment horizontal="left" vertical="center"/>
    </xf>
    <xf numFmtId="0" fontId="58" fillId="0" borderId="9" xfId="0" applyFont="1" applyBorder="1" applyAlignment="1">
      <alignment horizontal="left" vertical="center"/>
    </xf>
    <xf numFmtId="0" fontId="58" fillId="0" borderId="13" xfId="0" applyFont="1" applyBorder="1" applyAlignment="1">
      <alignment horizontal="left"/>
    </xf>
    <xf numFmtId="0" fontId="58" fillId="0" borderId="7" xfId="0" applyFont="1" applyBorder="1" applyAlignment="1">
      <alignment horizontal="left" vertical="center"/>
    </xf>
    <xf numFmtId="0" fontId="58" fillId="0" borderId="7" xfId="0" applyFont="1" applyBorder="1" applyAlignment="1">
      <alignment horizontal="left"/>
    </xf>
    <xf numFmtId="0" fontId="58" fillId="0" borderId="6" xfId="0" applyFont="1" applyBorder="1"/>
    <xf numFmtId="2" fontId="0" fillId="0" borderId="0" xfId="0" applyNumberFormat="1"/>
    <xf numFmtId="0" fontId="57" fillId="0" borderId="0" xfId="0" applyFont="1"/>
    <xf numFmtId="0" fontId="52" fillId="0" borderId="0" xfId="0" applyFont="1"/>
    <xf numFmtId="0" fontId="0" fillId="0" borderId="0" xfId="0" quotePrefix="1"/>
    <xf numFmtId="0" fontId="48" fillId="0" borderId="0" xfId="0" applyFont="1"/>
    <xf numFmtId="0" fontId="61" fillId="0" borderId="0" xfId="0" applyFont="1"/>
    <xf numFmtId="0" fontId="47" fillId="0" borderId="0" xfId="0" applyFont="1"/>
    <xf numFmtId="0" fontId="54" fillId="0" borderId="0" xfId="0" applyFont="1"/>
    <xf numFmtId="0" fontId="53" fillId="0" borderId="0" xfId="0" applyFont="1"/>
    <xf numFmtId="0" fontId="56" fillId="0" borderId="0" xfId="0" applyFont="1"/>
    <xf numFmtId="0" fontId="51" fillId="0" borderId="0" xfId="0" applyFont="1"/>
    <xf numFmtId="0" fontId="55" fillId="0" borderId="0" xfId="0" applyFont="1"/>
    <xf numFmtId="0" fontId="43" fillId="0" borderId="0" xfId="0" applyFont="1"/>
    <xf numFmtId="0" fontId="44" fillId="0" borderId="0" xfId="0" applyFont="1"/>
    <xf numFmtId="0" fontId="49" fillId="0" borderId="0" xfId="0" applyFont="1"/>
    <xf numFmtId="0" fontId="46" fillId="0" borderId="0" xfId="0" applyFont="1"/>
    <xf numFmtId="0" fontId="45" fillId="0" borderId="0" xfId="0" applyFont="1"/>
    <xf numFmtId="0" fontId="50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60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0" fillId="0" borderId="0" xfId="0" applyAlignment="1">
      <alignment horizontal="left"/>
    </xf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58" fillId="4" borderId="7" xfId="0" applyFont="1" applyFill="1" applyBorder="1" applyAlignment="1">
      <alignment horizontal="left"/>
    </xf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0" fillId="5" borderId="0" xfId="0" applyFill="1"/>
    <xf numFmtId="0" fontId="22" fillId="0" borderId="0" xfId="0" applyFont="1"/>
    <xf numFmtId="0" fontId="0" fillId="6" borderId="0" xfId="0" applyFill="1"/>
    <xf numFmtId="0" fontId="21" fillId="0" borderId="0" xfId="0" applyFont="1"/>
    <xf numFmtId="0" fontId="20" fillId="0" borderId="0" xfId="0" applyFont="1"/>
    <xf numFmtId="0" fontId="60" fillId="0" borderId="7" xfId="0" applyFont="1" applyBorder="1" applyAlignment="1">
      <alignment horizontal="left"/>
    </xf>
    <xf numFmtId="0" fontId="19" fillId="0" borderId="0" xfId="0" applyFont="1"/>
    <xf numFmtId="0" fontId="18" fillId="0" borderId="0" xfId="0" applyFont="1"/>
    <xf numFmtId="0" fontId="0" fillId="7" borderId="0" xfId="0" applyFill="1"/>
    <xf numFmtId="0" fontId="0" fillId="8" borderId="0" xfId="0" applyFill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0" fillId="9" borderId="0" xfId="0" applyFill="1"/>
    <xf numFmtId="0" fontId="14" fillId="0" borderId="0" xfId="0" applyFont="1"/>
    <xf numFmtId="0" fontId="13" fillId="0" borderId="0" xfId="0" applyFont="1"/>
    <xf numFmtId="0" fontId="13" fillId="6" borderId="0" xfId="0" applyFont="1" applyFill="1"/>
    <xf numFmtId="0" fontId="12" fillId="0" borderId="0" xfId="0" applyFont="1"/>
    <xf numFmtId="0" fontId="11" fillId="0" borderId="0" xfId="0" applyFont="1"/>
    <xf numFmtId="0" fontId="11" fillId="6" borderId="0" xfId="0" applyFont="1" applyFill="1"/>
    <xf numFmtId="0" fontId="11" fillId="7" borderId="0" xfId="0" applyFont="1" applyFill="1"/>
    <xf numFmtId="0" fontId="10" fillId="6" borderId="0" xfId="0" applyFont="1" applyFill="1"/>
    <xf numFmtId="0" fontId="9" fillId="0" borderId="0" xfId="0" applyFont="1"/>
    <xf numFmtId="0" fontId="8" fillId="0" borderId="0" xfId="0" applyFont="1"/>
    <xf numFmtId="0" fontId="7" fillId="0" borderId="0" xfId="0" applyFont="1"/>
    <xf numFmtId="0" fontId="58" fillId="7" borderId="5" xfId="0" applyFont="1" applyFill="1" applyBorder="1"/>
    <xf numFmtId="0" fontId="58" fillId="7" borderId="6" xfId="0" applyFont="1" applyFill="1" applyBorder="1"/>
    <xf numFmtId="0" fontId="58" fillId="10" borderId="6" xfId="0" applyFont="1" applyFill="1" applyBorder="1"/>
    <xf numFmtId="0" fontId="58" fillId="11" borderId="6" xfId="0" applyFont="1" applyFill="1" applyBorder="1"/>
    <xf numFmtId="0" fontId="58" fillId="0" borderId="0" xfId="0" applyFont="1" applyFill="1"/>
    <xf numFmtId="0" fontId="58" fillId="0" borderId="0" xfId="0" applyFont="1" applyFill="1" applyAlignment="1">
      <alignment horizontal="right"/>
    </xf>
    <xf numFmtId="0" fontId="0" fillId="0" borderId="0" xfId="0" applyFill="1"/>
    <xf numFmtId="0" fontId="58" fillId="7" borderId="0" xfId="0" applyFont="1" applyFill="1"/>
    <xf numFmtId="0" fontId="58" fillId="7" borderId="8" xfId="0" applyFont="1" applyFill="1" applyBorder="1"/>
    <xf numFmtId="0" fontId="58" fillId="7" borderId="12" xfId="0" applyFont="1" applyFill="1" applyBorder="1"/>
    <xf numFmtId="0" fontId="61" fillId="7" borderId="5" xfId="0" applyFont="1" applyFill="1" applyBorder="1"/>
    <xf numFmtId="0" fontId="61" fillId="7" borderId="6" xfId="0" applyFont="1" applyFill="1" applyBorder="1"/>
    <xf numFmtId="0" fontId="58" fillId="12" borderId="5" xfId="0" applyFont="1" applyFill="1" applyBorder="1"/>
    <xf numFmtId="0" fontId="58" fillId="7" borderId="6" xfId="0" quotePrefix="1" applyFont="1" applyFill="1" applyBorder="1"/>
    <xf numFmtId="0" fontId="58" fillId="13" borderId="6" xfId="0" applyFont="1" applyFill="1" applyBorder="1"/>
    <xf numFmtId="0" fontId="6" fillId="0" borderId="0" xfId="0" applyFont="1"/>
    <xf numFmtId="0" fontId="5" fillId="0" borderId="0" xfId="0" applyFont="1"/>
    <xf numFmtId="0" fontId="58" fillId="14" borderId="5" xfId="0" applyFont="1" applyFill="1" applyBorder="1"/>
    <xf numFmtId="0" fontId="58" fillId="14" borderId="12" xfId="0" applyFont="1" applyFill="1" applyBorder="1"/>
    <xf numFmtId="0" fontId="58" fillId="0" borderId="0" xfId="0" applyFont="1" applyBorder="1" applyAlignment="1">
      <alignment horizontal="left"/>
    </xf>
    <xf numFmtId="0" fontId="4" fillId="0" borderId="0" xfId="0" applyFont="1"/>
    <xf numFmtId="0" fontId="3" fillId="0" borderId="0" xfId="0" applyFont="1"/>
    <xf numFmtId="0" fontId="3" fillId="7" borderId="0" xfId="0" applyFont="1" applyFill="1"/>
    <xf numFmtId="0" fontId="2" fillId="6" borderId="0" xfId="0" applyFont="1" applyFill="1"/>
    <xf numFmtId="0" fontId="1" fillId="0" borderId="0" xfId="0" applyFont="1"/>
    <xf numFmtId="0" fontId="58" fillId="0" borderId="6" xfId="0" applyFont="1" applyFill="1" applyBorder="1"/>
    <xf numFmtId="9" fontId="59" fillId="2" borderId="1" xfId="0" applyNumberFormat="1" applyFont="1" applyFill="1" applyBorder="1" applyAlignment="1">
      <alignment horizontal="center" vertical="center"/>
    </xf>
    <xf numFmtId="0" fontId="60" fillId="0" borderId="2" xfId="0" applyFont="1" applyBorder="1"/>
    <xf numFmtId="0" fontId="58" fillId="3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0" fontId="58" fillId="3" borderId="10" xfId="0" applyFont="1" applyFill="1" applyBorder="1" applyAlignment="1">
      <alignment horizontal="center"/>
    </xf>
    <xf numFmtId="0" fontId="60" fillId="0" borderId="11" xfId="0" applyFont="1" applyBorder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10476"/>
  <sheetViews>
    <sheetView tabSelected="1" topLeftCell="C1" zoomScaleNormal="100" workbookViewId="0">
      <selection activeCell="I3" sqref="I3"/>
    </sheetView>
  </sheetViews>
  <sheetFormatPr defaultColWidth="14.44140625" defaultRowHeight="15" customHeight="1" x14ac:dyDescent="0.3"/>
  <cols>
    <col min="1" max="1" width="40.77734375" customWidth="1"/>
    <col min="2" max="2" width="8" customWidth="1"/>
    <col min="3" max="3" width="15.77734375" customWidth="1"/>
    <col min="4" max="4" width="8.5546875" customWidth="1"/>
    <col min="5" max="5" width="43.6640625" customWidth="1"/>
    <col min="6" max="6" width="7.109375" style="49" customWidth="1"/>
    <col min="7" max="7" width="6.109375" customWidth="1"/>
    <col min="8" max="8" width="34" customWidth="1"/>
    <col min="9" max="9" width="6.109375" customWidth="1"/>
    <col min="10" max="10" width="5.88671875" customWidth="1"/>
    <col min="11" max="11" width="29.44140625" customWidth="1"/>
    <col min="12" max="12" width="6.109375" customWidth="1"/>
    <col min="13" max="13" width="28.44140625" customWidth="1"/>
    <col min="14" max="14" width="7.44140625" customWidth="1"/>
    <col min="15" max="15" width="28.88671875" customWidth="1"/>
    <col min="16" max="16" width="6.88671875" customWidth="1"/>
    <col min="17" max="17" width="32.6640625" customWidth="1"/>
    <col min="18" max="21" width="8.6640625" customWidth="1"/>
  </cols>
  <sheetData>
    <row r="1" spans="1:17" ht="15.6" x14ac:dyDescent="0.3">
      <c r="A1" s="73" t="s">
        <v>1854</v>
      </c>
      <c r="B1" s="73" t="s">
        <v>995</v>
      </c>
      <c r="C1" s="73" t="s">
        <v>12631</v>
      </c>
      <c r="D1" s="73"/>
      <c r="E1" s="111"/>
      <c r="F1" s="112"/>
      <c r="G1" s="1"/>
      <c r="H1" s="114" t="s">
        <v>10592</v>
      </c>
      <c r="I1" s="112"/>
      <c r="J1" s="45"/>
      <c r="K1" s="2" t="s">
        <v>0</v>
      </c>
      <c r="M1" s="3">
        <v>5</v>
      </c>
      <c r="O1" s="3">
        <v>-5</v>
      </c>
      <c r="Q1" s="3">
        <v>10</v>
      </c>
    </row>
    <row r="2" spans="1:17" ht="14.4" x14ac:dyDescent="0.3">
      <c r="A2" t="s">
        <v>2021</v>
      </c>
      <c r="B2">
        <f>I3</f>
        <v>60</v>
      </c>
      <c r="C2" t="s">
        <v>12633</v>
      </c>
      <c r="E2" s="113" t="s">
        <v>1</v>
      </c>
      <c r="F2" s="112"/>
      <c r="H2" s="4" t="s">
        <v>2</v>
      </c>
      <c r="I2" s="5"/>
      <c r="J2" s="5"/>
      <c r="K2" s="4" t="s">
        <v>2</v>
      </c>
      <c r="M2" s="4" t="s">
        <v>2</v>
      </c>
      <c r="O2" s="4" t="s">
        <v>2</v>
      </c>
      <c r="Q2" s="4" t="s">
        <v>2</v>
      </c>
    </row>
    <row r="3" spans="1:17" ht="14.4" x14ac:dyDescent="0.3">
      <c r="A3" t="s">
        <v>1856</v>
      </c>
      <c r="B3">
        <f>I4</f>
        <v>65</v>
      </c>
      <c r="C3" t="s">
        <v>12635</v>
      </c>
      <c r="E3" s="85" t="s">
        <v>3</v>
      </c>
      <c r="F3" s="6">
        <v>60</v>
      </c>
      <c r="H3" s="4" t="s">
        <v>4</v>
      </c>
      <c r="I3" s="5">
        <f>F3</f>
        <v>60</v>
      </c>
      <c r="J3" s="5"/>
      <c r="K3" s="4" t="str">
        <f t="shared" ref="K3:K122" si="0">CONCATENATE(H3,I3,",00")</f>
        <v>A01 (M)          = R$ 60,00</v>
      </c>
      <c r="M3" s="4" t="str">
        <f t="shared" ref="M3:M122" si="1">CONCATENATE(H3,I3+5,",00")</f>
        <v>A01 (M)          = R$ 65,00</v>
      </c>
      <c r="O3" s="4" t="str">
        <f t="shared" ref="O3:O178" si="2">CONCATENATE(H3,I3-5,",00")</f>
        <v>A01 (M)          = R$ 55,00</v>
      </c>
      <c r="Q3" s="4" t="str">
        <f t="shared" ref="Q3:Q48" si="3">CONCATENATE(H3,I3+10,",00")</f>
        <v>A01 (M)          = R$ 70,00</v>
      </c>
    </row>
    <row r="4" spans="1:17" ht="14.4" x14ac:dyDescent="0.3">
      <c r="A4" t="s">
        <v>2333</v>
      </c>
      <c r="B4">
        <f>I5</f>
        <v>80</v>
      </c>
      <c r="C4" t="s">
        <v>12634</v>
      </c>
      <c r="E4" s="85" t="s">
        <v>10720</v>
      </c>
      <c r="F4" s="6">
        <v>65</v>
      </c>
      <c r="H4" s="4" t="s">
        <v>5</v>
      </c>
      <c r="I4" s="5">
        <f t="shared" ref="I3:J4" si="4">F4</f>
        <v>65</v>
      </c>
      <c r="J4" s="5"/>
      <c r="K4" s="4" t="str">
        <f t="shared" si="0"/>
        <v>A01 (M) c/aro     = R$ 65,00</v>
      </c>
      <c r="M4" s="4" t="str">
        <f t="shared" si="1"/>
        <v>A01 (M) c/aro     = R$ 70,00</v>
      </c>
      <c r="O4" s="4" t="str">
        <f t="shared" si="2"/>
        <v>A01 (M) c/aro     = R$ 60,00</v>
      </c>
      <c r="Q4" s="4" t="str">
        <f t="shared" si="3"/>
        <v>A01 (M) c/aro     = R$ 75,00</v>
      </c>
    </row>
    <row r="5" spans="1:17" ht="14.4" x14ac:dyDescent="0.3">
      <c r="A5" t="s">
        <v>2493</v>
      </c>
      <c r="B5">
        <f>I5</f>
        <v>80</v>
      </c>
      <c r="C5" t="s">
        <v>12634</v>
      </c>
      <c r="E5" s="85" t="s">
        <v>6</v>
      </c>
      <c r="F5" s="6">
        <v>80</v>
      </c>
      <c r="H5" s="4" t="s">
        <v>7</v>
      </c>
      <c r="I5" s="5">
        <f t="shared" ref="I5:J32" si="5">F5</f>
        <v>80</v>
      </c>
      <c r="J5" s="5"/>
      <c r="K5" s="4" t="str">
        <f>CONCATENATE(H5,I5,",00")</f>
        <v>A01 (M) c/aro Nacional=R$ 80,00</v>
      </c>
      <c r="M5" s="4" t="str">
        <f t="shared" ref="M5" si="6">CONCATENATE(H5,I5+5,",00")</f>
        <v>A01 (M) c/aro Nacional=R$ 85,00</v>
      </c>
      <c r="O5" s="4" t="str">
        <f t="shared" ref="O5" si="7">CONCATENATE(H5,I5-5,",00")</f>
        <v>A01 (M) c/aro Nacional=R$ 75,00</v>
      </c>
      <c r="Q5" s="4" t="str">
        <f t="shared" ref="Q5" si="8">CONCATENATE(H5,I5+10,",00")</f>
        <v>A01 (M) c/aro Nacional=R$ 90,00</v>
      </c>
    </row>
    <row r="6" spans="1:17" ht="14.4" x14ac:dyDescent="0.3">
      <c r="A6" t="s">
        <v>11406</v>
      </c>
      <c r="B6">
        <f>I6</f>
        <v>90</v>
      </c>
      <c r="E6" s="86" t="s">
        <v>12831</v>
      </c>
      <c r="F6" s="6">
        <v>90</v>
      </c>
      <c r="H6" s="4" t="s">
        <v>11276</v>
      </c>
      <c r="I6" s="5">
        <f t="shared" si="5"/>
        <v>90</v>
      </c>
      <c r="J6" s="5"/>
      <c r="K6" s="4" t="str">
        <f>CONCATENATE(H6,I6,",00")</f>
        <v>A01 (M) c/aro Nac Diamonds= 90,00</v>
      </c>
      <c r="M6" s="4" t="str">
        <f t="shared" si="1"/>
        <v>A01 (M) c/aro Nac Diamonds= 95,00</v>
      </c>
      <c r="O6" s="4" t="str">
        <f t="shared" si="2"/>
        <v>A01 (M) c/aro Nac Diamonds= 85,00</v>
      </c>
      <c r="Q6" s="4" t="str">
        <f t="shared" si="3"/>
        <v>A01 (M) c/aro Nac Diamonds= 100,00</v>
      </c>
    </row>
    <row r="7" spans="1:17" ht="14.4" x14ac:dyDescent="0.3">
      <c r="A7" t="s">
        <v>11407</v>
      </c>
      <c r="B7">
        <f>I6</f>
        <v>90</v>
      </c>
      <c r="C7" s="20" t="s">
        <v>2891</v>
      </c>
      <c r="D7" s="20"/>
      <c r="E7" s="85" t="s">
        <v>8</v>
      </c>
      <c r="F7" s="6">
        <v>60</v>
      </c>
      <c r="H7" s="4" t="s">
        <v>9</v>
      </c>
      <c r="I7" s="5">
        <f t="shared" si="5"/>
        <v>60</v>
      </c>
      <c r="J7" s="5"/>
      <c r="K7" s="4" t="str">
        <f t="shared" si="0"/>
        <v>A01 Core            = R$ 60,00</v>
      </c>
      <c r="M7" s="4" t="str">
        <f t="shared" si="1"/>
        <v>A01 Core            = R$ 65,00</v>
      </c>
      <c r="O7" s="4" t="str">
        <f t="shared" si="2"/>
        <v>A01 Core            = R$ 55,00</v>
      </c>
      <c r="Q7" s="4" t="str">
        <f t="shared" si="3"/>
        <v>A01 Core            = R$ 70,00</v>
      </c>
    </row>
    <row r="8" spans="1:17" ht="14.4" x14ac:dyDescent="0.3">
      <c r="A8" t="s">
        <v>2020</v>
      </c>
      <c r="B8">
        <f>I7</f>
        <v>60</v>
      </c>
      <c r="C8" t="s">
        <v>12636</v>
      </c>
      <c r="E8" s="85" t="s">
        <v>10721</v>
      </c>
      <c r="F8" s="6">
        <v>65</v>
      </c>
      <c r="H8" s="4" t="s">
        <v>10</v>
      </c>
      <c r="I8" s="5">
        <f t="shared" si="5"/>
        <v>65</v>
      </c>
      <c r="J8" s="5"/>
      <c r="K8" s="4" t="str">
        <f t="shared" si="0"/>
        <v>A01 Core c/aro      = R$ 65,00</v>
      </c>
      <c r="M8" s="4" t="str">
        <f t="shared" si="1"/>
        <v>A01 Core c/aro      = R$ 70,00</v>
      </c>
      <c r="O8" s="4" t="str">
        <f t="shared" si="2"/>
        <v>A01 Core c/aro      = R$ 60,00</v>
      </c>
      <c r="Q8" s="4" t="str">
        <f t="shared" si="3"/>
        <v>A01 Core c/aro      = R$ 75,00</v>
      </c>
    </row>
    <row r="9" spans="1:17" ht="14.4" x14ac:dyDescent="0.3">
      <c r="A9" t="s">
        <v>1855</v>
      </c>
      <c r="B9">
        <f>I8</f>
        <v>65</v>
      </c>
      <c r="C9" t="s">
        <v>12637</v>
      </c>
      <c r="E9" s="85" t="s">
        <v>11</v>
      </c>
      <c r="F9" s="6">
        <v>80</v>
      </c>
      <c r="H9" s="4" t="s">
        <v>12</v>
      </c>
      <c r="I9" s="5">
        <f t="shared" si="5"/>
        <v>80</v>
      </c>
      <c r="J9" s="5"/>
      <c r="K9" s="4" t="str">
        <f t="shared" ref="K9" si="9">CONCATENATE(H9,I9,",00")</f>
        <v>A01 Core c/aro Nacional= R$ 80,00</v>
      </c>
      <c r="M9" s="4" t="str">
        <f t="shared" ref="M9" si="10">CONCATENATE(H9,I9+5,",00")</f>
        <v>A01 Core c/aro Nacional= R$ 85,00</v>
      </c>
      <c r="O9" s="4" t="str">
        <f t="shared" ref="O9" si="11">CONCATENATE(H9,I9-5,",00")</f>
        <v>A01 Core c/aro Nacional= R$ 75,00</v>
      </c>
      <c r="Q9" s="4" t="str">
        <f t="shared" ref="Q9" si="12">CONCATENATE(H9,I9+10,",00")</f>
        <v>A01 Core c/aro Nacional= R$ 90,00</v>
      </c>
    </row>
    <row r="10" spans="1:17" ht="14.4" x14ac:dyDescent="0.3">
      <c r="A10" t="s">
        <v>2332</v>
      </c>
      <c r="B10">
        <f>I9</f>
        <v>80</v>
      </c>
      <c r="E10" s="85" t="s">
        <v>11274</v>
      </c>
      <c r="F10" s="6">
        <v>90</v>
      </c>
      <c r="H10" s="4" t="s">
        <v>11275</v>
      </c>
      <c r="I10" s="5">
        <f t="shared" si="5"/>
        <v>90</v>
      </c>
      <c r="J10" s="5"/>
      <c r="K10" s="4" t="str">
        <f t="shared" si="0"/>
        <v>A01 Core c/aro Nac Diamonds = 90,00</v>
      </c>
      <c r="M10" s="4" t="str">
        <f t="shared" si="1"/>
        <v>A01 Core c/aro Nac Diamonds = 95,00</v>
      </c>
      <c r="O10" s="4" t="str">
        <f t="shared" si="2"/>
        <v>A01 Core c/aro Nac Diamonds = 85,00</v>
      </c>
      <c r="Q10" s="4" t="str">
        <f t="shared" si="3"/>
        <v>A01 Core c/aro Nac Diamonds = 100,00</v>
      </c>
    </row>
    <row r="11" spans="1:17" ht="14.4" x14ac:dyDescent="0.3">
      <c r="A11" t="s">
        <v>2494</v>
      </c>
      <c r="B11">
        <f>I9</f>
        <v>80</v>
      </c>
      <c r="E11" s="86" t="s">
        <v>10722</v>
      </c>
      <c r="F11" s="16">
        <v>60</v>
      </c>
      <c r="H11" s="4" t="s">
        <v>13</v>
      </c>
      <c r="I11" s="5">
        <f t="shared" si="5"/>
        <v>60</v>
      </c>
      <c r="J11" s="5"/>
      <c r="K11" s="4" t="str">
        <f>CONCATENATE(H11,I11,",00")</f>
        <v>A02 - orig         = R$ 60,00</v>
      </c>
      <c r="M11" s="4" t="str">
        <f t="shared" si="1"/>
        <v>A02 - orig         = R$ 65,00</v>
      </c>
      <c r="O11" s="4" t="str">
        <f t="shared" si="2"/>
        <v>A02 - orig         = R$ 55,00</v>
      </c>
      <c r="Q11" s="4" t="str">
        <f t="shared" si="3"/>
        <v>A02 - orig         = R$ 70,00</v>
      </c>
    </row>
    <row r="12" spans="1:17" ht="14.4" x14ac:dyDescent="0.3">
      <c r="A12" t="s">
        <v>11408</v>
      </c>
      <c r="B12">
        <f>I10</f>
        <v>90</v>
      </c>
      <c r="E12" s="85" t="s">
        <v>11173</v>
      </c>
      <c r="F12" s="6">
        <v>65</v>
      </c>
      <c r="H12" s="4" t="s">
        <v>14</v>
      </c>
      <c r="I12" s="5">
        <f t="shared" si="5"/>
        <v>65</v>
      </c>
      <c r="J12" s="5"/>
      <c r="K12" s="4" t="str">
        <f t="shared" si="0"/>
        <v>A02 c/aro - orig     = R$ 65,00</v>
      </c>
      <c r="M12" s="4" t="str">
        <f t="shared" si="1"/>
        <v>A02 c/aro - orig     = R$ 70,00</v>
      </c>
      <c r="O12" s="4" t="str">
        <f t="shared" si="2"/>
        <v>A02 c/aro - orig     = R$ 60,00</v>
      </c>
      <c r="Q12" s="4" t="str">
        <f t="shared" si="3"/>
        <v>A02 c/aro - orig     = R$ 75,00</v>
      </c>
    </row>
    <row r="13" spans="1:17" ht="14.4" x14ac:dyDescent="0.3">
      <c r="A13" t="s">
        <v>11409</v>
      </c>
      <c r="B13">
        <f>I10</f>
        <v>90</v>
      </c>
      <c r="E13" s="85" t="s">
        <v>15</v>
      </c>
      <c r="F13" s="6">
        <v>80</v>
      </c>
      <c r="H13" s="4" t="s">
        <v>16</v>
      </c>
      <c r="I13" s="5">
        <f t="shared" si="5"/>
        <v>80</v>
      </c>
      <c r="J13" s="5"/>
      <c r="K13" s="4" t="str">
        <f t="shared" ref="K13" si="13">CONCATENATE(H13,I13,",00")</f>
        <v>A02 c/aro Nacional  = R$ 80,00</v>
      </c>
      <c r="M13" s="4" t="str">
        <f t="shared" ref="M13" si="14">CONCATENATE(H13,I13+5,",00")</f>
        <v>A02 c/aro Nacional  = R$ 85,00</v>
      </c>
      <c r="O13" s="4" t="str">
        <f t="shared" ref="O13" si="15">CONCATENATE(H13,I13-5,",00")</f>
        <v>A02 c/aro Nacional  = R$ 75,00</v>
      </c>
      <c r="Q13" s="4" t="str">
        <f t="shared" ref="Q13" si="16">CONCATENATE(H13,I13+10,",00")</f>
        <v>A02 c/aro Nacional  = R$ 90,00</v>
      </c>
    </row>
    <row r="14" spans="1:17" ht="14.4" x14ac:dyDescent="0.3">
      <c r="A14" t="s">
        <v>3031</v>
      </c>
      <c r="B14">
        <f>I11</f>
        <v>60</v>
      </c>
      <c r="C14" t="s">
        <v>12632</v>
      </c>
      <c r="E14" s="85" t="s">
        <v>11277</v>
      </c>
      <c r="F14" s="6">
        <v>90</v>
      </c>
      <c r="H14" s="4" t="s">
        <v>11280</v>
      </c>
      <c r="I14" s="5">
        <f t="shared" si="5"/>
        <v>90</v>
      </c>
      <c r="J14" s="5"/>
      <c r="K14" s="4" t="str">
        <f t="shared" si="0"/>
        <v>A02 c/aro Nac Diamonds = 90,00</v>
      </c>
      <c r="M14" s="4" t="str">
        <f t="shared" si="1"/>
        <v>A02 c/aro Nac Diamonds = 95,00</v>
      </c>
      <c r="O14" s="4" t="str">
        <f t="shared" si="2"/>
        <v>A02 c/aro Nac Diamonds = 85,00</v>
      </c>
      <c r="Q14" s="4" t="str">
        <f t="shared" si="3"/>
        <v>A02 c/aro Nac Diamonds = 100,00</v>
      </c>
    </row>
    <row r="15" spans="1:17" ht="14.4" x14ac:dyDescent="0.3">
      <c r="A15" t="s">
        <v>1857</v>
      </c>
      <c r="B15">
        <f>I12</f>
        <v>65</v>
      </c>
      <c r="C15" t="s">
        <v>12638</v>
      </c>
      <c r="E15" s="85" t="s">
        <v>11174</v>
      </c>
      <c r="F15" s="6">
        <v>65</v>
      </c>
      <c r="H15" s="4" t="s">
        <v>17</v>
      </c>
      <c r="I15" s="5">
        <f t="shared" si="5"/>
        <v>65</v>
      </c>
      <c r="J15" s="5"/>
      <c r="K15" s="4" t="str">
        <f t="shared" si="0"/>
        <v>A02s c/aro         = R$ 65,00</v>
      </c>
      <c r="M15" s="4" t="str">
        <f t="shared" si="1"/>
        <v>A02s c/aro         = R$ 70,00</v>
      </c>
      <c r="O15" s="4" t="str">
        <f t="shared" si="2"/>
        <v>A02s c/aro         = R$ 60,00</v>
      </c>
      <c r="Q15" s="4" t="str">
        <f t="shared" si="3"/>
        <v>A02s c/aro         = R$ 75,00</v>
      </c>
    </row>
    <row r="16" spans="1:17" ht="14.4" x14ac:dyDescent="0.3">
      <c r="A16" t="s">
        <v>2334</v>
      </c>
      <c r="B16">
        <f>I13</f>
        <v>80</v>
      </c>
      <c r="C16" t="s">
        <v>12639</v>
      </c>
      <c r="E16" s="85" t="s">
        <v>18</v>
      </c>
      <c r="F16" s="6">
        <v>80</v>
      </c>
      <c r="H16" s="4" t="s">
        <v>19</v>
      </c>
      <c r="I16" s="5">
        <f t="shared" si="5"/>
        <v>80</v>
      </c>
      <c r="J16" s="5"/>
      <c r="K16" s="4" t="str">
        <f t="shared" ref="K16" si="17">CONCATENATE(H16,I16,",00")</f>
        <v>A02s c/aro Nacional = R$ 80,00</v>
      </c>
      <c r="M16" s="4" t="str">
        <f t="shared" ref="M16" si="18">CONCATENATE(H16,I16+5,",00")</f>
        <v>A02s c/aro Nacional = R$ 85,00</v>
      </c>
      <c r="O16" s="4" t="str">
        <f t="shared" ref="O16" si="19">CONCATENATE(H16,I16-5,",00")</f>
        <v>A02s c/aro Nacional = R$ 75,00</v>
      </c>
      <c r="Q16" s="4" t="str">
        <f t="shared" ref="Q16" si="20">CONCATENATE(H16,I16+10,",00")</f>
        <v>A02s c/aro Nacional = R$ 90,00</v>
      </c>
    </row>
    <row r="17" spans="1:17" ht="14.4" x14ac:dyDescent="0.3">
      <c r="A17" t="s">
        <v>2495</v>
      </c>
      <c r="B17">
        <f>I13</f>
        <v>80</v>
      </c>
      <c r="C17" t="s">
        <v>12639</v>
      </c>
      <c r="E17" s="85" t="s">
        <v>11278</v>
      </c>
      <c r="F17" s="6">
        <v>90</v>
      </c>
      <c r="H17" s="4" t="s">
        <v>11281</v>
      </c>
      <c r="I17" s="5">
        <f t="shared" si="5"/>
        <v>90</v>
      </c>
      <c r="J17" s="5"/>
      <c r="K17" s="4" t="str">
        <f t="shared" si="0"/>
        <v>A02s c/aro Nac Diamonds = 90,00</v>
      </c>
      <c r="M17" s="4" t="str">
        <f t="shared" si="1"/>
        <v>A02s c/aro Nac Diamonds = 95,00</v>
      </c>
      <c r="O17" s="4" t="str">
        <f t="shared" si="2"/>
        <v>A02s c/aro Nac Diamonds = 85,00</v>
      </c>
      <c r="Q17" s="4" t="str">
        <f t="shared" si="3"/>
        <v>A02s c/aro Nac Diamonds = 100,00</v>
      </c>
    </row>
    <row r="18" spans="1:17" ht="14.4" x14ac:dyDescent="0.3">
      <c r="A18" t="s">
        <v>11410</v>
      </c>
      <c r="B18">
        <f>I14</f>
        <v>90</v>
      </c>
      <c r="E18" s="85" t="s">
        <v>20</v>
      </c>
      <c r="F18" s="6">
        <v>60</v>
      </c>
      <c r="H18" s="4" t="s">
        <v>21</v>
      </c>
      <c r="I18" s="5">
        <f t="shared" si="5"/>
        <v>60</v>
      </c>
      <c r="J18" s="5"/>
      <c r="K18" s="4" t="str">
        <f t="shared" si="0"/>
        <v>A02s/A03/A03s      = R$ 60,00</v>
      </c>
      <c r="M18" s="4" t="str">
        <f t="shared" si="1"/>
        <v>A02s/A03/A03s      = R$ 65,00</v>
      </c>
      <c r="O18" s="4" t="str">
        <f t="shared" si="2"/>
        <v>A02s/A03/A03s      = R$ 55,00</v>
      </c>
      <c r="Q18" s="4" t="str">
        <f t="shared" si="3"/>
        <v>A02s/A03/A03s      = R$ 70,00</v>
      </c>
    </row>
    <row r="19" spans="1:17" ht="14.4" x14ac:dyDescent="0.3">
      <c r="A19" t="s">
        <v>11411</v>
      </c>
      <c r="B19">
        <f>I14</f>
        <v>90</v>
      </c>
      <c r="E19" s="85" t="s">
        <v>22</v>
      </c>
      <c r="F19" s="6">
        <v>65</v>
      </c>
      <c r="H19" s="4" t="s">
        <v>23</v>
      </c>
      <c r="I19" s="5">
        <f t="shared" si="5"/>
        <v>65</v>
      </c>
      <c r="J19" s="5"/>
      <c r="K19" s="4" t="str">
        <f t="shared" si="0"/>
        <v>A03 c/aro          = R$ 65,00</v>
      </c>
      <c r="M19" s="4" t="str">
        <f t="shared" si="1"/>
        <v>A03 c/aro          = R$ 70,00</v>
      </c>
      <c r="O19" s="4" t="str">
        <f t="shared" si="2"/>
        <v>A03 c/aro          = R$ 60,00</v>
      </c>
      <c r="Q19" s="4" t="str">
        <f t="shared" si="3"/>
        <v>A03 c/aro          = R$ 75,00</v>
      </c>
    </row>
    <row r="20" spans="1:17" ht="14.4" x14ac:dyDescent="0.3">
      <c r="A20" s="39" t="s">
        <v>2022</v>
      </c>
      <c r="B20">
        <f>I18</f>
        <v>60</v>
      </c>
      <c r="C20" t="s">
        <v>12641</v>
      </c>
      <c r="E20" s="85" t="s">
        <v>24</v>
      </c>
      <c r="F20" s="6">
        <v>85</v>
      </c>
      <c r="H20" s="4" t="s">
        <v>25</v>
      </c>
      <c r="I20" s="5">
        <f t="shared" si="5"/>
        <v>85</v>
      </c>
      <c r="J20" s="5"/>
      <c r="K20" s="4" t="str">
        <f t="shared" ref="K20" si="21">CONCATENATE(H20,I20,",00")</f>
        <v>A03 c/aro Nacional = R$ 85,00</v>
      </c>
      <c r="M20" s="4" t="str">
        <f t="shared" ref="M20" si="22">CONCATENATE(H20,I20+5,",00")</f>
        <v>A03 c/aro Nacional = R$ 90,00</v>
      </c>
      <c r="O20" s="4" t="str">
        <f t="shared" ref="O20" si="23">CONCATENATE(H20,I20-5,",00")</f>
        <v>A03 c/aro Nacional = R$ 80,00</v>
      </c>
      <c r="Q20" s="4" t="str">
        <f t="shared" ref="Q20" si="24">CONCATENATE(H20,I20+10,",00")</f>
        <v>A03 c/aro Nacional = R$ 95,00</v>
      </c>
    </row>
    <row r="21" spans="1:17" ht="15.75" customHeight="1" x14ac:dyDescent="0.3">
      <c r="A21" t="s">
        <v>1858</v>
      </c>
      <c r="B21">
        <f>I15</f>
        <v>65</v>
      </c>
      <c r="C21" t="s">
        <v>12640</v>
      </c>
      <c r="E21" s="85" t="s">
        <v>11279</v>
      </c>
      <c r="F21" s="6">
        <v>95</v>
      </c>
      <c r="H21" s="4" t="s">
        <v>11282</v>
      </c>
      <c r="I21" s="5">
        <f t="shared" si="5"/>
        <v>95</v>
      </c>
      <c r="J21" s="5"/>
      <c r="K21" s="4" t="str">
        <f t="shared" si="0"/>
        <v>A03 c/aro Nac Diamonds = 95,00</v>
      </c>
      <c r="M21" s="4" t="str">
        <f t="shared" si="1"/>
        <v>A03 c/aro Nac Diamonds = 100,00</v>
      </c>
      <c r="O21" s="4" t="str">
        <f t="shared" si="2"/>
        <v>A03 c/aro Nac Diamonds = 90,00</v>
      </c>
      <c r="Q21" s="4" t="str">
        <f t="shared" si="3"/>
        <v>A03 c/aro Nac Diamonds = 105,00</v>
      </c>
    </row>
    <row r="22" spans="1:17" ht="15.75" customHeight="1" x14ac:dyDescent="0.3">
      <c r="A22" t="s">
        <v>2335</v>
      </c>
      <c r="B22">
        <f>I16</f>
        <v>80</v>
      </c>
      <c r="C22" t="s">
        <v>12642</v>
      </c>
      <c r="E22" s="85" t="s">
        <v>26</v>
      </c>
      <c r="F22" s="6">
        <v>65</v>
      </c>
      <c r="H22" s="4" t="s">
        <v>27</v>
      </c>
      <c r="I22" s="5">
        <f t="shared" si="5"/>
        <v>65</v>
      </c>
      <c r="J22" s="5"/>
      <c r="K22" s="4" t="str">
        <f t="shared" si="0"/>
        <v>A03s c/aro         = R$ 65,00</v>
      </c>
      <c r="M22" s="4" t="str">
        <f t="shared" si="1"/>
        <v>A03s c/aro         = R$ 70,00</v>
      </c>
      <c r="O22" s="4" t="str">
        <f t="shared" si="2"/>
        <v>A03s c/aro         = R$ 60,00</v>
      </c>
      <c r="Q22" s="4" t="str">
        <f t="shared" si="3"/>
        <v>A03s c/aro         = R$ 75,00</v>
      </c>
    </row>
    <row r="23" spans="1:17" ht="15.75" customHeight="1" x14ac:dyDescent="0.3">
      <c r="A23" t="s">
        <v>2496</v>
      </c>
      <c r="B23">
        <f>I16</f>
        <v>80</v>
      </c>
      <c r="C23" t="s">
        <v>12642</v>
      </c>
      <c r="E23" s="85" t="s">
        <v>28</v>
      </c>
      <c r="F23" s="6">
        <v>80</v>
      </c>
      <c r="H23" s="4" t="s">
        <v>29</v>
      </c>
      <c r="I23" s="5">
        <f t="shared" si="5"/>
        <v>80</v>
      </c>
      <c r="J23" s="5"/>
      <c r="K23" s="4" t="str">
        <f t="shared" ref="K23" si="25">CONCATENATE(H23,I23,",00")</f>
        <v>A03s c/aro Nacional = R$ 80,00</v>
      </c>
      <c r="M23" s="4" t="str">
        <f t="shared" ref="M23" si="26">CONCATENATE(H23,I23+5,",00")</f>
        <v>A03s c/aro Nacional = R$ 85,00</v>
      </c>
      <c r="O23" s="4" t="str">
        <f t="shared" ref="O23" si="27">CONCATENATE(H23,I23-5,",00")</f>
        <v>A03s c/aro Nacional = R$ 75,00</v>
      </c>
      <c r="Q23" s="4" t="str">
        <f t="shared" ref="Q23" si="28">CONCATENATE(H23,I23+10,",00")</f>
        <v>A03s c/aro Nacional = R$ 90,00</v>
      </c>
    </row>
    <row r="24" spans="1:17" ht="15.75" customHeight="1" x14ac:dyDescent="0.3">
      <c r="A24" t="s">
        <v>11412</v>
      </c>
      <c r="B24">
        <f>I17</f>
        <v>90</v>
      </c>
      <c r="E24" s="85" t="s">
        <v>11283</v>
      </c>
      <c r="F24" s="6">
        <v>90</v>
      </c>
      <c r="H24" s="4" t="s">
        <v>11284</v>
      </c>
      <c r="I24" s="5">
        <f t="shared" si="5"/>
        <v>90</v>
      </c>
      <c r="J24" s="5"/>
      <c r="K24" s="4" t="str">
        <f t="shared" si="0"/>
        <v>A03s c/aro Nac Diamonds = 90,00</v>
      </c>
      <c r="M24" s="4" t="str">
        <f t="shared" si="1"/>
        <v>A03s c/aro Nac Diamonds = 95,00</v>
      </c>
      <c r="O24" s="4" t="str">
        <f t="shared" si="2"/>
        <v>A03s c/aro Nac Diamonds = 85,00</v>
      </c>
      <c r="Q24" s="4" t="str">
        <f t="shared" si="3"/>
        <v>A03s c/aro Nac Diamonds = 100,00</v>
      </c>
    </row>
    <row r="25" spans="1:17" ht="15.75" customHeight="1" x14ac:dyDescent="0.3">
      <c r="A25" t="s">
        <v>11413</v>
      </c>
      <c r="B25">
        <f>I17</f>
        <v>90</v>
      </c>
      <c r="E25" s="85" t="s">
        <v>30</v>
      </c>
      <c r="F25" s="6">
        <v>60</v>
      </c>
      <c r="H25" s="4" t="s">
        <v>31</v>
      </c>
      <c r="I25" s="5">
        <f t="shared" si="5"/>
        <v>60</v>
      </c>
      <c r="J25" s="5"/>
      <c r="K25" s="4" t="str">
        <f t="shared" si="0"/>
        <v>A03 Core         = R$ 60,00</v>
      </c>
      <c r="M25" s="4" t="str">
        <f t="shared" si="1"/>
        <v>A03 Core         = R$ 65,00</v>
      </c>
      <c r="O25" s="4" t="str">
        <f t="shared" si="2"/>
        <v>A03 Core         = R$ 55,00</v>
      </c>
      <c r="Q25" s="4" t="str">
        <f t="shared" si="3"/>
        <v>A03 Core         = R$ 70,00</v>
      </c>
    </row>
    <row r="26" spans="1:17" ht="15.75" customHeight="1" x14ac:dyDescent="0.3">
      <c r="A26" t="s">
        <v>10547</v>
      </c>
      <c r="B26">
        <f>I11</f>
        <v>60</v>
      </c>
      <c r="C26" t="s">
        <v>12632</v>
      </c>
      <c r="E26" s="85" t="s">
        <v>32</v>
      </c>
      <c r="F26" s="6">
        <v>65</v>
      </c>
      <c r="H26" s="4" t="s">
        <v>33</v>
      </c>
      <c r="I26" s="5">
        <f t="shared" si="5"/>
        <v>65</v>
      </c>
      <c r="J26" s="5"/>
      <c r="K26" s="4" t="str">
        <f t="shared" si="0"/>
        <v>A03 Core c/aro   = R$ 65,00</v>
      </c>
      <c r="M26" s="4" t="str">
        <f t="shared" si="1"/>
        <v>A03 Core c/aro   = R$ 70,00</v>
      </c>
      <c r="O26" s="4" t="str">
        <f t="shared" si="2"/>
        <v>A03 Core c/aro   = R$ 60,00</v>
      </c>
      <c r="Q26" s="4" t="str">
        <f t="shared" si="3"/>
        <v>A03 Core c/aro   = R$ 75,00</v>
      </c>
    </row>
    <row r="27" spans="1:17" ht="15.75" customHeight="1" x14ac:dyDescent="0.3">
      <c r="A27" t="s">
        <v>3034</v>
      </c>
      <c r="B27">
        <f>I18</f>
        <v>60</v>
      </c>
      <c r="C27" t="s">
        <v>12641</v>
      </c>
      <c r="E27" s="85" t="s">
        <v>11286</v>
      </c>
      <c r="F27" s="6">
        <v>80</v>
      </c>
      <c r="H27" s="4" t="s">
        <v>34</v>
      </c>
      <c r="I27" s="5">
        <f t="shared" si="5"/>
        <v>80</v>
      </c>
      <c r="J27" s="5"/>
      <c r="K27" s="4" t="str">
        <f t="shared" ref="K27" si="29">CONCATENATE(H27,I27,",00")</f>
        <v>A03 Core Nacional c/aro= 80,00</v>
      </c>
      <c r="M27" s="4" t="str">
        <f t="shared" ref="M27" si="30">CONCATENATE(H27,I27+5,",00")</f>
        <v>A03 Core Nacional c/aro= 85,00</v>
      </c>
      <c r="O27" s="4" t="str">
        <f t="shared" ref="O27" si="31">CONCATENATE(H27,I27-5,",00")</f>
        <v>A03 Core Nacional c/aro= 75,00</v>
      </c>
      <c r="Q27" s="4" t="str">
        <f t="shared" ref="Q27" si="32">CONCATENATE(H27,I27+10,",00")</f>
        <v>A03 Core Nacional c/aro= 90,00</v>
      </c>
    </row>
    <row r="28" spans="1:17" ht="15.75" customHeight="1" x14ac:dyDescent="0.3">
      <c r="A28" t="s">
        <v>1860</v>
      </c>
      <c r="B28">
        <f>I19</f>
        <v>65</v>
      </c>
      <c r="C28" t="s">
        <v>12643</v>
      </c>
      <c r="E28" s="85" t="s">
        <v>11287</v>
      </c>
      <c r="F28" s="6">
        <v>90</v>
      </c>
      <c r="H28" s="4" t="s">
        <v>11285</v>
      </c>
      <c r="I28" s="5">
        <f t="shared" si="5"/>
        <v>90</v>
      </c>
      <c r="J28" s="5"/>
      <c r="K28" s="4" t="str">
        <f t="shared" si="0"/>
        <v>A03 Core c/aro Nac Diamonds = 90,00</v>
      </c>
      <c r="M28" s="4" t="str">
        <f t="shared" si="1"/>
        <v>A03 Core c/aro Nac Diamonds = 95,00</v>
      </c>
      <c r="O28" s="4" t="str">
        <f t="shared" si="2"/>
        <v>A03 Core c/aro Nac Diamonds = 85,00</v>
      </c>
      <c r="Q28" s="4" t="str">
        <f t="shared" si="3"/>
        <v>A03 Core c/aro Nac Diamonds = 100,00</v>
      </c>
    </row>
    <row r="29" spans="1:17" ht="15.75" customHeight="1" x14ac:dyDescent="0.3">
      <c r="A29" t="s">
        <v>2337</v>
      </c>
      <c r="B29">
        <f>I20</f>
        <v>85</v>
      </c>
      <c r="C29" t="s">
        <v>12644</v>
      </c>
      <c r="E29" s="85" t="s">
        <v>35</v>
      </c>
      <c r="F29" s="6">
        <v>65</v>
      </c>
      <c r="H29" s="4" t="s">
        <v>36</v>
      </c>
      <c r="I29" s="5">
        <f t="shared" si="5"/>
        <v>65</v>
      </c>
      <c r="J29" s="5"/>
      <c r="K29" s="4" t="str">
        <f t="shared" si="0"/>
        <v>A04            = R$ 65,00</v>
      </c>
      <c r="M29" s="4" t="str">
        <f t="shared" si="1"/>
        <v>A04            = R$ 70,00</v>
      </c>
      <c r="O29" s="4" t="str">
        <f t="shared" si="2"/>
        <v>A04            = R$ 60,00</v>
      </c>
      <c r="Q29" s="4" t="str">
        <f t="shared" si="3"/>
        <v>A04            = R$ 75,00</v>
      </c>
    </row>
    <row r="30" spans="1:17" ht="15.75" customHeight="1" x14ac:dyDescent="0.3">
      <c r="A30" t="s">
        <v>2498</v>
      </c>
      <c r="B30">
        <f>I20</f>
        <v>85</v>
      </c>
      <c r="C30" t="s">
        <v>12644</v>
      </c>
      <c r="E30" s="85" t="s">
        <v>37</v>
      </c>
      <c r="F30" s="6">
        <v>75</v>
      </c>
      <c r="H30" s="4" t="s">
        <v>38</v>
      </c>
      <c r="I30" s="5">
        <f t="shared" si="5"/>
        <v>75</v>
      </c>
      <c r="J30" s="5"/>
      <c r="K30" s="4" t="str">
        <f t="shared" si="0"/>
        <v>A04 c/aro      = R$ 75,00</v>
      </c>
      <c r="M30" s="4" t="str">
        <f t="shared" si="1"/>
        <v>A04 c/aro      = R$ 80,00</v>
      </c>
      <c r="O30" s="4" t="str">
        <f t="shared" si="2"/>
        <v>A04 c/aro      = R$ 70,00</v>
      </c>
      <c r="Q30" s="4" t="str">
        <f t="shared" si="3"/>
        <v>A04 c/aro      = R$ 85,00</v>
      </c>
    </row>
    <row r="31" spans="1:17" ht="15.75" customHeight="1" x14ac:dyDescent="0.3">
      <c r="A31" t="s">
        <v>11414</v>
      </c>
      <c r="B31">
        <f>I21</f>
        <v>95</v>
      </c>
      <c r="E31" s="85" t="s">
        <v>39</v>
      </c>
      <c r="F31" s="6">
        <v>85</v>
      </c>
      <c r="H31" s="4" t="s">
        <v>11289</v>
      </c>
      <c r="I31" s="5">
        <f t="shared" si="5"/>
        <v>85</v>
      </c>
      <c r="J31" s="5"/>
      <c r="K31" s="4" t="str">
        <f t="shared" ref="K31" si="33">CONCATENATE(H31,I31,",00")</f>
        <v>A04 c/aro Nacional = R$ 85,00</v>
      </c>
      <c r="M31" s="4" t="str">
        <f t="shared" ref="M31" si="34">CONCATENATE(H31,I31+5,",00")</f>
        <v>A04 c/aro Nacional = R$ 90,00</v>
      </c>
      <c r="O31" s="4" t="str">
        <f t="shared" ref="O31" si="35">CONCATENATE(H31,I31-5,",00")</f>
        <v>A04 c/aro Nacional = R$ 80,00</v>
      </c>
      <c r="Q31" s="4" t="str">
        <f t="shared" ref="Q31" si="36">CONCATENATE(H31,I31+10,",00")</f>
        <v>A04 c/aro Nacional = R$ 95,00</v>
      </c>
    </row>
    <row r="32" spans="1:17" ht="15.75" customHeight="1" x14ac:dyDescent="0.3">
      <c r="A32" t="s">
        <v>11415</v>
      </c>
      <c r="B32">
        <f>I21</f>
        <v>95</v>
      </c>
      <c r="E32" s="85" t="s">
        <v>11288</v>
      </c>
      <c r="F32" s="6">
        <v>95</v>
      </c>
      <c r="H32" s="4" t="s">
        <v>11290</v>
      </c>
      <c r="I32" s="5">
        <f t="shared" si="5"/>
        <v>95</v>
      </c>
      <c r="J32" s="5"/>
      <c r="K32" s="4" t="str">
        <f t="shared" si="0"/>
        <v>A04 c/aro Nac Diamonds = 95,00</v>
      </c>
      <c r="M32" s="4" t="str">
        <f t="shared" si="1"/>
        <v>A04 c/aro Nac Diamonds = 100,00</v>
      </c>
      <c r="O32" s="4" t="str">
        <f t="shared" si="2"/>
        <v>A04 c/aro Nac Diamonds = 90,00</v>
      </c>
      <c r="Q32" s="4" t="str">
        <f t="shared" si="3"/>
        <v>A04 c/aro Nac Diamonds = 105,00</v>
      </c>
    </row>
    <row r="33" spans="1:17" ht="15.75" customHeight="1" x14ac:dyDescent="0.3">
      <c r="A33" t="s">
        <v>2023</v>
      </c>
      <c r="B33">
        <f>I25</f>
        <v>60</v>
      </c>
      <c r="C33" t="s">
        <v>12645</v>
      </c>
      <c r="E33" s="85" t="s">
        <v>40</v>
      </c>
      <c r="F33" s="6">
        <v>75</v>
      </c>
      <c r="H33" s="4" t="s">
        <v>41</v>
      </c>
      <c r="I33" s="5">
        <f>F18</f>
        <v>60</v>
      </c>
      <c r="J33" s="5"/>
      <c r="K33" s="4" t="str">
        <f t="shared" si="0"/>
        <v>A04E          = R$ 60,00</v>
      </c>
      <c r="M33" s="4" t="str">
        <f t="shared" si="1"/>
        <v>A04E          = R$ 65,00</v>
      </c>
      <c r="O33" s="4" t="str">
        <f t="shared" si="2"/>
        <v>A04E          = R$ 55,00</v>
      </c>
      <c r="Q33" s="4" t="str">
        <f t="shared" si="3"/>
        <v>A04E          = R$ 70,00</v>
      </c>
    </row>
    <row r="34" spans="1:17" ht="15.75" customHeight="1" x14ac:dyDescent="0.3">
      <c r="A34" t="s">
        <v>1859</v>
      </c>
      <c r="B34">
        <f>I26</f>
        <v>65</v>
      </c>
      <c r="C34" t="s">
        <v>12646</v>
      </c>
      <c r="E34" s="85" t="s">
        <v>42</v>
      </c>
      <c r="F34" s="6">
        <v>85</v>
      </c>
      <c r="H34" s="4" t="s">
        <v>43</v>
      </c>
      <c r="I34" s="5">
        <f>F33</f>
        <v>75</v>
      </c>
      <c r="J34" s="5"/>
      <c r="K34" s="4" t="str">
        <f t="shared" si="0"/>
        <v>A04E c/aro         = R$ 75,00</v>
      </c>
      <c r="M34" s="4" t="str">
        <f t="shared" si="1"/>
        <v>A04E c/aro         = R$ 80,00</v>
      </c>
      <c r="O34" s="4" t="str">
        <f t="shared" si="2"/>
        <v>A04E c/aro         = R$ 70,00</v>
      </c>
      <c r="Q34" s="4" t="str">
        <f t="shared" si="3"/>
        <v>A04E c/aro         = R$ 85,00</v>
      </c>
    </row>
    <row r="35" spans="1:17" ht="15.75" customHeight="1" x14ac:dyDescent="0.3">
      <c r="A35" t="s">
        <v>2336</v>
      </c>
      <c r="B35">
        <f>I27</f>
        <v>80</v>
      </c>
      <c r="C35" t="s">
        <v>12647</v>
      </c>
      <c r="E35" s="85" t="s">
        <v>11291</v>
      </c>
      <c r="F35" s="6">
        <v>95</v>
      </c>
      <c r="H35" s="4" t="s">
        <v>44</v>
      </c>
      <c r="I35" s="5">
        <f>F34</f>
        <v>85</v>
      </c>
      <c r="J35" s="5"/>
      <c r="K35" s="4" t="str">
        <f t="shared" ref="K35" si="37">CONCATENATE(H35,I35,",00")</f>
        <v>A04E c/aro Nacional= R$85,00</v>
      </c>
      <c r="M35" s="4" t="str">
        <f t="shared" ref="M35" si="38">CONCATENATE(H35,I35+5,",00")</f>
        <v>A04E c/aro Nacional= R$90,00</v>
      </c>
      <c r="O35" s="4" t="str">
        <f t="shared" ref="O35" si="39">CONCATENATE(H35,I35-5,",00")</f>
        <v>A04E c/aro Nacional= R$80,00</v>
      </c>
      <c r="Q35" s="4" t="str">
        <f t="shared" ref="Q35" si="40">CONCATENATE(H35,I35+10,",00")</f>
        <v>A04E c/aro Nacional= R$95,00</v>
      </c>
    </row>
    <row r="36" spans="1:17" ht="15.75" customHeight="1" x14ac:dyDescent="0.3">
      <c r="A36" t="s">
        <v>2497</v>
      </c>
      <c r="B36">
        <f>I27</f>
        <v>80</v>
      </c>
      <c r="C36" t="s">
        <v>12647</v>
      </c>
      <c r="E36" s="85" t="s">
        <v>46</v>
      </c>
      <c r="F36" s="6">
        <v>85</v>
      </c>
      <c r="H36" s="4" t="s">
        <v>11292</v>
      </c>
      <c r="I36" s="5">
        <f>F35</f>
        <v>95</v>
      </c>
      <c r="J36" s="5"/>
      <c r="K36" s="4" t="str">
        <f t="shared" si="0"/>
        <v>A04E c/aro Nac Diamonds = 95,00</v>
      </c>
      <c r="M36" s="4" t="str">
        <f t="shared" si="1"/>
        <v>A04E c/aro Nac Diamonds = 100,00</v>
      </c>
      <c r="O36" s="4" t="str">
        <f t="shared" si="2"/>
        <v>A04E c/aro Nac Diamonds = 90,00</v>
      </c>
      <c r="Q36" s="4" t="str">
        <f t="shared" si="3"/>
        <v>A04E c/aro Nac Diamonds = 105,00</v>
      </c>
    </row>
    <row r="37" spans="1:17" ht="15.75" customHeight="1" x14ac:dyDescent="0.3">
      <c r="A37" t="s">
        <v>11416</v>
      </c>
      <c r="B37">
        <f>I28</f>
        <v>90</v>
      </c>
      <c r="E37" s="85" t="s">
        <v>11293</v>
      </c>
      <c r="F37" s="6">
        <v>95</v>
      </c>
      <c r="H37" s="4" t="s">
        <v>45</v>
      </c>
      <c r="I37" s="5">
        <f>F76</f>
        <v>70</v>
      </c>
      <c r="J37" s="5"/>
      <c r="K37" s="4" t="str">
        <f t="shared" si="0"/>
        <v>A04s             = R$ 70,00</v>
      </c>
      <c r="M37" s="4" t="str">
        <f t="shared" si="1"/>
        <v>A04s             = R$ 75,00</v>
      </c>
      <c r="O37" s="4" t="str">
        <f t="shared" si="2"/>
        <v>A04s             = R$ 65,00</v>
      </c>
      <c r="Q37" s="4" t="str">
        <f t="shared" si="3"/>
        <v>A04s             = R$ 80,00</v>
      </c>
    </row>
    <row r="38" spans="1:17" ht="15.75" customHeight="1" x14ac:dyDescent="0.3">
      <c r="A38" t="s">
        <v>11417</v>
      </c>
      <c r="B38">
        <f>I28</f>
        <v>90</v>
      </c>
      <c r="E38" s="85" t="s">
        <v>48</v>
      </c>
      <c r="F38" s="6">
        <v>65</v>
      </c>
      <c r="H38" s="4" t="s">
        <v>47</v>
      </c>
      <c r="I38" s="5">
        <f>F77</f>
        <v>90</v>
      </c>
      <c r="J38" s="5"/>
      <c r="K38" s="4" t="str">
        <f t="shared" si="0"/>
        <v>A04s c/aro       = R$ 90,00</v>
      </c>
      <c r="M38" s="4" t="str">
        <f t="shared" si="1"/>
        <v>A04s c/aro       = R$ 95,00</v>
      </c>
      <c r="O38" s="4" t="str">
        <f t="shared" si="2"/>
        <v>A04s c/aro       = R$ 85,00</v>
      </c>
      <c r="Q38" s="4" t="str">
        <f t="shared" si="3"/>
        <v>A04s c/aro       = R$ 100,00</v>
      </c>
    </row>
    <row r="39" spans="1:17" ht="15.75" customHeight="1" x14ac:dyDescent="0.3">
      <c r="A39" t="s">
        <v>2025</v>
      </c>
      <c r="B39">
        <f>I18</f>
        <v>60</v>
      </c>
      <c r="C39" t="s">
        <v>12641</v>
      </c>
      <c r="E39" s="85" t="s">
        <v>50</v>
      </c>
      <c r="F39" s="6">
        <v>80</v>
      </c>
      <c r="H39" s="4" t="s">
        <v>49</v>
      </c>
      <c r="I39" s="5">
        <f t="shared" ref="I39:J71" si="41">F36</f>
        <v>85</v>
      </c>
      <c r="J39" s="5"/>
      <c r="K39" s="4" t="str">
        <f t="shared" ref="K39" si="42">CONCATENATE(H39,I39,",00")</f>
        <v>A04s c/aro Nacional= R$ 85,00</v>
      </c>
      <c r="M39" s="4" t="str">
        <f t="shared" ref="M39" si="43">CONCATENATE(H39,I39+5,",00")</f>
        <v>A04s c/aro Nacional= R$ 90,00</v>
      </c>
      <c r="O39" s="4" t="str">
        <f t="shared" ref="O39" si="44">CONCATENATE(H39,I39-5,",00")</f>
        <v>A04s c/aro Nacional= R$ 80,00</v>
      </c>
      <c r="Q39" s="4" t="str">
        <f t="shared" ref="Q39" si="45">CONCATENATE(H39,I39+10,",00")</f>
        <v>A04s c/aro Nacional= R$ 95,00</v>
      </c>
    </row>
    <row r="40" spans="1:17" ht="15.75" customHeight="1" x14ac:dyDescent="0.3">
      <c r="A40" t="s">
        <v>1861</v>
      </c>
      <c r="B40">
        <f>I22</f>
        <v>65</v>
      </c>
      <c r="C40" t="s">
        <v>12648</v>
      </c>
      <c r="E40" s="85" t="s">
        <v>12130</v>
      </c>
      <c r="F40" s="16">
        <v>90</v>
      </c>
      <c r="H40" s="4" t="s">
        <v>11294</v>
      </c>
      <c r="I40" s="5">
        <f t="shared" si="41"/>
        <v>95</v>
      </c>
      <c r="J40" s="5"/>
      <c r="K40" s="4" t="str">
        <f t="shared" si="0"/>
        <v>A04s c/aro Nac Diamonds = 95,00</v>
      </c>
      <c r="M40" s="4" t="str">
        <f t="shared" si="1"/>
        <v>A04s c/aro Nac Diamonds = 100,00</v>
      </c>
      <c r="O40" s="4" t="str">
        <f t="shared" si="2"/>
        <v>A04s c/aro Nac Diamonds = 90,00</v>
      </c>
      <c r="Q40" s="4" t="str">
        <f t="shared" si="3"/>
        <v>A04s c/aro Nac Diamonds = 105,00</v>
      </c>
    </row>
    <row r="41" spans="1:17" ht="15.75" customHeight="1" x14ac:dyDescent="0.3">
      <c r="A41" t="s">
        <v>2338</v>
      </c>
      <c r="B41">
        <f>I23</f>
        <v>80</v>
      </c>
      <c r="C41" t="s">
        <v>12649</v>
      </c>
      <c r="E41" s="85" t="s">
        <v>12131</v>
      </c>
      <c r="F41" s="16">
        <v>100</v>
      </c>
      <c r="H41" s="4" t="s">
        <v>51</v>
      </c>
      <c r="I41" s="5">
        <f t="shared" si="41"/>
        <v>65</v>
      </c>
      <c r="J41" s="5"/>
      <c r="K41" s="4" t="str">
        <f t="shared" si="0"/>
        <v>A05          = R$ 65,00</v>
      </c>
      <c r="M41" s="4" t="str">
        <f t="shared" si="1"/>
        <v>A05          = R$ 70,00</v>
      </c>
      <c r="O41" s="4" t="str">
        <f t="shared" si="2"/>
        <v>A05          = R$ 60,00</v>
      </c>
      <c r="Q41" s="4" t="str">
        <f t="shared" si="3"/>
        <v>A05          = R$ 75,00</v>
      </c>
    </row>
    <row r="42" spans="1:17" ht="15.75" customHeight="1" x14ac:dyDescent="0.3">
      <c r="A42" t="s">
        <v>2499</v>
      </c>
      <c r="B42">
        <f>I23</f>
        <v>80</v>
      </c>
      <c r="C42" t="s">
        <v>12649</v>
      </c>
      <c r="E42" s="85" t="s">
        <v>52</v>
      </c>
      <c r="F42" s="6">
        <v>75</v>
      </c>
      <c r="H42" s="4" t="s">
        <v>53</v>
      </c>
      <c r="I42" s="5">
        <f t="shared" si="41"/>
        <v>80</v>
      </c>
      <c r="J42" s="5"/>
      <c r="K42" s="4" t="str">
        <f t="shared" si="0"/>
        <v>A05 c/aro       = R$ 80,00</v>
      </c>
      <c r="M42" s="4" t="str">
        <f t="shared" si="1"/>
        <v>A05 c/aro       = R$ 85,00</v>
      </c>
      <c r="O42" s="4" t="str">
        <f t="shared" si="2"/>
        <v>A05 c/aro       = R$ 75,00</v>
      </c>
      <c r="Q42" s="4" t="str">
        <f t="shared" si="3"/>
        <v>A05 c/aro       = R$ 90,00</v>
      </c>
    </row>
    <row r="43" spans="1:17" ht="15.75" customHeight="1" x14ac:dyDescent="0.3">
      <c r="A43" t="s">
        <v>11418</v>
      </c>
      <c r="B43">
        <f>I24</f>
        <v>90</v>
      </c>
      <c r="E43" s="85" t="s">
        <v>54</v>
      </c>
      <c r="F43" s="6">
        <v>80</v>
      </c>
      <c r="H43" s="4" t="s">
        <v>12132</v>
      </c>
      <c r="I43" s="5">
        <f t="shared" si="41"/>
        <v>90</v>
      </c>
      <c r="J43" s="5"/>
      <c r="K43" s="4" t="str">
        <f t="shared" ref="K43:K44" si="46">CONCATENATE(H43,I43,",00")</f>
        <v>A05 c/aro Nacional= R$ 90,00</v>
      </c>
      <c r="M43" s="4" t="str">
        <f t="shared" ref="M43:M44" si="47">CONCATENATE(H43,I43+5,",00")</f>
        <v>A05 c/aro Nacional= R$ 95,00</v>
      </c>
      <c r="O43" s="4" t="str">
        <f t="shared" ref="O43:O44" si="48">CONCATENATE(H43,I43-5,",00")</f>
        <v>A05 c/aro Nacional= R$ 85,00</v>
      </c>
      <c r="Q43" s="4" t="str">
        <f t="shared" ref="Q43:Q44" si="49">CONCATENATE(H43,I43+10,",00")</f>
        <v>A05 c/aro Nacional= R$ 100,00</v>
      </c>
    </row>
    <row r="44" spans="1:17" ht="15.75" customHeight="1" x14ac:dyDescent="0.3">
      <c r="A44" t="s">
        <v>11419</v>
      </c>
      <c r="B44">
        <f>I24</f>
        <v>90</v>
      </c>
      <c r="E44" s="85" t="s">
        <v>12032</v>
      </c>
      <c r="F44" s="16">
        <v>90</v>
      </c>
      <c r="H44" s="4" t="s">
        <v>12133</v>
      </c>
      <c r="I44" s="5">
        <f t="shared" si="41"/>
        <v>100</v>
      </c>
      <c r="J44" s="5"/>
      <c r="K44" s="4" t="str">
        <f t="shared" si="46"/>
        <v>A05 c/aro Nac Diamonds = 100,00</v>
      </c>
      <c r="M44" s="4" t="str">
        <f t="shared" si="47"/>
        <v>A05 c/aro Nac Diamonds = 105,00</v>
      </c>
      <c r="O44" s="4" t="str">
        <f t="shared" si="48"/>
        <v>A05 c/aro Nac Diamonds = 95,00</v>
      </c>
      <c r="Q44" s="4" t="str">
        <f t="shared" si="49"/>
        <v>A05 c/aro Nac Diamonds = 110,00</v>
      </c>
    </row>
    <row r="45" spans="1:17" ht="15.75" customHeight="1" x14ac:dyDescent="0.3">
      <c r="A45" t="s">
        <v>2024</v>
      </c>
      <c r="B45">
        <f>I18</f>
        <v>60</v>
      </c>
      <c r="C45" t="s">
        <v>12641</v>
      </c>
      <c r="E45" s="85" t="s">
        <v>12033</v>
      </c>
      <c r="F45" s="16">
        <v>100</v>
      </c>
      <c r="H45" s="4" t="s">
        <v>55</v>
      </c>
      <c r="I45" s="5">
        <f t="shared" si="41"/>
        <v>75</v>
      </c>
      <c r="J45" s="5"/>
      <c r="K45" s="4" t="str">
        <f t="shared" si="0"/>
        <v>A05s         = R$ 75,00</v>
      </c>
      <c r="M45" s="4" t="str">
        <f t="shared" si="1"/>
        <v>A05s         = R$ 80,00</v>
      </c>
      <c r="O45" s="4" t="str">
        <f t="shared" si="2"/>
        <v>A05s         = R$ 70,00</v>
      </c>
      <c r="Q45" s="4" t="str">
        <f t="shared" si="3"/>
        <v>A05s         = R$ 85,00</v>
      </c>
    </row>
    <row r="46" spans="1:17" ht="15.75" customHeight="1" x14ac:dyDescent="0.3">
      <c r="A46" t="s">
        <v>3036</v>
      </c>
      <c r="B46">
        <f>I29</f>
        <v>65</v>
      </c>
      <c r="C46" t="s">
        <v>12650</v>
      </c>
      <c r="E46" s="85" t="s">
        <v>12664</v>
      </c>
      <c r="F46" s="6">
        <v>65</v>
      </c>
      <c r="H46" s="4" t="s">
        <v>56</v>
      </c>
      <c r="I46" s="5">
        <f t="shared" si="41"/>
        <v>80</v>
      </c>
      <c r="J46" s="5"/>
      <c r="K46" s="4" t="str">
        <f t="shared" si="0"/>
        <v>A05s c/aro            = R$ 80,00</v>
      </c>
      <c r="M46" s="4" t="str">
        <f t="shared" si="1"/>
        <v>A05s c/aro            = R$ 85,00</v>
      </c>
      <c r="O46" s="4" t="str">
        <f t="shared" si="2"/>
        <v>A05s c/aro            = R$ 75,00</v>
      </c>
      <c r="Q46" s="4" t="str">
        <f t="shared" si="3"/>
        <v>A05s c/aro            = R$ 90,00</v>
      </c>
    </row>
    <row r="47" spans="1:17" ht="15.75" customHeight="1" x14ac:dyDescent="0.3">
      <c r="A47" t="s">
        <v>1862</v>
      </c>
      <c r="B47">
        <f>I30</f>
        <v>75</v>
      </c>
      <c r="C47" t="s">
        <v>12651</v>
      </c>
      <c r="E47" s="85" t="s">
        <v>12665</v>
      </c>
      <c r="F47" s="6">
        <v>80</v>
      </c>
      <c r="H47" s="4" t="s">
        <v>12034</v>
      </c>
      <c r="I47" s="5">
        <f t="shared" si="41"/>
        <v>90</v>
      </c>
      <c r="J47" s="5"/>
      <c r="K47" s="4" t="str">
        <f t="shared" ref="K47:K48" si="50">CONCATENATE(H47,I47,",00")</f>
        <v>A05s c/aro Nacional= R$ 90,00</v>
      </c>
      <c r="M47" s="4" t="str">
        <f t="shared" ref="M47:M48" si="51">CONCATENATE(H47,I47+5,",00")</f>
        <v>A05s c/aro Nacional= R$ 95,00</v>
      </c>
      <c r="O47" s="4" t="str">
        <f t="shared" ref="O47:O48" si="52">CONCATENATE(H47,I47-5,",00")</f>
        <v>A05s c/aro Nacional= R$ 85,00</v>
      </c>
      <c r="Q47" s="4" t="str">
        <f t="shared" si="3"/>
        <v>A05s c/aro Nacional= R$ 100,00</v>
      </c>
    </row>
    <row r="48" spans="1:17" ht="15.75" customHeight="1" x14ac:dyDescent="0.3">
      <c r="A48" t="s">
        <v>2339</v>
      </c>
      <c r="B48">
        <f>I31</f>
        <v>85</v>
      </c>
      <c r="C48" t="s">
        <v>12652</v>
      </c>
      <c r="E48" s="85" t="s">
        <v>12666</v>
      </c>
      <c r="F48" s="16">
        <v>90</v>
      </c>
      <c r="H48" s="4" t="s">
        <v>12035</v>
      </c>
      <c r="I48" s="5">
        <f t="shared" si="41"/>
        <v>100</v>
      </c>
      <c r="J48" s="5"/>
      <c r="K48" s="4" t="str">
        <f t="shared" si="50"/>
        <v>A05s c/aro Nac Diamonds = 100,00</v>
      </c>
      <c r="M48" s="4" t="str">
        <f t="shared" si="51"/>
        <v>A05s c/aro Nac Diamonds = 105,00</v>
      </c>
      <c r="O48" s="4" t="str">
        <f t="shared" si="52"/>
        <v>A05s c/aro Nac Diamonds = 95,00</v>
      </c>
      <c r="Q48" s="4" t="str">
        <f t="shared" si="3"/>
        <v>A05s c/aro Nac Diamonds = 110,00</v>
      </c>
    </row>
    <row r="49" spans="1:17" ht="15.75" customHeight="1" x14ac:dyDescent="0.3">
      <c r="A49" t="s">
        <v>2500</v>
      </c>
      <c r="B49">
        <f>I31</f>
        <v>85</v>
      </c>
      <c r="C49" t="s">
        <v>12652</v>
      </c>
      <c r="E49" s="85" t="s">
        <v>12667</v>
      </c>
      <c r="F49" s="16">
        <v>100</v>
      </c>
      <c r="H49" s="4" t="s">
        <v>12672</v>
      </c>
      <c r="I49" s="5">
        <f t="shared" si="41"/>
        <v>65</v>
      </c>
      <c r="J49" s="5"/>
      <c r="K49" s="4" t="str">
        <f t="shared" si="0"/>
        <v>A06 4G       = R$ 65,00</v>
      </c>
      <c r="M49" s="4" t="str">
        <f t="shared" si="1"/>
        <v>A06 4G       = R$ 70,00</v>
      </c>
      <c r="O49" s="4" t="str">
        <f t="shared" si="2"/>
        <v>A06 4G       = R$ 60,00</v>
      </c>
      <c r="Q49" s="4" t="str">
        <f t="shared" ref="Q49:Q86" si="53">CONCATENATE(H49,I49+10,",00")</f>
        <v>A06 4G       = R$ 75,00</v>
      </c>
    </row>
    <row r="50" spans="1:17" ht="15.75" customHeight="1" x14ac:dyDescent="0.3">
      <c r="A50" t="s">
        <v>11420</v>
      </c>
      <c r="B50">
        <f>I32</f>
        <v>95</v>
      </c>
      <c r="E50" s="85" t="s">
        <v>12668</v>
      </c>
      <c r="F50" s="16">
        <v>70</v>
      </c>
      <c r="H50" s="4" t="s">
        <v>12673</v>
      </c>
      <c r="I50" s="5">
        <f t="shared" si="41"/>
        <v>80</v>
      </c>
      <c r="J50" s="5"/>
      <c r="K50" s="4" t="str">
        <f t="shared" si="0"/>
        <v>A06 4G c/aro    = R$ 80,00</v>
      </c>
      <c r="M50" s="4" t="str">
        <f t="shared" si="1"/>
        <v>A06 4G c/aro    = R$ 85,00</v>
      </c>
      <c r="O50" s="4" t="str">
        <f t="shared" si="2"/>
        <v>A06 4G c/aro    = R$ 75,00</v>
      </c>
      <c r="Q50" s="4" t="str">
        <f t="shared" si="53"/>
        <v>A06 4G c/aro    = R$ 90,00</v>
      </c>
    </row>
    <row r="51" spans="1:17" ht="15.75" customHeight="1" x14ac:dyDescent="0.3">
      <c r="A51" t="s">
        <v>11421</v>
      </c>
      <c r="B51">
        <f>I32</f>
        <v>95</v>
      </c>
      <c r="E51" s="85" t="s">
        <v>12669</v>
      </c>
      <c r="F51" s="16">
        <v>85</v>
      </c>
      <c r="H51" s="4" t="s">
        <v>12674</v>
      </c>
      <c r="I51" s="5">
        <f t="shared" si="41"/>
        <v>90</v>
      </c>
      <c r="J51" s="5"/>
      <c r="K51" s="4" t="str">
        <f t="shared" ref="K51:K59" si="54">CONCATENATE(H51,I51,",00")</f>
        <v>A06 4G c/aro Nacional= R$ 90,00</v>
      </c>
      <c r="M51" s="4" t="str">
        <f t="shared" ref="M51:M59" si="55">CONCATENATE(H51,I51+5,",00")</f>
        <v>A06 4G c/aro Nacional= R$ 95,00</v>
      </c>
      <c r="O51" s="4" t="str">
        <f t="shared" ref="O51:O59" si="56">CONCATENATE(H51,I51-5,",00")</f>
        <v>A06 4G c/aro Nacional= R$ 85,00</v>
      </c>
      <c r="Q51" s="4" t="str">
        <f t="shared" ref="Q51:Q59" si="57">CONCATENATE(H51,I51+10,",00")</f>
        <v>A06 4G c/aro Nacional= R$ 100,00</v>
      </c>
    </row>
    <row r="52" spans="1:17" ht="15.75" customHeight="1" x14ac:dyDescent="0.3">
      <c r="A52" t="s">
        <v>2027</v>
      </c>
      <c r="B52">
        <f>I33</f>
        <v>60</v>
      </c>
      <c r="C52" t="s">
        <v>12641</v>
      </c>
      <c r="E52" s="85" t="s">
        <v>12670</v>
      </c>
      <c r="F52" s="16">
        <v>95</v>
      </c>
      <c r="H52" s="4" t="s">
        <v>12675</v>
      </c>
      <c r="I52" s="5">
        <f t="shared" si="41"/>
        <v>100</v>
      </c>
      <c r="J52" s="5"/>
      <c r="K52" s="4" t="str">
        <f t="shared" si="54"/>
        <v>A06 4G c/aro Nac Diamonds = 100,00</v>
      </c>
      <c r="M52" s="4" t="str">
        <f t="shared" si="55"/>
        <v>A06 4G c/aro Nac Diamonds = 105,00</v>
      </c>
      <c r="O52" s="4" t="str">
        <f t="shared" si="56"/>
        <v>A06 4G c/aro Nac Diamonds = 95,00</v>
      </c>
      <c r="Q52" s="4" t="str">
        <f t="shared" si="57"/>
        <v>A06 4G c/aro Nac Diamonds = 110,00</v>
      </c>
    </row>
    <row r="53" spans="1:17" ht="15.75" customHeight="1" x14ac:dyDescent="0.3">
      <c r="A53" t="s">
        <v>1863</v>
      </c>
      <c r="B53">
        <f>I34</f>
        <v>75</v>
      </c>
      <c r="C53" t="s">
        <v>12653</v>
      </c>
      <c r="E53" s="85" t="s">
        <v>12671</v>
      </c>
      <c r="F53" s="16">
        <v>105</v>
      </c>
      <c r="H53" s="4" t="s">
        <v>12676</v>
      </c>
      <c r="I53" s="5">
        <f t="shared" si="41"/>
        <v>70</v>
      </c>
      <c r="J53" s="5"/>
      <c r="K53" s="4" t="str">
        <f t="shared" si="54"/>
        <v>A06 5G       = R$ 70,00</v>
      </c>
      <c r="M53" s="4" t="str">
        <f t="shared" si="55"/>
        <v>A06 5G       = R$ 75,00</v>
      </c>
      <c r="O53" s="4" t="str">
        <f t="shared" si="56"/>
        <v>A06 5G       = R$ 65,00</v>
      </c>
      <c r="Q53" s="4" t="str">
        <f t="shared" si="57"/>
        <v>A06 5G       = R$ 80,00</v>
      </c>
    </row>
    <row r="54" spans="1:17" ht="15.75" customHeight="1" x14ac:dyDescent="0.3">
      <c r="A54" t="s">
        <v>2340</v>
      </c>
      <c r="B54">
        <f>I35</f>
        <v>85</v>
      </c>
      <c r="C54" t="s">
        <v>12654</v>
      </c>
      <c r="E54" s="85" t="s">
        <v>13003</v>
      </c>
      <c r="F54" s="16">
        <v>85</v>
      </c>
      <c r="H54" s="4" t="s">
        <v>12677</v>
      </c>
      <c r="I54" s="5">
        <f t="shared" si="41"/>
        <v>85</v>
      </c>
      <c r="J54" s="5"/>
      <c r="K54" s="4" t="str">
        <f t="shared" si="54"/>
        <v>A06 5G c/aro    = R$ 85,00</v>
      </c>
      <c r="M54" s="4" t="str">
        <f t="shared" si="55"/>
        <v>A06 5G c/aro    = R$ 90,00</v>
      </c>
      <c r="O54" s="4" t="str">
        <f t="shared" si="56"/>
        <v>A06 5G c/aro    = R$ 80,00</v>
      </c>
      <c r="Q54" s="4" t="str">
        <f t="shared" si="57"/>
        <v>A06 5G c/aro    = R$ 95,00</v>
      </c>
    </row>
    <row r="55" spans="1:17" ht="15.75" customHeight="1" x14ac:dyDescent="0.3">
      <c r="A55" t="s">
        <v>2501</v>
      </c>
      <c r="B55">
        <f>I35</f>
        <v>85</v>
      </c>
      <c r="C55" t="s">
        <v>12654</v>
      </c>
      <c r="E55" s="85" t="s">
        <v>13004</v>
      </c>
      <c r="F55" s="16">
        <v>95</v>
      </c>
      <c r="H55" s="4" t="s">
        <v>12678</v>
      </c>
      <c r="I55" s="5">
        <f t="shared" si="41"/>
        <v>95</v>
      </c>
      <c r="J55" s="5"/>
      <c r="K55" s="4" t="str">
        <f t="shared" si="54"/>
        <v>A06 5G c/aro Nacional= R$ 95,00</v>
      </c>
      <c r="M55" s="4" t="str">
        <f t="shared" si="55"/>
        <v>A06 5G c/aro Nacional= R$ 100,00</v>
      </c>
      <c r="O55" s="4" t="str">
        <f t="shared" si="56"/>
        <v>A06 5G c/aro Nacional= R$ 90,00</v>
      </c>
      <c r="Q55" s="4" t="str">
        <f t="shared" si="57"/>
        <v>A06 5G c/aro Nacional= R$ 105,00</v>
      </c>
    </row>
    <row r="56" spans="1:17" ht="15.75" customHeight="1" x14ac:dyDescent="0.3">
      <c r="A56" t="s">
        <v>11422</v>
      </c>
      <c r="B56">
        <f>I36</f>
        <v>95</v>
      </c>
      <c r="E56" s="85" t="s">
        <v>13005</v>
      </c>
      <c r="F56" s="16">
        <v>110</v>
      </c>
      <c r="H56" s="4" t="s">
        <v>12679</v>
      </c>
      <c r="I56" s="5">
        <f t="shared" si="41"/>
        <v>105</v>
      </c>
      <c r="J56" s="5"/>
      <c r="K56" s="4" t="str">
        <f t="shared" si="54"/>
        <v>A06 5G c/aro Nac Diamonds = 105,00</v>
      </c>
      <c r="M56" s="4" t="str">
        <f t="shared" si="55"/>
        <v>A06 5G c/aro Nac Diamonds = 110,00</v>
      </c>
      <c r="O56" s="4" t="str">
        <f t="shared" si="56"/>
        <v>A06 5G c/aro Nac Diamonds = 100,00</v>
      </c>
      <c r="Q56" s="4" t="str">
        <f t="shared" si="57"/>
        <v>A06 5G c/aro Nac Diamonds = 115,00</v>
      </c>
    </row>
    <row r="57" spans="1:17" ht="15.75" customHeight="1" x14ac:dyDescent="0.3">
      <c r="A57" t="s">
        <v>11423</v>
      </c>
      <c r="B57">
        <f>I36</f>
        <v>95</v>
      </c>
      <c r="E57" s="87" t="s">
        <v>57</v>
      </c>
      <c r="F57" s="16">
        <v>55</v>
      </c>
      <c r="H57" s="4" t="s">
        <v>13006</v>
      </c>
      <c r="I57" s="5">
        <f t="shared" si="41"/>
        <v>85</v>
      </c>
      <c r="J57" s="5"/>
      <c r="K57" s="4" t="str">
        <f t="shared" si="54"/>
        <v>A07     = R$ 85,00</v>
      </c>
      <c r="M57" s="4" t="str">
        <f t="shared" si="55"/>
        <v>A07     = R$ 90,00</v>
      </c>
      <c r="O57" s="4" t="str">
        <f t="shared" si="56"/>
        <v>A07     = R$ 80,00</v>
      </c>
      <c r="Q57" s="4" t="str">
        <f t="shared" si="57"/>
        <v>A07     = R$ 95,00</v>
      </c>
    </row>
    <row r="58" spans="1:17" ht="15.75" customHeight="1" x14ac:dyDescent="0.3">
      <c r="A58" t="s">
        <v>2028</v>
      </c>
      <c r="B58">
        <f>I37</f>
        <v>70</v>
      </c>
      <c r="C58" t="s">
        <v>12655</v>
      </c>
      <c r="E58" s="88" t="s">
        <v>58</v>
      </c>
      <c r="F58" s="16">
        <v>65</v>
      </c>
      <c r="H58" s="4" t="s">
        <v>13007</v>
      </c>
      <c r="I58" s="5">
        <f t="shared" si="41"/>
        <v>95</v>
      </c>
      <c r="J58" s="5"/>
      <c r="K58" s="4" t="str">
        <f t="shared" si="54"/>
        <v>A07 c/aro    = R$ 95,00</v>
      </c>
      <c r="M58" s="4" t="str">
        <f t="shared" si="55"/>
        <v>A07 c/aro    = R$ 100,00</v>
      </c>
      <c r="O58" s="4" t="str">
        <f t="shared" si="56"/>
        <v>A07 c/aro    = R$ 90,00</v>
      </c>
      <c r="Q58" s="4" t="str">
        <f t="shared" si="57"/>
        <v>A07 c/aro    = R$ 105,00</v>
      </c>
    </row>
    <row r="59" spans="1:17" ht="15.75" customHeight="1" x14ac:dyDescent="0.3">
      <c r="A59" t="s">
        <v>1864</v>
      </c>
      <c r="B59">
        <f>I38</f>
        <v>90</v>
      </c>
      <c r="C59" t="s">
        <v>12656</v>
      </c>
      <c r="E59" s="85" t="s">
        <v>60</v>
      </c>
      <c r="F59" s="6">
        <v>80</v>
      </c>
      <c r="H59" s="4" t="s">
        <v>13008</v>
      </c>
      <c r="I59" s="5">
        <f t="shared" si="41"/>
        <v>110</v>
      </c>
      <c r="J59" s="5"/>
      <c r="K59" s="4" t="str">
        <f t="shared" si="54"/>
        <v>A07 c/aro Nacional= R$ 110,00</v>
      </c>
      <c r="M59" s="4" t="str">
        <f t="shared" si="55"/>
        <v>A07 c/aro Nacional= R$ 115,00</v>
      </c>
      <c r="O59" s="4" t="str">
        <f t="shared" si="56"/>
        <v>A07 c/aro Nacional= R$ 105,00</v>
      </c>
      <c r="Q59" s="4" t="str">
        <f t="shared" si="57"/>
        <v>A07 c/aro Nacional= R$ 120,00</v>
      </c>
    </row>
    <row r="60" spans="1:17" ht="15.75" customHeight="1" x14ac:dyDescent="0.3">
      <c r="A60" t="s">
        <v>2341</v>
      </c>
      <c r="B60">
        <f>I39</f>
        <v>85</v>
      </c>
      <c r="C60" t="s">
        <v>12657</v>
      </c>
      <c r="E60" s="85" t="s">
        <v>11295</v>
      </c>
      <c r="F60" s="6">
        <v>90</v>
      </c>
      <c r="H60" s="4" t="s">
        <v>59</v>
      </c>
      <c r="I60" s="5">
        <f t="shared" si="41"/>
        <v>55</v>
      </c>
      <c r="J60" s="5"/>
      <c r="K60" s="4" t="str">
        <f t="shared" si="0"/>
        <v>A10 - original          = R$ 55,00</v>
      </c>
      <c r="M60" s="4" t="str">
        <f t="shared" si="1"/>
        <v>A10 - original          = R$ 60,00</v>
      </c>
      <c r="O60" s="4" t="str">
        <f t="shared" si="2"/>
        <v>A10 - original          = R$ 50,00</v>
      </c>
      <c r="Q60" s="4" t="str">
        <f t="shared" si="53"/>
        <v>A10 - original          = R$ 65,00</v>
      </c>
    </row>
    <row r="61" spans="1:17" ht="15.75" customHeight="1" x14ac:dyDescent="0.3">
      <c r="A61" t="s">
        <v>2502</v>
      </c>
      <c r="B61">
        <f>I39</f>
        <v>85</v>
      </c>
      <c r="C61" t="s">
        <v>12657</v>
      </c>
      <c r="E61" s="85" t="s">
        <v>62</v>
      </c>
      <c r="F61" s="6">
        <v>60</v>
      </c>
      <c r="H61" s="4" t="s">
        <v>61</v>
      </c>
      <c r="I61" s="5">
        <f t="shared" si="41"/>
        <v>65</v>
      </c>
      <c r="J61" s="5"/>
      <c r="K61" s="4" t="str">
        <f t="shared" si="0"/>
        <v>A10 c/aro - orig      = R$ 65,00</v>
      </c>
      <c r="M61" s="4" t="str">
        <f t="shared" si="1"/>
        <v>A10 c/aro - orig      = R$ 70,00</v>
      </c>
      <c r="O61" s="4" t="str">
        <f t="shared" si="2"/>
        <v>A10 c/aro - orig      = R$ 60,00</v>
      </c>
      <c r="Q61" s="4" t="str">
        <f t="shared" si="53"/>
        <v>A10 c/aro - orig      = R$ 75,00</v>
      </c>
    </row>
    <row r="62" spans="1:17" ht="15.75" customHeight="1" x14ac:dyDescent="0.3">
      <c r="A62" t="s">
        <v>11424</v>
      </c>
      <c r="B62">
        <f>I40</f>
        <v>95</v>
      </c>
      <c r="E62" s="85" t="s">
        <v>64</v>
      </c>
      <c r="F62" s="6">
        <v>65</v>
      </c>
      <c r="H62" s="4" t="s">
        <v>63</v>
      </c>
      <c r="I62" s="5">
        <f t="shared" si="41"/>
        <v>80</v>
      </c>
      <c r="J62" s="5"/>
      <c r="K62" s="4" t="str">
        <f t="shared" ref="K62" si="58">CONCATENATE(H62,I62,",00")</f>
        <v>A10 c/aro Nacional= R$ 80,00</v>
      </c>
      <c r="M62" s="4" t="str">
        <f t="shared" ref="M62" si="59">CONCATENATE(H62,I62+5,",00")</f>
        <v>A10 c/aro Nacional= R$ 85,00</v>
      </c>
      <c r="O62" s="4" t="str">
        <f t="shared" ref="O62" si="60">CONCATENATE(H62,I62-5,",00")</f>
        <v>A10 c/aro Nacional= R$ 75,00</v>
      </c>
      <c r="Q62" s="4" t="str">
        <f t="shared" ref="Q62" si="61">CONCATENATE(H62,I62+10,",00")</f>
        <v>A10 c/aro Nacional= R$ 90,00</v>
      </c>
    </row>
    <row r="63" spans="1:17" ht="15.75" customHeight="1" x14ac:dyDescent="0.3">
      <c r="A63" t="s">
        <v>11425</v>
      </c>
      <c r="B63">
        <f>I40</f>
        <v>95</v>
      </c>
      <c r="E63" s="85" t="s">
        <v>66</v>
      </c>
      <c r="F63" s="6">
        <v>75</v>
      </c>
      <c r="H63" s="4" t="s">
        <v>11296</v>
      </c>
      <c r="I63" s="5">
        <f t="shared" si="41"/>
        <v>90</v>
      </c>
      <c r="J63" s="5"/>
      <c r="K63" s="4" t="str">
        <f t="shared" si="0"/>
        <v>A10 c/aro Nac Diamonds = 90,00</v>
      </c>
      <c r="M63" s="4" t="str">
        <f t="shared" si="1"/>
        <v>A10 c/aro Nac Diamonds = 95,00</v>
      </c>
      <c r="O63" s="4" t="str">
        <f t="shared" si="2"/>
        <v>A10 c/aro Nac Diamonds = 85,00</v>
      </c>
      <c r="Q63" s="4" t="str">
        <f t="shared" si="53"/>
        <v>A10 c/aro Nac Diamonds = 100,00</v>
      </c>
    </row>
    <row r="64" spans="1:17" ht="15.75" customHeight="1" x14ac:dyDescent="0.3">
      <c r="A64" t="s">
        <v>2026</v>
      </c>
      <c r="B64">
        <f>I29</f>
        <v>65</v>
      </c>
      <c r="C64" t="s">
        <v>12650</v>
      </c>
      <c r="E64" s="85" t="s">
        <v>11297</v>
      </c>
      <c r="F64" s="6">
        <v>85</v>
      </c>
      <c r="H64" s="4" t="s">
        <v>65</v>
      </c>
      <c r="I64" s="5">
        <f t="shared" si="41"/>
        <v>60</v>
      </c>
      <c r="J64" s="5"/>
      <c r="K64" s="4" t="str">
        <f t="shared" si="0"/>
        <v>A10s - original        = R$ 60,00</v>
      </c>
      <c r="M64" s="4" t="str">
        <f t="shared" si="1"/>
        <v>A10s - original        = R$ 65,00</v>
      </c>
      <c r="O64" s="4" t="str">
        <f t="shared" si="2"/>
        <v>A10s - original        = R$ 55,00</v>
      </c>
      <c r="Q64" s="4" t="str">
        <f t="shared" si="53"/>
        <v>A10s - original        = R$ 70,00</v>
      </c>
    </row>
    <row r="65" spans="1:17" ht="15.75" customHeight="1" x14ac:dyDescent="0.3">
      <c r="A65" t="s">
        <v>3039</v>
      </c>
      <c r="B65">
        <f>I41</f>
        <v>65</v>
      </c>
      <c r="C65" t="s">
        <v>12658</v>
      </c>
      <c r="E65" s="85" t="s">
        <v>68</v>
      </c>
      <c r="F65" s="6">
        <v>65</v>
      </c>
      <c r="H65" s="4" t="s">
        <v>67</v>
      </c>
      <c r="I65" s="5">
        <f t="shared" si="41"/>
        <v>65</v>
      </c>
      <c r="J65" s="5"/>
      <c r="K65" s="4" t="str">
        <f t="shared" si="0"/>
        <v>A10s c/aro - orig     = R$ 65,00</v>
      </c>
      <c r="M65" s="4" t="str">
        <f t="shared" si="1"/>
        <v>A10s c/aro - orig     = R$ 70,00</v>
      </c>
      <c r="O65" s="4" t="str">
        <f t="shared" si="2"/>
        <v>A10s c/aro - orig     = R$ 60,00</v>
      </c>
      <c r="Q65" s="4" t="str">
        <f t="shared" si="53"/>
        <v>A10s c/aro - orig     = R$ 75,00</v>
      </c>
    </row>
    <row r="66" spans="1:17" ht="15.75" customHeight="1" x14ac:dyDescent="0.3">
      <c r="A66" t="s">
        <v>1865</v>
      </c>
      <c r="B66">
        <f>I42</f>
        <v>80</v>
      </c>
      <c r="C66" t="s">
        <v>12659</v>
      </c>
      <c r="E66" s="85" t="s">
        <v>70</v>
      </c>
      <c r="F66" s="6">
        <v>70</v>
      </c>
      <c r="H66" s="4" t="s">
        <v>69</v>
      </c>
      <c r="I66" s="5">
        <f t="shared" si="41"/>
        <v>75</v>
      </c>
      <c r="J66" s="5"/>
      <c r="K66" s="4" t="str">
        <f t="shared" ref="K66" si="62">CONCATENATE(H66,I66,",00")</f>
        <v>A10s c/aro Nacional= R$ 75,00</v>
      </c>
      <c r="M66" s="4" t="str">
        <f t="shared" ref="M66" si="63">CONCATENATE(H66,I66+5,",00")</f>
        <v>A10s c/aro Nacional= R$ 80,00</v>
      </c>
      <c r="O66" s="4" t="str">
        <f t="shared" ref="O66" si="64">CONCATENATE(H66,I66-5,",00")</f>
        <v>A10s c/aro Nacional= R$ 70,00</v>
      </c>
      <c r="Q66" s="4" t="str">
        <f t="shared" ref="Q66" si="65">CONCATENATE(H66,I66+10,",00")</f>
        <v>A10s c/aro Nacional= R$ 85,00</v>
      </c>
    </row>
    <row r="67" spans="1:17" ht="15.75" customHeight="1" x14ac:dyDescent="0.3">
      <c r="A67" t="s">
        <v>12134</v>
      </c>
      <c r="B67">
        <f>I43</f>
        <v>90</v>
      </c>
      <c r="C67" t="s">
        <v>12660</v>
      </c>
      <c r="E67" s="85" t="s">
        <v>72</v>
      </c>
      <c r="F67" s="6">
        <v>85</v>
      </c>
      <c r="H67" s="4" t="s">
        <v>11298</v>
      </c>
      <c r="I67" s="5">
        <f t="shared" si="41"/>
        <v>85</v>
      </c>
      <c r="J67" s="5"/>
      <c r="K67" s="4" t="str">
        <f t="shared" si="0"/>
        <v>A10s c/aro Nac Diamonds = 85,00</v>
      </c>
      <c r="M67" s="4" t="str">
        <f t="shared" si="1"/>
        <v>A10s c/aro Nac Diamonds = 90,00</v>
      </c>
      <c r="O67" s="4" t="str">
        <f t="shared" si="2"/>
        <v>A10s c/aro Nac Diamonds = 80,00</v>
      </c>
      <c r="Q67" s="4" t="str">
        <f t="shared" si="53"/>
        <v>A10s c/aro Nac Diamonds = 95,00</v>
      </c>
    </row>
    <row r="68" spans="1:17" ht="15.75" customHeight="1" x14ac:dyDescent="0.3">
      <c r="A68" t="s">
        <v>12135</v>
      </c>
      <c r="B68">
        <f>I43</f>
        <v>90</v>
      </c>
      <c r="C68" t="s">
        <v>12660</v>
      </c>
      <c r="E68" s="85" t="s">
        <v>11299</v>
      </c>
      <c r="F68" s="6">
        <v>95</v>
      </c>
      <c r="H68" s="4" t="s">
        <v>71</v>
      </c>
      <c r="I68" s="5">
        <f t="shared" si="41"/>
        <v>65</v>
      </c>
      <c r="J68" s="5"/>
      <c r="K68" s="4" t="str">
        <f t="shared" si="0"/>
        <v>A11             = R$ 65,00</v>
      </c>
      <c r="M68" s="4" t="str">
        <f t="shared" si="1"/>
        <v>A11             = R$ 70,00</v>
      </c>
      <c r="O68" s="4" t="str">
        <f t="shared" si="2"/>
        <v>A11             = R$ 60,00</v>
      </c>
      <c r="Q68" s="4" t="str">
        <f t="shared" si="53"/>
        <v>A11             = R$ 75,00</v>
      </c>
    </row>
    <row r="69" spans="1:17" ht="15.75" customHeight="1" x14ac:dyDescent="0.3">
      <c r="A69" t="s">
        <v>12136</v>
      </c>
      <c r="B69">
        <f>I44</f>
        <v>100</v>
      </c>
      <c r="E69" s="85" t="s">
        <v>13087</v>
      </c>
      <c r="F69" s="6">
        <v>65</v>
      </c>
      <c r="H69" s="4" t="s">
        <v>73</v>
      </c>
      <c r="I69" s="5">
        <f t="shared" si="41"/>
        <v>70</v>
      </c>
      <c r="J69" s="5"/>
      <c r="K69" s="4" t="str">
        <f t="shared" si="0"/>
        <v>A11 c/aro  = R$ 70,00</v>
      </c>
      <c r="M69" s="4" t="str">
        <f t="shared" si="1"/>
        <v>A11 c/aro  = R$ 75,00</v>
      </c>
      <c r="O69" s="4" t="str">
        <f t="shared" si="2"/>
        <v>A11 c/aro  = R$ 65,00</v>
      </c>
      <c r="Q69" s="4" t="str">
        <f t="shared" si="53"/>
        <v>A11 c/aro  = R$ 80,00</v>
      </c>
    </row>
    <row r="70" spans="1:17" ht="15.75" customHeight="1" x14ac:dyDescent="0.3">
      <c r="A70" t="s">
        <v>12137</v>
      </c>
      <c r="B70">
        <f>I44</f>
        <v>100</v>
      </c>
      <c r="E70" s="85" t="s">
        <v>13088</v>
      </c>
      <c r="F70" s="6">
        <v>80</v>
      </c>
      <c r="H70" s="4" t="s">
        <v>74</v>
      </c>
      <c r="I70" s="5">
        <f t="shared" si="41"/>
        <v>85</v>
      </c>
      <c r="J70" s="5"/>
      <c r="K70" s="4" t="str">
        <f t="shared" ref="K70" si="66">CONCATENATE(H70,I70,",00")</f>
        <v>A11 c/aro Nacional = R$ 85,00</v>
      </c>
      <c r="M70" s="4" t="str">
        <f t="shared" ref="M70" si="67">CONCATENATE(H70,I70+5,",00")</f>
        <v>A11 c/aro Nacional = R$ 90,00</v>
      </c>
      <c r="O70" s="4" t="str">
        <f t="shared" ref="O70" si="68">CONCATENATE(H70,I70-5,",00")</f>
        <v>A11 c/aro Nacional = R$ 80,00</v>
      </c>
      <c r="Q70" s="4" t="str">
        <f t="shared" ref="Q70" si="69">CONCATENATE(H70,I70+10,",00")</f>
        <v>A11 c/aro Nacional = R$ 95,00</v>
      </c>
    </row>
    <row r="71" spans="1:17" ht="15.75" customHeight="1" x14ac:dyDescent="0.3">
      <c r="A71" t="s">
        <v>2030</v>
      </c>
      <c r="B71">
        <f>I45</f>
        <v>75</v>
      </c>
      <c r="C71" t="s">
        <v>12661</v>
      </c>
      <c r="E71" s="85" t="s">
        <v>13089</v>
      </c>
      <c r="F71" s="6">
        <v>90</v>
      </c>
      <c r="H71" s="4" t="s">
        <v>11300</v>
      </c>
      <c r="I71" s="5">
        <f t="shared" si="41"/>
        <v>95</v>
      </c>
      <c r="J71" s="5"/>
      <c r="K71" s="4" t="str">
        <f t="shared" si="0"/>
        <v>A11 c/aro Nac Diamonds = 95,00</v>
      </c>
      <c r="M71" s="4" t="str">
        <f t="shared" si="1"/>
        <v>A11 c/aro Nac Diamonds = 100,00</v>
      </c>
      <c r="O71" s="4" t="str">
        <f t="shared" si="2"/>
        <v>A11 c/aro Nac Diamonds = 90,00</v>
      </c>
      <c r="Q71" s="4" t="str">
        <f t="shared" si="53"/>
        <v>A11 c/aro Nac Diamonds = 105,00</v>
      </c>
    </row>
    <row r="72" spans="1:17" ht="15.75" customHeight="1" x14ac:dyDescent="0.3">
      <c r="A72" t="s">
        <v>1866</v>
      </c>
      <c r="B72">
        <f>I46</f>
        <v>80</v>
      </c>
      <c r="C72" t="s">
        <v>12662</v>
      </c>
      <c r="E72" s="85" t="s">
        <v>13105</v>
      </c>
      <c r="F72" s="6">
        <v>65</v>
      </c>
      <c r="H72" s="4" t="s">
        <v>10723</v>
      </c>
      <c r="I72" s="5">
        <f>F11</f>
        <v>60</v>
      </c>
      <c r="J72" s="5"/>
      <c r="K72" s="4" t="str">
        <f t="shared" si="0"/>
        <v>A12 - orig         = R$ 60,00</v>
      </c>
      <c r="M72" s="4" t="str">
        <f t="shared" si="1"/>
        <v>A12 - orig         = R$ 65,00</v>
      </c>
      <c r="O72" s="4" t="str">
        <f t="shared" si="2"/>
        <v>A12 - orig         = R$ 55,00</v>
      </c>
      <c r="Q72" s="4" t="str">
        <f t="shared" si="53"/>
        <v>A12 - orig         = R$ 70,00</v>
      </c>
    </row>
    <row r="73" spans="1:17" ht="15.75" customHeight="1" x14ac:dyDescent="0.3">
      <c r="A73" t="s">
        <v>12036</v>
      </c>
      <c r="B73">
        <f>I47</f>
        <v>90</v>
      </c>
      <c r="C73" t="s">
        <v>12663</v>
      </c>
      <c r="E73" s="85" t="s">
        <v>76</v>
      </c>
      <c r="F73" s="6">
        <v>75</v>
      </c>
      <c r="H73" s="4" t="s">
        <v>10724</v>
      </c>
      <c r="I73" s="5">
        <f t="shared" ref="I73:J104" si="70">F69</f>
        <v>65</v>
      </c>
      <c r="J73" s="5"/>
      <c r="K73" s="4" t="str">
        <f t="shared" si="0"/>
        <v>A12 c/aro - orig= R$ 65,00</v>
      </c>
      <c r="M73" s="4" t="str">
        <f t="shared" si="1"/>
        <v>A12 c/aro - orig= R$ 70,00</v>
      </c>
      <c r="O73" s="4" t="str">
        <f t="shared" si="2"/>
        <v>A12 c/aro - orig= R$ 60,00</v>
      </c>
      <c r="Q73" s="4" t="str">
        <f t="shared" si="53"/>
        <v>A12 c/aro - orig= R$ 75,00</v>
      </c>
    </row>
    <row r="74" spans="1:17" ht="15.75" customHeight="1" x14ac:dyDescent="0.3">
      <c r="A74" t="s">
        <v>12037</v>
      </c>
      <c r="B74">
        <f>I47</f>
        <v>90</v>
      </c>
      <c r="C74" t="s">
        <v>12663</v>
      </c>
      <c r="E74" s="85" t="s">
        <v>78</v>
      </c>
      <c r="F74" s="6">
        <v>85</v>
      </c>
      <c r="H74" s="4" t="s">
        <v>75</v>
      </c>
      <c r="I74" s="5">
        <f t="shared" si="70"/>
        <v>80</v>
      </c>
      <c r="J74" s="5"/>
      <c r="K74" s="4" t="str">
        <f t="shared" ref="K74" si="71">CONCATENATE(H74,I74,",00")</f>
        <v>A12 c/aro Nacional = R$ 80,00</v>
      </c>
      <c r="M74" s="4" t="str">
        <f t="shared" ref="M74" si="72">CONCATENATE(H74,I74+5,",00")</f>
        <v>A12 c/aro Nacional = R$ 85,00</v>
      </c>
      <c r="O74" s="4" t="str">
        <f t="shared" ref="O74" si="73">CONCATENATE(H74,I74-5,",00")</f>
        <v>A12 c/aro Nacional = R$ 75,00</v>
      </c>
      <c r="Q74" s="4" t="str">
        <f t="shared" ref="Q74" si="74">CONCATENATE(H74,I74+10,",00")</f>
        <v>A12 c/aro Nacional = R$ 90,00</v>
      </c>
    </row>
    <row r="75" spans="1:17" ht="15.75" customHeight="1" x14ac:dyDescent="0.3">
      <c r="A75" t="s">
        <v>12038</v>
      </c>
      <c r="B75">
        <f>I48</f>
        <v>100</v>
      </c>
      <c r="E75" s="85" t="s">
        <v>11302</v>
      </c>
      <c r="F75" s="6">
        <v>95</v>
      </c>
      <c r="H75" s="4" t="s">
        <v>11301</v>
      </c>
      <c r="I75" s="5">
        <f t="shared" si="70"/>
        <v>90</v>
      </c>
      <c r="J75" s="5"/>
      <c r="K75" s="4" t="str">
        <f t="shared" si="0"/>
        <v>A12 c/aro Nac Diamonds = 90,00</v>
      </c>
      <c r="M75" s="4" t="str">
        <f t="shared" si="1"/>
        <v>A12 c/aro Nac Diamonds = 95,00</v>
      </c>
      <c r="O75" s="4" t="str">
        <f t="shared" si="2"/>
        <v>A12 c/aro Nac Diamonds = 85,00</v>
      </c>
      <c r="Q75" s="4" t="str">
        <f t="shared" si="53"/>
        <v>A12 c/aro Nac Diamonds = 100,00</v>
      </c>
    </row>
    <row r="76" spans="1:17" ht="15.75" customHeight="1" x14ac:dyDescent="0.3">
      <c r="A76" t="s">
        <v>12039</v>
      </c>
      <c r="B76">
        <f>I48</f>
        <v>100</v>
      </c>
      <c r="E76" s="85" t="s">
        <v>10706</v>
      </c>
      <c r="F76" s="6">
        <v>70</v>
      </c>
      <c r="H76" s="4" t="s">
        <v>77</v>
      </c>
      <c r="I76" s="5">
        <f t="shared" si="70"/>
        <v>65</v>
      </c>
      <c r="J76" s="5"/>
      <c r="K76" s="4" t="str">
        <f t="shared" si="0"/>
        <v>A13 4G - orig = R$ 65,00</v>
      </c>
      <c r="M76" s="4" t="str">
        <f t="shared" si="1"/>
        <v>A13 4G - orig = R$ 70,00</v>
      </c>
      <c r="O76" s="4" t="str">
        <f t="shared" si="2"/>
        <v>A13 4G - orig = R$ 60,00</v>
      </c>
      <c r="Q76" s="4" t="str">
        <f t="shared" si="53"/>
        <v>A13 4G - orig = R$ 75,00</v>
      </c>
    </row>
    <row r="77" spans="1:17" ht="15.75" customHeight="1" x14ac:dyDescent="0.3">
      <c r="A77" t="s">
        <v>2029</v>
      </c>
      <c r="B77">
        <f>I41</f>
        <v>65</v>
      </c>
      <c r="C77" t="s">
        <v>12658</v>
      </c>
      <c r="E77" s="85" t="s">
        <v>13104</v>
      </c>
      <c r="F77" s="6">
        <v>90</v>
      </c>
      <c r="H77" s="4" t="s">
        <v>79</v>
      </c>
      <c r="I77" s="5">
        <f t="shared" si="70"/>
        <v>75</v>
      </c>
      <c r="J77" s="5"/>
      <c r="K77" s="4" t="str">
        <f t="shared" si="0"/>
        <v>A13 4G c/aro            = R$ 75,00</v>
      </c>
      <c r="M77" s="4" t="str">
        <f t="shared" si="1"/>
        <v>A13 4G c/aro            = R$ 80,00</v>
      </c>
      <c r="O77" s="4" t="str">
        <f t="shared" si="2"/>
        <v>A13 4G c/aro            = R$ 70,00</v>
      </c>
      <c r="Q77" s="4" t="str">
        <f t="shared" si="53"/>
        <v>A13 4G c/aro            = R$ 85,00</v>
      </c>
    </row>
    <row r="78" spans="1:17" ht="15.75" customHeight="1" x14ac:dyDescent="0.3">
      <c r="A78" t="s">
        <v>13279</v>
      </c>
      <c r="B78">
        <f>I49</f>
        <v>65</v>
      </c>
      <c r="C78" t="s">
        <v>12742</v>
      </c>
      <c r="E78" s="85" t="s">
        <v>82</v>
      </c>
      <c r="F78" s="6">
        <v>105</v>
      </c>
      <c r="H78" s="4" t="s">
        <v>80</v>
      </c>
      <c r="I78" s="5">
        <f t="shared" si="70"/>
        <v>85</v>
      </c>
      <c r="J78" s="5"/>
      <c r="K78" s="4" t="str">
        <f t="shared" ref="K78" si="75">CONCATENATE(H78,I78,",00")</f>
        <v>A13 4G c/aro Nacional = R$ 85,00</v>
      </c>
      <c r="M78" s="4" t="str">
        <f t="shared" ref="M78" si="76">CONCATENATE(H78,I78+5,",00")</f>
        <v>A13 4G c/aro Nacional = R$ 90,00</v>
      </c>
      <c r="O78" s="4" t="str">
        <f t="shared" ref="O78" si="77">CONCATENATE(H78,I78-5,",00")</f>
        <v>A13 4G c/aro Nacional = R$ 80,00</v>
      </c>
      <c r="Q78" s="4" t="str">
        <f t="shared" ref="Q78" si="78">CONCATENATE(H78,I78+10,",00")</f>
        <v>A13 4G c/aro Nacional = R$ 95,00</v>
      </c>
    </row>
    <row r="79" spans="1:17" ht="15.75" customHeight="1" x14ac:dyDescent="0.3">
      <c r="A79" t="s">
        <v>13280</v>
      </c>
      <c r="B79">
        <f>I50</f>
        <v>80</v>
      </c>
      <c r="C79" t="s">
        <v>12741</v>
      </c>
      <c r="E79" s="85" t="s">
        <v>11304</v>
      </c>
      <c r="F79" s="6">
        <v>115</v>
      </c>
      <c r="H79" s="4" t="s">
        <v>11303</v>
      </c>
      <c r="I79" s="5">
        <f t="shared" si="70"/>
        <v>95</v>
      </c>
      <c r="J79" s="5"/>
      <c r="K79" s="4" t="str">
        <f t="shared" si="0"/>
        <v>A13 4G c/aro Nac Diamonds = 95,00</v>
      </c>
      <c r="M79" s="4" t="str">
        <f t="shared" si="1"/>
        <v>A13 4G c/aro Nac Diamonds = 100,00</v>
      </c>
      <c r="O79" s="4" t="str">
        <f t="shared" si="2"/>
        <v>A13 4G c/aro Nac Diamonds = 90,00</v>
      </c>
      <c r="Q79" s="4" t="str">
        <f t="shared" si="53"/>
        <v>A13 4G c/aro Nac Diamonds = 105,00</v>
      </c>
    </row>
    <row r="80" spans="1:17" ht="15.75" customHeight="1" x14ac:dyDescent="0.3">
      <c r="A80" t="s">
        <v>12680</v>
      </c>
      <c r="B80">
        <f>I49</f>
        <v>65</v>
      </c>
      <c r="C80" t="s">
        <v>12742</v>
      </c>
      <c r="E80" s="85" t="s">
        <v>84</v>
      </c>
      <c r="F80" s="6">
        <v>70</v>
      </c>
      <c r="H80" s="4" t="s">
        <v>81</v>
      </c>
      <c r="I80" s="5">
        <f t="shared" si="70"/>
        <v>70</v>
      </c>
      <c r="J80" s="5"/>
      <c r="K80" s="4" t="str">
        <f t="shared" si="0"/>
        <v>A13 5G      = R$ 70,00</v>
      </c>
      <c r="M80" s="4" t="str">
        <f t="shared" si="1"/>
        <v>A13 5G      = R$ 75,00</v>
      </c>
      <c r="O80" s="4" t="str">
        <f t="shared" si="2"/>
        <v>A13 5G      = R$ 65,00</v>
      </c>
      <c r="Q80" s="4" t="str">
        <f t="shared" si="53"/>
        <v>A13 5G      = R$ 80,00</v>
      </c>
    </row>
    <row r="81" spans="1:17" ht="15.75" customHeight="1" x14ac:dyDescent="0.3">
      <c r="A81" t="s">
        <v>12681</v>
      </c>
      <c r="B81">
        <f>I50</f>
        <v>80</v>
      </c>
      <c r="C81" t="s">
        <v>12741</v>
      </c>
      <c r="E81" s="85" t="s">
        <v>86</v>
      </c>
      <c r="F81" s="6">
        <v>75</v>
      </c>
      <c r="H81" s="4" t="s">
        <v>83</v>
      </c>
      <c r="I81" s="5">
        <f t="shared" si="70"/>
        <v>90</v>
      </c>
      <c r="J81" s="5"/>
      <c r="K81" s="4" t="str">
        <f t="shared" si="0"/>
        <v>A13 5G c/aro = R$ 90,00</v>
      </c>
      <c r="M81" s="4" t="str">
        <f t="shared" si="1"/>
        <v>A13 5G c/aro = R$ 95,00</v>
      </c>
      <c r="O81" s="4" t="str">
        <f t="shared" si="2"/>
        <v>A13 5G c/aro = R$ 85,00</v>
      </c>
      <c r="Q81" s="4" t="str">
        <f t="shared" si="53"/>
        <v>A13 5G c/aro = R$ 100,00</v>
      </c>
    </row>
    <row r="82" spans="1:17" ht="15.75" customHeight="1" x14ac:dyDescent="0.3">
      <c r="A82" t="s">
        <v>12682</v>
      </c>
      <c r="B82">
        <f>I51</f>
        <v>90</v>
      </c>
      <c r="C82" t="s">
        <v>12743</v>
      </c>
      <c r="E82" s="85" t="s">
        <v>10565</v>
      </c>
      <c r="F82" s="16">
        <v>85</v>
      </c>
      <c r="H82" s="4" t="s">
        <v>85</v>
      </c>
      <c r="I82" s="5">
        <f t="shared" si="70"/>
        <v>105</v>
      </c>
      <c r="J82" s="5"/>
      <c r="K82" s="4" t="str">
        <f t="shared" ref="K82" si="79">CONCATENATE(H82,I82,",00")</f>
        <v>A13 5G c/aro Nacional = R$ 105,00</v>
      </c>
      <c r="M82" s="4" t="str">
        <f t="shared" ref="M82" si="80">CONCATENATE(H82,I82+5,",00")</f>
        <v>A13 5G c/aro Nacional = R$ 110,00</v>
      </c>
      <c r="O82" s="4" t="str">
        <f t="shared" ref="O82" si="81">CONCATENATE(H82,I82-5,",00")</f>
        <v>A13 5G c/aro Nacional = R$ 100,00</v>
      </c>
      <c r="Q82" s="4" t="str">
        <f t="shared" ref="Q82" si="82">CONCATENATE(H82,I82+10,",00")</f>
        <v>A13 5G c/aro Nacional = R$ 115,00</v>
      </c>
    </row>
    <row r="83" spans="1:17" ht="15.75" customHeight="1" x14ac:dyDescent="0.3">
      <c r="A83" t="s">
        <v>12683</v>
      </c>
      <c r="B83">
        <f>I51</f>
        <v>90</v>
      </c>
      <c r="C83" t="s">
        <v>12743</v>
      </c>
      <c r="E83" s="85" t="s">
        <v>11306</v>
      </c>
      <c r="F83" s="16">
        <v>95</v>
      </c>
      <c r="H83" s="4" t="s">
        <v>11305</v>
      </c>
      <c r="I83" s="5">
        <f t="shared" si="70"/>
        <v>115</v>
      </c>
      <c r="J83" s="5"/>
      <c r="K83" s="4" t="str">
        <f t="shared" si="0"/>
        <v>A13 5G c/aro Nac Diamonds = 115,00</v>
      </c>
      <c r="M83" s="4" t="str">
        <f t="shared" si="1"/>
        <v>A13 5G c/aro Nac Diamonds = 120,00</v>
      </c>
      <c r="O83" s="4" t="str">
        <f t="shared" si="2"/>
        <v>A13 5G c/aro Nac Diamonds = 110,00</v>
      </c>
      <c r="Q83" s="4" t="str">
        <f t="shared" si="53"/>
        <v>A13 5G c/aro Nac Diamonds = 125,00</v>
      </c>
    </row>
    <row r="84" spans="1:17" ht="15.75" customHeight="1" x14ac:dyDescent="0.3">
      <c r="A84" t="s">
        <v>12684</v>
      </c>
      <c r="B84">
        <f>I52</f>
        <v>100</v>
      </c>
      <c r="E84" s="85" t="s">
        <v>88</v>
      </c>
      <c r="F84" s="6">
        <v>65</v>
      </c>
      <c r="H84" s="4" t="s">
        <v>87</v>
      </c>
      <c r="I84" s="5">
        <f t="shared" si="70"/>
        <v>70</v>
      </c>
      <c r="J84" s="5"/>
      <c r="K84" s="4" t="str">
        <f t="shared" si="0"/>
        <v>A14 4G             = R$ 70,00</v>
      </c>
      <c r="M84" s="4" t="str">
        <f t="shared" si="1"/>
        <v>A14 4G             = R$ 75,00</v>
      </c>
      <c r="O84" s="4" t="str">
        <f t="shared" si="2"/>
        <v>A14 4G             = R$ 65,00</v>
      </c>
      <c r="Q84" s="4" t="str">
        <f t="shared" si="53"/>
        <v>A14 4G             = R$ 80,00</v>
      </c>
    </row>
    <row r="85" spans="1:17" ht="15.75" customHeight="1" x14ac:dyDescent="0.3">
      <c r="A85" t="s">
        <v>12685</v>
      </c>
      <c r="B85">
        <f>I52</f>
        <v>100</v>
      </c>
      <c r="E85" s="85" t="s">
        <v>90</v>
      </c>
      <c r="F85" s="6">
        <v>80</v>
      </c>
      <c r="H85" s="4" t="s">
        <v>89</v>
      </c>
      <c r="I85" s="5">
        <f t="shared" si="70"/>
        <v>75</v>
      </c>
      <c r="J85" s="5"/>
      <c r="K85" s="4" t="str">
        <f t="shared" si="0"/>
        <v>A14 4G c/aro           = R$ 75,00</v>
      </c>
      <c r="M85" s="4" t="str">
        <f t="shared" si="1"/>
        <v>A14 4G c/aro           = R$ 80,00</v>
      </c>
      <c r="O85" s="4" t="str">
        <f t="shared" si="2"/>
        <v>A14 4G c/aro           = R$ 70,00</v>
      </c>
      <c r="Q85" s="4" t="str">
        <f t="shared" si="53"/>
        <v>A14 4G c/aro           = R$ 85,00</v>
      </c>
    </row>
    <row r="86" spans="1:17" ht="15.75" customHeight="1" x14ac:dyDescent="0.3">
      <c r="A86" t="s">
        <v>13281</v>
      </c>
      <c r="B86">
        <f>I53</f>
        <v>70</v>
      </c>
      <c r="C86" t="s">
        <v>12744</v>
      </c>
      <c r="E86" s="85" t="s">
        <v>92</v>
      </c>
      <c r="F86" s="6">
        <v>90</v>
      </c>
      <c r="H86" s="4" t="s">
        <v>10566</v>
      </c>
      <c r="I86" s="5">
        <f t="shared" si="70"/>
        <v>85</v>
      </c>
      <c r="J86" s="5"/>
      <c r="K86" s="4" t="str">
        <f t="shared" si="0"/>
        <v>A14 4G c/aro Nacional = R$ 85,00</v>
      </c>
      <c r="M86" s="4" t="str">
        <f t="shared" si="1"/>
        <v>A14 4G c/aro Nacional = R$ 90,00</v>
      </c>
      <c r="O86" s="4" t="str">
        <f t="shared" si="2"/>
        <v>A14 4G c/aro Nacional = R$ 80,00</v>
      </c>
      <c r="Q86" s="4" t="str">
        <f t="shared" si="53"/>
        <v>A14 4G c/aro Nacional = R$ 95,00</v>
      </c>
    </row>
    <row r="87" spans="1:17" ht="15.75" customHeight="1" x14ac:dyDescent="0.3">
      <c r="A87" t="s">
        <v>13282</v>
      </c>
      <c r="B87">
        <f>I54</f>
        <v>85</v>
      </c>
      <c r="C87" t="s">
        <v>12745</v>
      </c>
      <c r="E87" s="85" t="s">
        <v>11308</v>
      </c>
      <c r="F87" s="6">
        <v>100</v>
      </c>
      <c r="H87" s="4" t="s">
        <v>11307</v>
      </c>
      <c r="I87" s="5">
        <f t="shared" si="70"/>
        <v>95</v>
      </c>
      <c r="J87" s="5"/>
      <c r="K87" s="4" t="str">
        <f t="shared" ref="K87" si="83">CONCATENATE(H87,I87,",00")</f>
        <v>A14 4G c/aro Nac Diamonds = 95,00</v>
      </c>
      <c r="M87" s="4" t="str">
        <f t="shared" ref="M87" si="84">CONCATENATE(H87,I87+5,",00")</f>
        <v>A14 4G c/aro Nac Diamonds = 100,00</v>
      </c>
      <c r="O87" s="4" t="str">
        <f t="shared" ref="O87" si="85">CONCATENATE(H87,I87-5,",00")</f>
        <v>A14 4G c/aro Nac Diamonds = 90,00</v>
      </c>
      <c r="Q87" s="4" t="str">
        <f t="shared" ref="Q87" si="86">CONCATENATE(H87,I87+10,",00")</f>
        <v>A14 4G c/aro Nac Diamonds = 105,00</v>
      </c>
    </row>
    <row r="88" spans="1:17" ht="15.75" customHeight="1" x14ac:dyDescent="0.3">
      <c r="A88" t="s">
        <v>12686</v>
      </c>
      <c r="B88">
        <f>I53</f>
        <v>70</v>
      </c>
      <c r="C88" t="s">
        <v>12744</v>
      </c>
      <c r="E88" s="85" t="s">
        <v>94</v>
      </c>
      <c r="F88" s="6">
        <v>80</v>
      </c>
      <c r="H88" s="4" t="s">
        <v>91</v>
      </c>
      <c r="I88" s="5">
        <f t="shared" si="70"/>
        <v>65</v>
      </c>
      <c r="J88" s="5"/>
      <c r="K88" s="4" t="str">
        <f t="shared" si="0"/>
        <v>A14 5G   = R$ 65,00</v>
      </c>
      <c r="M88" s="4" t="str">
        <f t="shared" si="1"/>
        <v>A14 5G   = R$ 70,00</v>
      </c>
      <c r="O88" s="4" t="str">
        <f t="shared" si="2"/>
        <v>A14 5G   = R$ 60,00</v>
      </c>
      <c r="Q88" s="4" t="str">
        <f t="shared" ref="Q88:Q126" si="87">CONCATENATE(H88,I88+10,",00")</f>
        <v>A14 5G   = R$ 75,00</v>
      </c>
    </row>
    <row r="89" spans="1:17" ht="15.75" customHeight="1" x14ac:dyDescent="0.3">
      <c r="A89" t="s">
        <v>12692</v>
      </c>
      <c r="B89">
        <f>I53</f>
        <v>70</v>
      </c>
      <c r="C89" t="s">
        <v>12744</v>
      </c>
      <c r="E89" s="85" t="s">
        <v>12571</v>
      </c>
      <c r="F89" s="6">
        <v>150</v>
      </c>
      <c r="H89" s="4" t="s">
        <v>93</v>
      </c>
      <c r="I89" s="5">
        <f t="shared" si="70"/>
        <v>80</v>
      </c>
      <c r="J89" s="5"/>
      <c r="K89" s="4" t="str">
        <f t="shared" si="0"/>
        <v>A14 5G c/aro           = R$ 80,00</v>
      </c>
      <c r="M89" s="4" t="str">
        <f t="shared" si="1"/>
        <v>A14 5G c/aro           = R$ 85,00</v>
      </c>
      <c r="O89" s="4" t="str">
        <f t="shared" si="2"/>
        <v>A14 5G c/aro           = R$ 75,00</v>
      </c>
      <c r="Q89" s="4" t="str">
        <f t="shared" si="87"/>
        <v>A14 5G c/aro           = R$ 90,00</v>
      </c>
    </row>
    <row r="90" spans="1:17" ht="15.75" customHeight="1" x14ac:dyDescent="0.3">
      <c r="A90" t="s">
        <v>12687</v>
      </c>
      <c r="B90">
        <f>I54</f>
        <v>85</v>
      </c>
      <c r="C90" t="s">
        <v>12745</v>
      </c>
      <c r="E90" s="85" t="s">
        <v>11312</v>
      </c>
      <c r="F90" s="6">
        <v>160</v>
      </c>
      <c r="H90" s="4" t="s">
        <v>95</v>
      </c>
      <c r="I90" s="5">
        <f t="shared" si="70"/>
        <v>90</v>
      </c>
      <c r="J90" s="5"/>
      <c r="K90" s="4" t="str">
        <f t="shared" ref="K90" si="88">CONCATENATE(H90,I90,",00")</f>
        <v>A14 5G c/aro Nacional = R$ 90,00</v>
      </c>
      <c r="M90" s="4" t="str">
        <f t="shared" ref="M90" si="89">CONCATENATE(H90,I90+5,",00")</f>
        <v>A14 5G c/aro Nacional = R$ 95,00</v>
      </c>
      <c r="O90" s="4" t="str">
        <f t="shared" ref="O90" si="90">CONCATENATE(H90,I90-5,",00")</f>
        <v>A14 5G c/aro Nacional = R$ 85,00</v>
      </c>
      <c r="Q90" s="4" t="str">
        <f t="shared" ref="Q90" si="91">CONCATENATE(H90,I90+10,",00")</f>
        <v>A14 5G c/aro Nacional = R$ 100,00</v>
      </c>
    </row>
    <row r="91" spans="1:17" ht="15.75" customHeight="1" x14ac:dyDescent="0.3">
      <c r="A91" t="s">
        <v>12693</v>
      </c>
      <c r="B91">
        <f>I54</f>
        <v>85</v>
      </c>
      <c r="C91" t="s">
        <v>12745</v>
      </c>
      <c r="E91" s="85" t="s">
        <v>11310</v>
      </c>
      <c r="F91" s="6">
        <v>200</v>
      </c>
      <c r="H91" s="4" t="s">
        <v>11309</v>
      </c>
      <c r="I91" s="5">
        <f t="shared" si="70"/>
        <v>100</v>
      </c>
      <c r="J91" s="5"/>
      <c r="K91" s="4" t="str">
        <f t="shared" si="0"/>
        <v>A14 5G c/aro Nac Diamonds = 100,00</v>
      </c>
      <c r="M91" s="4" t="str">
        <f t="shared" si="1"/>
        <v>A14 5G c/aro Nac Diamonds = 105,00</v>
      </c>
      <c r="O91" s="4" t="str">
        <f t="shared" si="2"/>
        <v>A14 5G c/aro Nac Diamonds = 95,00</v>
      </c>
      <c r="Q91" s="4" t="str">
        <f t="shared" si="87"/>
        <v>A14 5G c/aro Nac Diamonds = 110,00</v>
      </c>
    </row>
    <row r="92" spans="1:17" ht="15.75" customHeight="1" x14ac:dyDescent="0.3">
      <c r="A92" t="s">
        <v>12688</v>
      </c>
      <c r="B92">
        <f>I55</f>
        <v>95</v>
      </c>
      <c r="C92" t="s">
        <v>12746</v>
      </c>
      <c r="E92" s="85" t="s">
        <v>11311</v>
      </c>
      <c r="F92" s="6">
        <v>210</v>
      </c>
      <c r="H92" s="89" t="s">
        <v>96</v>
      </c>
      <c r="I92" s="90">
        <f t="shared" si="70"/>
        <v>80</v>
      </c>
      <c r="J92" s="5"/>
      <c r="K92" s="4" t="str">
        <f t="shared" si="0"/>
        <v>A15 - incell c/aro   = R$ 80,00</v>
      </c>
      <c r="M92" s="4" t="str">
        <f t="shared" si="1"/>
        <v>A15 - incell c/aro   = R$ 85,00</v>
      </c>
      <c r="O92" s="4" t="str">
        <f t="shared" si="2"/>
        <v>A15 - incell c/aro   = R$ 75,00</v>
      </c>
      <c r="Q92" s="4" t="str">
        <f t="shared" si="87"/>
        <v>A15 - incell c/aro   = R$ 90,00</v>
      </c>
    </row>
    <row r="93" spans="1:17" ht="15.75" customHeight="1" x14ac:dyDescent="0.3">
      <c r="A93" t="s">
        <v>12689</v>
      </c>
      <c r="B93">
        <f>I55</f>
        <v>95</v>
      </c>
      <c r="C93" t="s">
        <v>12746</v>
      </c>
      <c r="E93" s="85" t="s">
        <v>12282</v>
      </c>
      <c r="F93" s="16">
        <v>85</v>
      </c>
      <c r="H93" s="89" t="s">
        <v>97</v>
      </c>
      <c r="I93" s="90">
        <f t="shared" si="70"/>
        <v>150</v>
      </c>
      <c r="J93" s="5"/>
      <c r="K93" s="4" t="str">
        <f t="shared" si="0"/>
        <v>A15 - original      = R$ 150,00</v>
      </c>
      <c r="M93" s="4" t="str">
        <f t="shared" si="1"/>
        <v>A15 - original      = R$ 155,00</v>
      </c>
      <c r="O93" s="4" t="str">
        <f t="shared" si="2"/>
        <v>A15 - original      = R$ 145,00</v>
      </c>
      <c r="Q93" s="4" t="str">
        <f t="shared" si="87"/>
        <v>A15 - original      = R$ 160,00</v>
      </c>
    </row>
    <row r="94" spans="1:17" ht="15.75" customHeight="1" x14ac:dyDescent="0.3">
      <c r="A94" t="s">
        <v>12690</v>
      </c>
      <c r="B94">
        <f>I56</f>
        <v>105</v>
      </c>
      <c r="E94" s="85" t="s">
        <v>12283</v>
      </c>
      <c r="F94" s="16">
        <v>100</v>
      </c>
      <c r="H94" s="89" t="s">
        <v>98</v>
      </c>
      <c r="I94" s="90">
        <f t="shared" si="70"/>
        <v>160</v>
      </c>
      <c r="J94" s="5"/>
      <c r="K94" s="4" t="str">
        <f t="shared" si="0"/>
        <v>A15 - orig c/aro      = R$ 160,00</v>
      </c>
      <c r="M94" s="4" t="str">
        <f t="shared" si="1"/>
        <v>A15 - orig c/aro      = R$ 165,00</v>
      </c>
      <c r="O94" s="4" t="str">
        <f t="shared" si="2"/>
        <v>A15 - orig c/aro      = R$ 155,00</v>
      </c>
      <c r="Q94" s="4" t="str">
        <f t="shared" si="87"/>
        <v>A15 - orig c/aro      = R$ 170,00</v>
      </c>
    </row>
    <row r="95" spans="1:17" ht="15.75" customHeight="1" x14ac:dyDescent="0.3">
      <c r="A95" t="s">
        <v>12691</v>
      </c>
      <c r="B95">
        <f>I56</f>
        <v>105</v>
      </c>
      <c r="E95" s="85" t="s">
        <v>12284</v>
      </c>
      <c r="F95" s="16">
        <v>205</v>
      </c>
      <c r="H95" s="89" t="s">
        <v>11313</v>
      </c>
      <c r="I95" s="90">
        <f t="shared" si="70"/>
        <v>200</v>
      </c>
      <c r="J95" s="5"/>
      <c r="K95" s="4" t="str">
        <f t="shared" ref="K95" si="92">CONCATENATE(H95,I95,",00")</f>
        <v>A15 c/aro Nacional = R$ 200,00</v>
      </c>
      <c r="M95" s="4" t="str">
        <f t="shared" ref="M95" si="93">CONCATENATE(H95,I95+5,",00")</f>
        <v>A15 c/aro Nacional = R$ 205,00</v>
      </c>
      <c r="O95" s="4" t="str">
        <f t="shared" ref="O95" si="94">CONCATENATE(H95,I95-5,",00")</f>
        <v>A15 c/aro Nacional = R$ 195,00</v>
      </c>
      <c r="Q95" s="4" t="str">
        <f t="shared" ref="Q95" si="95">CONCATENATE(H95,I95+10,",00")</f>
        <v>A15 c/aro Nacional = R$ 210,00</v>
      </c>
    </row>
    <row r="96" spans="1:17" ht="15.75" customHeight="1" x14ac:dyDescent="0.3">
      <c r="A96" t="s">
        <v>13009</v>
      </c>
      <c r="B96">
        <f>I57</f>
        <v>85</v>
      </c>
      <c r="E96" s="85" t="s">
        <v>12285</v>
      </c>
      <c r="F96" s="16">
        <v>220</v>
      </c>
      <c r="H96" s="89" t="s">
        <v>11314</v>
      </c>
      <c r="I96" s="90">
        <f t="shared" si="70"/>
        <v>210</v>
      </c>
      <c r="J96" s="5"/>
      <c r="K96" s="4" t="str">
        <f t="shared" si="0"/>
        <v>A15 c/aro Nac Diamonds = 210,00</v>
      </c>
      <c r="M96" s="4" t="str">
        <f t="shared" si="1"/>
        <v>A15 c/aro Nac Diamonds = 215,00</v>
      </c>
      <c r="O96" s="4" t="str">
        <f t="shared" si="2"/>
        <v>A15 c/aro Nac Diamonds = 205,00</v>
      </c>
      <c r="Q96" s="4" t="str">
        <f t="shared" si="87"/>
        <v>A15 c/aro Nac Diamonds = 220,00</v>
      </c>
    </row>
    <row r="97" spans="1:17" ht="15.75" customHeight="1" x14ac:dyDescent="0.3">
      <c r="A97" t="s">
        <v>13010</v>
      </c>
      <c r="B97">
        <f>I57</f>
        <v>85</v>
      </c>
      <c r="E97" s="85" t="s">
        <v>12523</v>
      </c>
      <c r="F97" s="16">
        <v>90</v>
      </c>
      <c r="H97" s="4" t="s">
        <v>12286</v>
      </c>
      <c r="I97" s="5">
        <f t="shared" si="70"/>
        <v>85</v>
      </c>
      <c r="J97" s="5"/>
      <c r="K97" s="4" t="str">
        <f t="shared" ref="K97:K107" si="96">CONCATENATE(H97,I97,",00")</f>
        <v>A16 4G - incell     = R$ 85,00</v>
      </c>
      <c r="M97" s="4" t="str">
        <f t="shared" ref="M97:M107" si="97">CONCATENATE(H97,I97+5,",00")</f>
        <v>A16 4G - incell     = R$ 90,00</v>
      </c>
      <c r="O97" s="4" t="str">
        <f t="shared" ref="O97:O107" si="98">CONCATENATE(H97,I97-5,",00")</f>
        <v>A16 4G - incell     = R$ 80,00</v>
      </c>
      <c r="Q97" s="4" t="str">
        <f t="shared" ref="Q97:Q107" si="99">CONCATENATE(H97,I97+10,",00")</f>
        <v>A16 4G - incell     = R$ 95,00</v>
      </c>
    </row>
    <row r="98" spans="1:17" ht="15.75" customHeight="1" x14ac:dyDescent="0.3">
      <c r="A98" t="s">
        <v>13011</v>
      </c>
      <c r="B98">
        <f>I58</f>
        <v>95</v>
      </c>
      <c r="E98" s="85" t="s">
        <v>12524</v>
      </c>
      <c r="F98" s="16">
        <v>105</v>
      </c>
      <c r="H98" s="4" t="s">
        <v>12287</v>
      </c>
      <c r="I98" s="5">
        <f t="shared" si="70"/>
        <v>100</v>
      </c>
      <c r="J98" s="5"/>
      <c r="K98" s="4" t="str">
        <f t="shared" si="96"/>
        <v>A16 4G - incell c/aro = R$ 100,00</v>
      </c>
      <c r="M98" s="4" t="str">
        <f t="shared" si="97"/>
        <v>A16 4G - incell c/aro = R$ 105,00</v>
      </c>
      <c r="O98" s="4" t="str">
        <f t="shared" si="98"/>
        <v>A16 4G - incell c/aro = R$ 95,00</v>
      </c>
      <c r="Q98" s="4" t="str">
        <f t="shared" si="99"/>
        <v>A16 4G - incell c/aro = R$ 110,00</v>
      </c>
    </row>
    <row r="99" spans="1:17" ht="15.75" customHeight="1" x14ac:dyDescent="0.3">
      <c r="A99" t="s">
        <v>13012</v>
      </c>
      <c r="B99">
        <f>I58</f>
        <v>95</v>
      </c>
      <c r="E99" s="85" t="s">
        <v>12525</v>
      </c>
      <c r="F99" s="16">
        <v>210</v>
      </c>
      <c r="H99" s="4" t="s">
        <v>12289</v>
      </c>
      <c r="I99" s="5">
        <f t="shared" si="70"/>
        <v>205</v>
      </c>
      <c r="J99" s="5"/>
      <c r="K99" s="4" t="str">
        <f t="shared" si="96"/>
        <v>A16 4G - original      = R$ 205,00</v>
      </c>
      <c r="M99" s="4" t="str">
        <f t="shared" si="97"/>
        <v>A16 4G - original      = R$ 210,00</v>
      </c>
      <c r="O99" s="4" t="str">
        <f t="shared" si="98"/>
        <v>A16 4G - original      = R$ 200,00</v>
      </c>
      <c r="Q99" s="4" t="str">
        <f t="shared" si="99"/>
        <v>A16 4G - original      = R$ 215,00</v>
      </c>
    </row>
    <row r="100" spans="1:17" ht="15.75" customHeight="1" x14ac:dyDescent="0.3">
      <c r="A100" t="s">
        <v>13013</v>
      </c>
      <c r="B100">
        <f>I59</f>
        <v>110</v>
      </c>
      <c r="E100" s="85" t="s">
        <v>12526</v>
      </c>
      <c r="F100" s="16">
        <v>250</v>
      </c>
      <c r="H100" s="4" t="s">
        <v>12288</v>
      </c>
      <c r="I100" s="5">
        <f t="shared" si="70"/>
        <v>220</v>
      </c>
      <c r="J100" s="5"/>
      <c r="K100" s="4" t="str">
        <f t="shared" si="96"/>
        <v>A16 4G - c/aro - orig    = R$ 220,00</v>
      </c>
      <c r="M100" s="4" t="str">
        <f t="shared" si="97"/>
        <v>A16 4G - c/aro - orig    = R$ 225,00</v>
      </c>
      <c r="O100" s="4" t="str">
        <f t="shared" si="98"/>
        <v>A16 4G - c/aro - orig    = R$ 215,00</v>
      </c>
      <c r="Q100" s="4" t="str">
        <f t="shared" si="99"/>
        <v>A16 4G - c/aro - orig    = R$ 230,00</v>
      </c>
    </row>
    <row r="101" spans="1:17" ht="15.75" customHeight="1" x14ac:dyDescent="0.3">
      <c r="A101" t="s">
        <v>13014</v>
      </c>
      <c r="B101">
        <f>I59</f>
        <v>110</v>
      </c>
      <c r="E101" s="85" t="s">
        <v>13058</v>
      </c>
      <c r="F101" s="16">
        <v>100</v>
      </c>
      <c r="H101" s="4" t="s">
        <v>12527</v>
      </c>
      <c r="I101" s="5">
        <f t="shared" si="70"/>
        <v>90</v>
      </c>
      <c r="J101" s="5"/>
      <c r="K101" s="4" t="str">
        <f t="shared" si="96"/>
        <v>A16 5G - incell     = R$ 90,00</v>
      </c>
      <c r="M101" s="4" t="str">
        <f t="shared" si="97"/>
        <v>A16 5G - incell     = R$ 95,00</v>
      </c>
      <c r="O101" s="4" t="str">
        <f t="shared" si="98"/>
        <v>A16 5G - incell     = R$ 85,00</v>
      </c>
      <c r="Q101" s="4" t="str">
        <f t="shared" si="99"/>
        <v>A16 5G - incell     = R$ 100,00</v>
      </c>
    </row>
    <row r="102" spans="1:17" ht="15.75" customHeight="1" x14ac:dyDescent="0.3">
      <c r="A102" t="s">
        <v>3041</v>
      </c>
      <c r="B102">
        <f>I60</f>
        <v>55</v>
      </c>
      <c r="C102" t="s">
        <v>12747</v>
      </c>
      <c r="E102" s="85" t="s">
        <v>13057</v>
      </c>
      <c r="F102" s="16">
        <v>220</v>
      </c>
      <c r="H102" s="4" t="s">
        <v>12528</v>
      </c>
      <c r="I102" s="5">
        <f t="shared" si="70"/>
        <v>105</v>
      </c>
      <c r="J102" s="5"/>
      <c r="K102" s="4" t="str">
        <f t="shared" si="96"/>
        <v>A16 5G - incell c/aro = R$ 105,00</v>
      </c>
      <c r="M102" s="4" t="str">
        <f t="shared" si="97"/>
        <v>A16 5G - incell c/aro = R$ 110,00</v>
      </c>
      <c r="O102" s="4" t="str">
        <f t="shared" si="98"/>
        <v>A16 5G - incell c/aro = R$ 100,00</v>
      </c>
      <c r="Q102" s="4" t="str">
        <f t="shared" si="99"/>
        <v>A16 5G - incell c/aro = R$ 115,00</v>
      </c>
    </row>
    <row r="103" spans="1:17" ht="15.75" customHeight="1" x14ac:dyDescent="0.3">
      <c r="A103" t="s">
        <v>1867</v>
      </c>
      <c r="B103">
        <f>I61</f>
        <v>65</v>
      </c>
      <c r="C103" t="s">
        <v>12748</v>
      </c>
      <c r="E103" s="85" t="s">
        <v>13154</v>
      </c>
      <c r="F103" s="16">
        <v>230</v>
      </c>
      <c r="H103" s="4" t="s">
        <v>12529</v>
      </c>
      <c r="I103" s="5">
        <f t="shared" si="70"/>
        <v>210</v>
      </c>
      <c r="J103" s="5"/>
      <c r="K103" s="4" t="str">
        <f t="shared" si="96"/>
        <v>A16 5G - original      = R$ 210,00</v>
      </c>
      <c r="M103" s="4" t="str">
        <f t="shared" si="97"/>
        <v>A16 5G - original      = R$ 215,00</v>
      </c>
      <c r="O103" s="4" t="str">
        <f t="shared" si="98"/>
        <v>A16 5G - original      = R$ 205,00</v>
      </c>
      <c r="Q103" s="4" t="str">
        <f t="shared" si="99"/>
        <v>A16 5G - original      = R$ 220,00</v>
      </c>
    </row>
    <row r="104" spans="1:17" ht="15.75" customHeight="1" x14ac:dyDescent="0.3">
      <c r="A104" t="s">
        <v>2342</v>
      </c>
      <c r="B104">
        <f>I62</f>
        <v>80</v>
      </c>
      <c r="C104" t="s">
        <v>12749</v>
      </c>
      <c r="E104" s="85" t="s">
        <v>2441</v>
      </c>
      <c r="F104" s="6">
        <v>70</v>
      </c>
      <c r="H104" s="4" t="s">
        <v>12530</v>
      </c>
      <c r="I104" s="5">
        <f t="shared" si="70"/>
        <v>250</v>
      </c>
      <c r="J104" s="5"/>
      <c r="K104" s="4" t="str">
        <f t="shared" si="96"/>
        <v>A16 5G - c/aro - orig    = R$ 250,00</v>
      </c>
      <c r="M104" s="4" t="str">
        <f t="shared" si="97"/>
        <v>A16 5G - c/aro - orig    = R$ 255,00</v>
      </c>
      <c r="O104" s="4" t="str">
        <f t="shared" si="98"/>
        <v>A16 5G - c/aro - orig    = R$ 245,00</v>
      </c>
      <c r="Q104" s="4" t="str">
        <f t="shared" si="99"/>
        <v>A16 5G - c/aro - orig    = R$ 260,00</v>
      </c>
    </row>
    <row r="105" spans="1:17" ht="15.75" customHeight="1" x14ac:dyDescent="0.3">
      <c r="A105" t="s">
        <v>2503</v>
      </c>
      <c r="B105">
        <f>I62</f>
        <v>80</v>
      </c>
      <c r="C105" t="s">
        <v>12749</v>
      </c>
      <c r="E105" s="85" t="s">
        <v>99</v>
      </c>
      <c r="F105" s="6">
        <v>130</v>
      </c>
      <c r="H105" s="4" t="s">
        <v>13059</v>
      </c>
      <c r="I105" s="5">
        <f t="shared" ref="I105:J106" si="100">F101</f>
        <v>100</v>
      </c>
      <c r="J105" s="5"/>
      <c r="K105" s="4" t="str">
        <f t="shared" si="96"/>
        <v>A17 - incell c/aro = R$ 100,00</v>
      </c>
      <c r="M105" s="4" t="str">
        <f t="shared" si="97"/>
        <v>A17 - incell c/aro = R$ 105,00</v>
      </c>
      <c r="O105" s="4" t="str">
        <f t="shared" si="98"/>
        <v>A17 - incell c/aro = R$ 95,00</v>
      </c>
      <c r="Q105" s="4" t="str">
        <f t="shared" si="99"/>
        <v>A17 - incell c/aro = R$ 110,00</v>
      </c>
    </row>
    <row r="106" spans="1:17" ht="15.75" customHeight="1" x14ac:dyDescent="0.3">
      <c r="A106" t="s">
        <v>11426</v>
      </c>
      <c r="B106">
        <f>I63</f>
        <v>90</v>
      </c>
      <c r="E106" s="85" t="s">
        <v>100</v>
      </c>
      <c r="F106" s="6">
        <v>135</v>
      </c>
      <c r="H106" s="4" t="s">
        <v>13060</v>
      </c>
      <c r="I106" s="5">
        <f t="shared" si="100"/>
        <v>220</v>
      </c>
      <c r="J106" s="5"/>
      <c r="K106" s="4" t="str">
        <f t="shared" si="96"/>
        <v>A17 - original             = R$ 220,00</v>
      </c>
      <c r="M106" s="4" t="str">
        <f t="shared" si="97"/>
        <v>A17 - original             = R$ 225,00</v>
      </c>
      <c r="O106" s="4" t="str">
        <f t="shared" si="98"/>
        <v>A17 - original             = R$ 215,00</v>
      </c>
      <c r="Q106" s="4" t="str">
        <f t="shared" si="99"/>
        <v>A17 - original             = R$ 230,00</v>
      </c>
    </row>
    <row r="107" spans="1:17" ht="15.75" customHeight="1" x14ac:dyDescent="0.3">
      <c r="A107" t="s">
        <v>11427</v>
      </c>
      <c r="B107">
        <f>I63</f>
        <v>90</v>
      </c>
      <c r="E107" s="85" t="s">
        <v>12040</v>
      </c>
      <c r="F107" s="16">
        <v>170</v>
      </c>
      <c r="H107" s="4" t="s">
        <v>13155</v>
      </c>
      <c r="I107" s="5">
        <f t="shared" ref="I107:J131" si="101">F103</f>
        <v>230</v>
      </c>
      <c r="J107" s="5"/>
      <c r="K107" s="4" t="str">
        <f t="shared" si="96"/>
        <v>A17 - original c/aro = R$ 230,00</v>
      </c>
      <c r="M107" s="4" t="str">
        <f t="shared" si="97"/>
        <v>A17 - original c/aro = R$ 235,00</v>
      </c>
      <c r="O107" s="4" t="str">
        <f t="shared" si="98"/>
        <v>A17 - original c/aro = R$ 225,00</v>
      </c>
      <c r="Q107" s="4" t="str">
        <f t="shared" si="99"/>
        <v>A17 - original c/aro = R$ 240,00</v>
      </c>
    </row>
    <row r="108" spans="1:17" ht="15.75" customHeight="1" x14ac:dyDescent="0.3">
      <c r="A108" t="s">
        <v>2032</v>
      </c>
      <c r="B108">
        <f>I64</f>
        <v>60</v>
      </c>
      <c r="C108" t="s">
        <v>12750</v>
      </c>
      <c r="E108" s="85" t="s">
        <v>102</v>
      </c>
      <c r="F108" s="6">
        <v>60</v>
      </c>
      <c r="H108" s="4" t="s">
        <v>2442</v>
      </c>
      <c r="I108" s="5">
        <f t="shared" si="101"/>
        <v>70</v>
      </c>
      <c r="J108" s="5"/>
      <c r="K108" s="4" t="str">
        <f t="shared" si="0"/>
        <v>A20 - incell c/aro = R$ 70,00</v>
      </c>
      <c r="M108" s="4" t="str">
        <f t="shared" si="1"/>
        <v>A20 - incell c/aro = R$ 75,00</v>
      </c>
      <c r="O108" s="4" t="str">
        <f t="shared" si="2"/>
        <v>A20 - incell c/aro = R$ 65,00</v>
      </c>
      <c r="Q108" s="4" t="str">
        <f t="shared" si="87"/>
        <v>A20 - incell c/aro = R$ 80,00</v>
      </c>
    </row>
    <row r="109" spans="1:17" ht="15.75" customHeight="1" x14ac:dyDescent="0.3">
      <c r="A109" t="s">
        <v>1868</v>
      </c>
      <c r="B109">
        <f>I65</f>
        <v>65</v>
      </c>
      <c r="C109" t="s">
        <v>12751</v>
      </c>
      <c r="E109" s="85" t="s">
        <v>104</v>
      </c>
      <c r="F109" s="6">
        <v>65</v>
      </c>
      <c r="H109" s="4" t="s">
        <v>101</v>
      </c>
      <c r="I109" s="5">
        <f t="shared" si="101"/>
        <v>130</v>
      </c>
      <c r="J109" s="5"/>
      <c r="K109" s="4" t="str">
        <f t="shared" si="0"/>
        <v>A20 - original             = R$ 130,00</v>
      </c>
      <c r="M109" s="4" t="str">
        <f t="shared" si="1"/>
        <v>A20 - original             = R$ 135,00</v>
      </c>
      <c r="O109" s="4" t="str">
        <f t="shared" si="2"/>
        <v>A20 - original             = R$ 125,00</v>
      </c>
      <c r="Q109" s="4" t="str">
        <f t="shared" si="87"/>
        <v>A20 - original             = R$ 140,00</v>
      </c>
    </row>
    <row r="110" spans="1:17" ht="15.75" customHeight="1" x14ac:dyDescent="0.3">
      <c r="A110" t="s">
        <v>2343</v>
      </c>
      <c r="B110">
        <f>I66</f>
        <v>75</v>
      </c>
      <c r="C110" t="s">
        <v>12752</v>
      </c>
      <c r="E110" s="85" t="s">
        <v>106</v>
      </c>
      <c r="F110" s="6">
        <v>85</v>
      </c>
      <c r="H110" s="4" t="s">
        <v>103</v>
      </c>
      <c r="I110" s="5">
        <f t="shared" si="101"/>
        <v>135</v>
      </c>
      <c r="J110" s="5"/>
      <c r="K110" s="4" t="str">
        <f t="shared" si="0"/>
        <v>A20 c/aro - orig         = R$ 135,00</v>
      </c>
      <c r="M110" s="4" t="str">
        <f t="shared" si="1"/>
        <v>A20 c/aro - orig         = R$ 140,00</v>
      </c>
      <c r="O110" s="4" t="str">
        <f t="shared" si="2"/>
        <v>A20 c/aro - orig         = R$ 130,00</v>
      </c>
      <c r="Q110" s="4" t="str">
        <f t="shared" si="87"/>
        <v>A20 c/aro - orig         = R$ 145,00</v>
      </c>
    </row>
    <row r="111" spans="1:17" ht="15.75" customHeight="1" x14ac:dyDescent="0.3">
      <c r="A111" t="s">
        <v>2504</v>
      </c>
      <c r="B111">
        <f>I66</f>
        <v>75</v>
      </c>
      <c r="C111" t="s">
        <v>12752</v>
      </c>
      <c r="E111" s="85" t="s">
        <v>11315</v>
      </c>
      <c r="F111" s="6">
        <v>95</v>
      </c>
      <c r="H111" s="4" t="s">
        <v>12041</v>
      </c>
      <c r="I111" s="5">
        <f t="shared" si="101"/>
        <v>170</v>
      </c>
      <c r="J111" s="5"/>
      <c r="K111" s="4" t="str">
        <f t="shared" ref="K111" si="102">CONCATENATE(H111,I111,",00")</f>
        <v>A20 c/aro Nac Diamonds = 170,00</v>
      </c>
      <c r="M111" s="4" t="str">
        <f t="shared" ref="M111" si="103">CONCATENATE(H111,I111+5,",00")</f>
        <v>A20 c/aro Nac Diamonds = 175,00</v>
      </c>
      <c r="O111" s="4" t="str">
        <f t="shared" ref="O111" si="104">CONCATENATE(H111,I111-5,",00")</f>
        <v>A20 c/aro Nac Diamonds = 165,00</v>
      </c>
      <c r="Q111" s="4" t="str">
        <f t="shared" ref="Q111" si="105">CONCATENATE(H111,I111+10,",00")</f>
        <v>A20 c/aro Nac Diamonds = 180,00</v>
      </c>
    </row>
    <row r="112" spans="1:17" ht="15.75" customHeight="1" x14ac:dyDescent="0.3">
      <c r="A112" t="s">
        <v>11428</v>
      </c>
      <c r="B112">
        <f>I67</f>
        <v>85</v>
      </c>
      <c r="E112" s="85" t="s">
        <v>108</v>
      </c>
      <c r="F112" s="6">
        <v>90</v>
      </c>
      <c r="H112" s="4" t="s">
        <v>105</v>
      </c>
      <c r="I112" s="5">
        <f t="shared" si="101"/>
        <v>60</v>
      </c>
      <c r="J112" s="5"/>
      <c r="K112" s="4" t="str">
        <f t="shared" si="0"/>
        <v>A20s   = R$ 60,00</v>
      </c>
      <c r="M112" s="4" t="str">
        <f t="shared" si="1"/>
        <v>A20s   = R$ 65,00</v>
      </c>
      <c r="O112" s="4" t="str">
        <f t="shared" si="2"/>
        <v>A20s   = R$ 55,00</v>
      </c>
      <c r="Q112" s="4" t="str">
        <f t="shared" si="87"/>
        <v>A20s   = R$ 70,00</v>
      </c>
    </row>
    <row r="113" spans="1:17" ht="15.75" customHeight="1" x14ac:dyDescent="0.3">
      <c r="A113" t="s">
        <v>11429</v>
      </c>
      <c r="B113">
        <f>I67</f>
        <v>85</v>
      </c>
      <c r="E113" s="85" t="s">
        <v>109</v>
      </c>
      <c r="F113" s="6">
        <v>60</v>
      </c>
      <c r="H113" s="4" t="s">
        <v>107</v>
      </c>
      <c r="I113" s="5">
        <f t="shared" si="101"/>
        <v>65</v>
      </c>
      <c r="J113" s="5"/>
      <c r="K113" s="4" t="str">
        <f t="shared" si="0"/>
        <v>A20s c/aro - orig       = R$ 65,00</v>
      </c>
      <c r="M113" s="4" t="str">
        <f t="shared" si="1"/>
        <v>A20s c/aro - orig       = R$ 70,00</v>
      </c>
      <c r="O113" s="4" t="str">
        <f t="shared" si="2"/>
        <v>A20s c/aro - orig       = R$ 60,00</v>
      </c>
      <c r="Q113" s="4" t="str">
        <f t="shared" si="87"/>
        <v>A20s c/aro - orig       = R$ 75,00</v>
      </c>
    </row>
    <row r="114" spans="1:17" ht="15.75" customHeight="1" x14ac:dyDescent="0.3">
      <c r="A114" t="s">
        <v>2031</v>
      </c>
      <c r="B114">
        <f>I60</f>
        <v>55</v>
      </c>
      <c r="C114" t="s">
        <v>12747</v>
      </c>
      <c r="E114" s="85" t="s">
        <v>111</v>
      </c>
      <c r="F114" s="6">
        <v>65</v>
      </c>
      <c r="H114" s="4" t="s">
        <v>11316</v>
      </c>
      <c r="I114" s="5">
        <f t="shared" si="101"/>
        <v>85</v>
      </c>
      <c r="J114" s="5"/>
      <c r="K114" s="4" t="str">
        <f t="shared" ref="K114" si="106">CONCATENATE(H114,I114,",00")</f>
        <v>A20s c/aro Nacional = R$ 85,00</v>
      </c>
      <c r="M114" s="4" t="str">
        <f t="shared" ref="M114" si="107">CONCATENATE(H114,I114+5,",00")</f>
        <v>A20s c/aro Nacional = R$ 90,00</v>
      </c>
      <c r="O114" s="4" t="str">
        <f t="shared" ref="O114" si="108">CONCATENATE(H114,I114-5,",00")</f>
        <v>A20s c/aro Nacional = R$ 80,00</v>
      </c>
      <c r="Q114" s="4" t="str">
        <f t="shared" ref="Q114" si="109">CONCATENATE(H114,I114+10,",00")</f>
        <v>A20s c/aro Nacional = R$ 95,00</v>
      </c>
    </row>
    <row r="115" spans="1:17" ht="15.75" customHeight="1" x14ac:dyDescent="0.3">
      <c r="A115" t="s">
        <v>2033</v>
      </c>
      <c r="B115">
        <f>I68</f>
        <v>65</v>
      </c>
      <c r="C115" t="s">
        <v>12753</v>
      </c>
      <c r="E115" s="85" t="s">
        <v>112</v>
      </c>
      <c r="F115" s="6">
        <v>80</v>
      </c>
      <c r="H115" s="4" t="s">
        <v>11317</v>
      </c>
      <c r="I115" s="5">
        <f t="shared" si="101"/>
        <v>95</v>
      </c>
      <c r="J115" s="5"/>
      <c r="K115" s="4" t="str">
        <f t="shared" si="0"/>
        <v>A20s c/aro Nac Diamonds = 95,00</v>
      </c>
      <c r="M115" s="4" t="str">
        <f t="shared" si="1"/>
        <v>A20s c/aro Nac Diamonds = 100,00</v>
      </c>
      <c r="O115" s="4" t="str">
        <f t="shared" si="2"/>
        <v>A20s c/aro Nac Diamonds = 90,00</v>
      </c>
      <c r="Q115" s="4" t="str">
        <f t="shared" si="87"/>
        <v>A20s c/aro Nac Diamonds = 105,00</v>
      </c>
    </row>
    <row r="116" spans="1:17" ht="15.75" customHeight="1" x14ac:dyDescent="0.3">
      <c r="A116" t="s">
        <v>1869</v>
      </c>
      <c r="B116">
        <f>I69</f>
        <v>70</v>
      </c>
      <c r="C116" t="s">
        <v>12754</v>
      </c>
      <c r="E116" s="85" t="s">
        <v>11318</v>
      </c>
      <c r="F116" s="6">
        <v>90</v>
      </c>
      <c r="H116" s="4" t="s">
        <v>110</v>
      </c>
      <c r="I116" s="5">
        <f t="shared" si="101"/>
        <v>90</v>
      </c>
      <c r="J116" s="5"/>
      <c r="K116" s="4" t="str">
        <f t="shared" si="0"/>
        <v>A21 - orig     = R$ 90,00</v>
      </c>
      <c r="M116" s="4" t="str">
        <f t="shared" si="1"/>
        <v>A21 - orig     = R$ 95,00</v>
      </c>
      <c r="O116" s="4" t="str">
        <f t="shared" si="2"/>
        <v>A21 - orig     = R$ 85,00</v>
      </c>
      <c r="Q116" s="4" t="str">
        <f t="shared" si="87"/>
        <v>A21 - orig     = R$ 100,00</v>
      </c>
    </row>
    <row r="117" spans="1:17" ht="15.75" customHeight="1" x14ac:dyDescent="0.3">
      <c r="A117" t="s">
        <v>2344</v>
      </c>
      <c r="B117">
        <f>I70</f>
        <v>85</v>
      </c>
      <c r="C117" t="s">
        <v>12755</v>
      </c>
      <c r="E117" s="85" t="s">
        <v>2470</v>
      </c>
      <c r="F117" s="6">
        <v>75</v>
      </c>
      <c r="H117" s="4" t="s">
        <v>2969</v>
      </c>
      <c r="I117" s="5">
        <f t="shared" si="101"/>
        <v>60</v>
      </c>
      <c r="J117" s="5"/>
      <c r="K117" s="4" t="str">
        <f t="shared" si="0"/>
        <v>A21s - orig    = R$ 60,00</v>
      </c>
      <c r="M117" s="4" t="str">
        <f t="shared" si="1"/>
        <v>A21s - orig    = R$ 65,00</v>
      </c>
      <c r="O117" s="4" t="str">
        <f t="shared" si="2"/>
        <v>A21s - orig    = R$ 55,00</v>
      </c>
      <c r="Q117" s="4" t="str">
        <f t="shared" si="87"/>
        <v>A21s - orig    = R$ 70,00</v>
      </c>
    </row>
    <row r="118" spans="1:17" ht="15.75" customHeight="1" x14ac:dyDescent="0.3">
      <c r="A118" t="s">
        <v>2505</v>
      </c>
      <c r="B118">
        <f>I70</f>
        <v>85</v>
      </c>
      <c r="C118" t="s">
        <v>12755</v>
      </c>
      <c r="E118" s="85" t="s">
        <v>10707</v>
      </c>
      <c r="F118" s="6">
        <v>150</v>
      </c>
      <c r="H118" s="4" t="s">
        <v>113</v>
      </c>
      <c r="I118" s="5">
        <f t="shared" si="101"/>
        <v>65</v>
      </c>
      <c r="J118" s="5"/>
      <c r="K118" s="4" t="str">
        <f t="shared" si="0"/>
        <v>A21s c/aro      = R$ 65,00</v>
      </c>
      <c r="M118" s="4" t="str">
        <f t="shared" si="1"/>
        <v>A21s c/aro      = R$ 70,00</v>
      </c>
      <c r="O118" s="4" t="str">
        <f t="shared" si="2"/>
        <v>A21s c/aro      = R$ 60,00</v>
      </c>
      <c r="Q118" s="4" t="str">
        <f t="shared" si="87"/>
        <v>A21s c/aro      = R$ 75,00</v>
      </c>
    </row>
    <row r="119" spans="1:17" ht="15.75" customHeight="1" x14ac:dyDescent="0.3">
      <c r="A119" t="s">
        <v>11430</v>
      </c>
      <c r="B119">
        <f>I71</f>
        <v>95</v>
      </c>
      <c r="E119" s="85" t="s">
        <v>12276</v>
      </c>
      <c r="F119" s="16">
        <v>170</v>
      </c>
      <c r="H119" s="4" t="s">
        <v>11319</v>
      </c>
      <c r="I119" s="5">
        <f t="shared" si="101"/>
        <v>80</v>
      </c>
      <c r="J119" s="5"/>
      <c r="K119" s="4" t="str">
        <f t="shared" ref="K119" si="110">CONCATENATE(H119,I119,",00")</f>
        <v>A21s c/aro Nacional = R$ 80,00</v>
      </c>
      <c r="M119" s="4" t="str">
        <f t="shared" ref="M119" si="111">CONCATENATE(H119,I119+5,",00")</f>
        <v>A21s c/aro Nacional = R$ 85,00</v>
      </c>
      <c r="O119" s="4" t="str">
        <f t="shared" ref="O119" si="112">CONCATENATE(H119,I119-5,",00")</f>
        <v>A21s c/aro Nacional = R$ 75,00</v>
      </c>
      <c r="Q119" s="4" t="str">
        <f t="shared" ref="Q119" si="113">CONCATENATE(H119,I119+10,",00")</f>
        <v>A21s c/aro Nacional = R$ 90,00</v>
      </c>
    </row>
    <row r="120" spans="1:17" ht="15.75" customHeight="1" x14ac:dyDescent="0.3">
      <c r="A120" t="s">
        <v>11431</v>
      </c>
      <c r="B120">
        <f>I71</f>
        <v>95</v>
      </c>
      <c r="E120" s="85" t="s">
        <v>115</v>
      </c>
      <c r="F120" s="6">
        <v>75</v>
      </c>
      <c r="H120" s="4" t="s">
        <v>11320</v>
      </c>
      <c r="I120" s="5">
        <f t="shared" si="101"/>
        <v>90</v>
      </c>
      <c r="J120" s="5"/>
      <c r="K120" s="4" t="str">
        <f t="shared" si="0"/>
        <v>A21s c/aro Nac Diamonds = 90,00</v>
      </c>
      <c r="M120" s="4" t="str">
        <f t="shared" si="1"/>
        <v>A21s c/aro Nac Diamonds = 95,00</v>
      </c>
      <c r="O120" s="4" t="str">
        <f t="shared" si="2"/>
        <v>A21s c/aro Nac Diamonds = 85,00</v>
      </c>
      <c r="Q120" s="4" t="str">
        <f t="shared" si="87"/>
        <v>A21s c/aro Nac Diamonds = 100,00</v>
      </c>
    </row>
    <row r="121" spans="1:17" ht="15.75" customHeight="1" x14ac:dyDescent="0.3">
      <c r="A121" t="s">
        <v>2034</v>
      </c>
      <c r="B121">
        <f>I72</f>
        <v>60</v>
      </c>
      <c r="C121" t="s">
        <v>12632</v>
      </c>
      <c r="E121" s="85" t="s">
        <v>10684</v>
      </c>
      <c r="F121" s="6">
        <v>85</v>
      </c>
      <c r="H121" s="4" t="s">
        <v>2471</v>
      </c>
      <c r="I121" s="5">
        <f t="shared" si="101"/>
        <v>75</v>
      </c>
      <c r="J121" s="5"/>
      <c r="K121" s="4" t="str">
        <f t="shared" si="0"/>
        <v>A22 4G - incell c/aro = R$  75,00</v>
      </c>
      <c r="M121" s="4" t="str">
        <f t="shared" si="1"/>
        <v>A22 4G - incell c/aro = R$  80,00</v>
      </c>
      <c r="O121" s="4" t="str">
        <f t="shared" si="2"/>
        <v>A22 4G - incell c/aro = R$  70,00</v>
      </c>
      <c r="Q121" s="4" t="str">
        <f t="shared" si="87"/>
        <v>A22 4G - incell c/aro = R$  85,00</v>
      </c>
    </row>
    <row r="122" spans="1:17" ht="15.75" customHeight="1" x14ac:dyDescent="0.3">
      <c r="A122" t="s">
        <v>2506</v>
      </c>
      <c r="B122">
        <f>I74</f>
        <v>80</v>
      </c>
      <c r="C122" t="s">
        <v>12756</v>
      </c>
      <c r="E122" s="85" t="s">
        <v>11321</v>
      </c>
      <c r="F122" s="16">
        <v>95</v>
      </c>
      <c r="H122" s="4" t="s">
        <v>114</v>
      </c>
      <c r="I122" s="5">
        <f t="shared" si="101"/>
        <v>150</v>
      </c>
      <c r="J122" s="5"/>
      <c r="K122" s="4" t="str">
        <f t="shared" si="0"/>
        <v>A22 4G c/aro-original= R$ 150,00</v>
      </c>
      <c r="M122" s="4" t="str">
        <f t="shared" si="1"/>
        <v>A22 4G c/aro-original= R$ 155,00</v>
      </c>
      <c r="O122" s="4" t="str">
        <f t="shared" si="2"/>
        <v>A22 4G c/aro-original= R$ 145,00</v>
      </c>
      <c r="Q122" s="4" t="str">
        <f t="shared" si="87"/>
        <v>A22 4G c/aro-original= R$ 160,00</v>
      </c>
    </row>
    <row r="123" spans="1:17" ht="15.75" customHeight="1" x14ac:dyDescent="0.3">
      <c r="A123" t="s">
        <v>11432</v>
      </c>
      <c r="B123">
        <f>I75</f>
        <v>90</v>
      </c>
      <c r="E123" s="85" t="s">
        <v>11322</v>
      </c>
      <c r="F123" s="16">
        <v>105</v>
      </c>
      <c r="H123" s="4" t="s">
        <v>12277</v>
      </c>
      <c r="I123" s="5">
        <f t="shared" si="101"/>
        <v>170</v>
      </c>
      <c r="J123" s="5"/>
      <c r="K123" s="4" t="str">
        <f t="shared" ref="K123" si="114">CONCATENATE(H123,I123,",00")</f>
        <v>A22 4G c/aro Nac Diamonds = 170,00</v>
      </c>
      <c r="M123" s="4" t="str">
        <f t="shared" ref="M123" si="115">CONCATENATE(H123,I123+5,",00")</f>
        <v>A22 4G c/aro Nac Diamonds = 175,00</v>
      </c>
      <c r="O123" s="4" t="str">
        <f t="shared" ref="O123" si="116">CONCATENATE(H123,I123-5,",00")</f>
        <v>A22 4G c/aro Nac Diamonds = 165,00</v>
      </c>
      <c r="Q123" s="4" t="str">
        <f t="shared" ref="Q123" si="117">CONCATENATE(H123,I123+10,",00")</f>
        <v>A22 4G c/aro Nac Diamonds = 180,00</v>
      </c>
    </row>
    <row r="124" spans="1:17" ht="15.75" customHeight="1" x14ac:dyDescent="0.3">
      <c r="A124" t="s">
        <v>11433</v>
      </c>
      <c r="B124">
        <f>I75</f>
        <v>90</v>
      </c>
      <c r="E124" s="86" t="s">
        <v>13108</v>
      </c>
      <c r="F124" s="16">
        <v>65</v>
      </c>
      <c r="H124" s="4" t="s">
        <v>116</v>
      </c>
      <c r="I124" s="5">
        <f t="shared" si="101"/>
        <v>75</v>
      </c>
      <c r="J124" s="5"/>
      <c r="K124" s="4" t="str">
        <f t="shared" ref="K124:K163" si="118">CONCATENATE(H124,I124,",00")</f>
        <v>A22 5G - orig            = R$ 75,00</v>
      </c>
      <c r="M124" s="4" t="str">
        <f t="shared" ref="M124:M163" si="119">CONCATENATE(H124,I124+5,",00")</f>
        <v>A22 5G - orig            = R$ 80,00</v>
      </c>
      <c r="O124" s="4" t="str">
        <f t="shared" si="2"/>
        <v>A22 5G - orig            = R$ 70,00</v>
      </c>
      <c r="Q124" s="4" t="str">
        <f t="shared" si="87"/>
        <v>A22 5G - orig            = R$ 85,00</v>
      </c>
    </row>
    <row r="125" spans="1:17" ht="15.75" customHeight="1" x14ac:dyDescent="0.3">
      <c r="A125" t="s">
        <v>5068</v>
      </c>
      <c r="B125">
        <f>I76</f>
        <v>65</v>
      </c>
      <c r="C125" t="s">
        <v>12757</v>
      </c>
      <c r="E125" s="85" t="s">
        <v>13106</v>
      </c>
      <c r="F125" s="6">
        <v>75</v>
      </c>
      <c r="H125" s="4" t="s">
        <v>117</v>
      </c>
      <c r="I125" s="5">
        <f t="shared" si="101"/>
        <v>85</v>
      </c>
      <c r="J125" s="5"/>
      <c r="K125" s="4" t="str">
        <f t="shared" si="118"/>
        <v>A22 5G c/aro- orig    = R$ 85,00</v>
      </c>
      <c r="M125" s="4" t="str">
        <f t="shared" si="119"/>
        <v>A22 5G c/aro- orig    = R$ 90,00</v>
      </c>
      <c r="O125" s="4" t="str">
        <f t="shared" si="2"/>
        <v>A22 5G c/aro- orig    = R$ 80,00</v>
      </c>
      <c r="Q125" s="4" t="str">
        <f t="shared" si="87"/>
        <v>A22 5G c/aro- orig    = R$ 95,00</v>
      </c>
    </row>
    <row r="126" spans="1:17" ht="15.75" customHeight="1" x14ac:dyDescent="0.3">
      <c r="A126" t="s">
        <v>2035</v>
      </c>
      <c r="B126">
        <f>I76</f>
        <v>65</v>
      </c>
      <c r="C126" t="s">
        <v>12757</v>
      </c>
      <c r="E126" s="85" t="s">
        <v>13107</v>
      </c>
      <c r="F126" s="6">
        <v>85</v>
      </c>
      <c r="H126" s="4" t="s">
        <v>11323</v>
      </c>
      <c r="I126" s="5">
        <f t="shared" si="101"/>
        <v>95</v>
      </c>
      <c r="J126" s="5"/>
      <c r="K126" s="4" t="str">
        <f t="shared" si="118"/>
        <v>A22 5G c/aro Nacional = R$ 95,00</v>
      </c>
      <c r="M126" s="4" t="str">
        <f t="shared" si="119"/>
        <v>A22 5G c/aro Nacional = R$ 100,00</v>
      </c>
      <c r="O126" s="4" t="str">
        <f t="shared" si="2"/>
        <v>A22 5G c/aro Nacional = R$ 90,00</v>
      </c>
      <c r="Q126" s="4" t="str">
        <f t="shared" si="87"/>
        <v>A22 5G c/aro Nacional = R$ 105,00</v>
      </c>
    </row>
    <row r="127" spans="1:17" ht="15.75" customHeight="1" x14ac:dyDescent="0.3">
      <c r="A127" s="42" t="s">
        <v>10559</v>
      </c>
      <c r="B127">
        <f>I77</f>
        <v>75</v>
      </c>
      <c r="C127" t="s">
        <v>12758</v>
      </c>
      <c r="E127" s="85" t="s">
        <v>11325</v>
      </c>
      <c r="F127" s="6">
        <v>95</v>
      </c>
      <c r="H127" s="4" t="s">
        <v>11324</v>
      </c>
      <c r="I127" s="5">
        <f t="shared" si="101"/>
        <v>105</v>
      </c>
      <c r="J127" s="5"/>
      <c r="K127" s="4" t="str">
        <f t="shared" ref="K127" si="120">CONCATENATE(H127,I127,",00")</f>
        <v>A22 5G c/aro Nac Diamonds = 105,00</v>
      </c>
      <c r="M127" s="4" t="str">
        <f t="shared" ref="M127" si="121">CONCATENATE(H127,I127+5,",00")</f>
        <v>A22 5G c/aro Nac Diamonds = 110,00</v>
      </c>
      <c r="O127" s="4" t="str">
        <f t="shared" ref="O127" si="122">CONCATENATE(H127,I127-5,",00")</f>
        <v>A22 5G c/aro Nac Diamonds = 100,00</v>
      </c>
      <c r="Q127" s="4" t="str">
        <f t="shared" ref="Q127" si="123">CONCATENATE(H127,I127+10,",00")</f>
        <v>A22 5G c/aro Nac Diamonds = 115,00</v>
      </c>
    </row>
    <row r="128" spans="1:17" ht="15.75" customHeight="1" x14ac:dyDescent="0.3">
      <c r="A128" t="s">
        <v>1871</v>
      </c>
      <c r="B128">
        <f>I77</f>
        <v>75</v>
      </c>
      <c r="C128" t="s">
        <v>12758</v>
      </c>
      <c r="E128" s="85" t="s">
        <v>11327</v>
      </c>
      <c r="F128" s="6">
        <v>95</v>
      </c>
      <c r="H128" s="4" t="s">
        <v>118</v>
      </c>
      <c r="I128" s="5">
        <f t="shared" si="101"/>
        <v>65</v>
      </c>
      <c r="J128" s="5"/>
      <c r="K128" s="4" t="str">
        <f t="shared" si="118"/>
        <v>A23 4G - original       = R$ 65,00</v>
      </c>
      <c r="M128" s="4" t="str">
        <f t="shared" si="119"/>
        <v>A23 4G - original       = R$ 70,00</v>
      </c>
      <c r="O128" s="4" t="str">
        <f t="shared" si="2"/>
        <v>A23 4G - original       = R$ 60,00</v>
      </c>
      <c r="Q128" s="4" t="str">
        <f t="shared" ref="Q128:Q174" si="124">CONCATENATE(H128,I128+10,",00")</f>
        <v>A23 4G - original       = R$ 75,00</v>
      </c>
    </row>
    <row r="129" spans="1:17" ht="15.75" customHeight="1" x14ac:dyDescent="0.3">
      <c r="A129" t="s">
        <v>2346</v>
      </c>
      <c r="B129">
        <f>I78</f>
        <v>85</v>
      </c>
      <c r="C129" t="s">
        <v>12759</v>
      </c>
      <c r="E129" s="85" t="s">
        <v>10995</v>
      </c>
      <c r="F129" s="6">
        <v>75</v>
      </c>
      <c r="H129" s="4" t="s">
        <v>119</v>
      </c>
      <c r="I129" s="5">
        <f t="shared" si="101"/>
        <v>75</v>
      </c>
      <c r="J129" s="5"/>
      <c r="K129" s="4" t="str">
        <f t="shared" si="118"/>
        <v>A23 4G c/aro - orig     = R$ 75,00</v>
      </c>
      <c r="M129" s="4" t="str">
        <f t="shared" si="119"/>
        <v>A23 4G c/aro - orig     = R$ 80,00</v>
      </c>
      <c r="O129" s="4" t="str">
        <f t="shared" si="2"/>
        <v>A23 4G c/aro - orig     = R$ 70,00</v>
      </c>
      <c r="Q129" s="4" t="str">
        <f t="shared" si="124"/>
        <v>A23 4G c/aro - orig     = R$ 85,00</v>
      </c>
    </row>
    <row r="130" spans="1:17" ht="15.75" customHeight="1" x14ac:dyDescent="0.3">
      <c r="A130" t="s">
        <v>2507</v>
      </c>
      <c r="B130">
        <f>I78</f>
        <v>85</v>
      </c>
      <c r="C130" t="s">
        <v>12759</v>
      </c>
      <c r="E130" s="85" t="s">
        <v>124</v>
      </c>
      <c r="F130" s="6">
        <v>85</v>
      </c>
      <c r="H130" s="4" t="s">
        <v>120</v>
      </c>
      <c r="I130" s="5">
        <f t="shared" si="101"/>
        <v>85</v>
      </c>
      <c r="J130" s="5"/>
      <c r="K130" s="4" t="str">
        <f t="shared" ref="K130" si="125">CONCATENATE(H130,I130,",00")</f>
        <v>A23 4G c/aro Nacional=R$ 85,00</v>
      </c>
      <c r="M130" s="4" t="str">
        <f t="shared" ref="M130" si="126">CONCATENATE(H130,I130+5,",00")</f>
        <v>A23 4G c/aro Nacional=R$ 90,00</v>
      </c>
      <c r="O130" s="4" t="str">
        <f t="shared" ref="O130" si="127">CONCATENATE(H130,I130-5,",00")</f>
        <v>A23 4G c/aro Nacional=R$ 80,00</v>
      </c>
      <c r="Q130" s="4" t="str">
        <f t="shared" ref="Q130" si="128">CONCATENATE(H130,I130+10,",00")</f>
        <v>A23 4G c/aro Nacional=R$ 95,00</v>
      </c>
    </row>
    <row r="131" spans="1:17" ht="15.75" customHeight="1" x14ac:dyDescent="0.3">
      <c r="A131" t="s">
        <v>11434</v>
      </c>
      <c r="B131">
        <f>I79</f>
        <v>95</v>
      </c>
      <c r="E131" s="85" t="s">
        <v>10996</v>
      </c>
      <c r="F131" s="16">
        <v>160</v>
      </c>
      <c r="H131" s="4" t="s">
        <v>11326</v>
      </c>
      <c r="I131" s="5">
        <f t="shared" si="101"/>
        <v>95</v>
      </c>
      <c r="J131" s="5"/>
      <c r="K131" s="4" t="str">
        <f t="shared" si="118"/>
        <v>A23 4G c/aro Nac Diamonds = 95,00</v>
      </c>
      <c r="M131" s="4" t="str">
        <f t="shared" si="119"/>
        <v>A23 4G c/aro Nac Diamonds = 100,00</v>
      </c>
      <c r="O131" s="4" t="str">
        <f t="shared" si="2"/>
        <v>A23 4G c/aro Nac Diamonds = 90,00</v>
      </c>
      <c r="Q131" s="4" t="str">
        <f t="shared" si="124"/>
        <v>A23 4G c/aro Nac Diamonds = 105,00</v>
      </c>
    </row>
    <row r="132" spans="1:17" ht="15.75" customHeight="1" x14ac:dyDescent="0.3">
      <c r="A132" t="s">
        <v>11435</v>
      </c>
      <c r="B132">
        <f>I79</f>
        <v>95</v>
      </c>
      <c r="E132" s="85" t="s">
        <v>126</v>
      </c>
      <c r="F132" s="6">
        <v>170</v>
      </c>
      <c r="H132" s="4" t="s">
        <v>121</v>
      </c>
      <c r="I132" s="5">
        <f>F124</f>
        <v>65</v>
      </c>
      <c r="J132" s="5"/>
      <c r="K132" s="4" t="str">
        <f t="shared" si="118"/>
        <v>A23 5G - original        = R$ 65,00</v>
      </c>
      <c r="M132" s="4" t="str">
        <f t="shared" si="119"/>
        <v>A23 5G - original        = R$ 70,00</v>
      </c>
      <c r="O132" s="4" t="str">
        <f t="shared" si="2"/>
        <v>A23 5G - original        = R$ 60,00</v>
      </c>
      <c r="Q132" s="4" t="str">
        <f t="shared" si="124"/>
        <v>A23 5G - original        = R$ 75,00</v>
      </c>
    </row>
    <row r="133" spans="1:17" ht="15.75" customHeight="1" x14ac:dyDescent="0.3">
      <c r="A133" t="s">
        <v>5069</v>
      </c>
      <c r="B133">
        <f>I80</f>
        <v>70</v>
      </c>
      <c r="C133" t="s">
        <v>12760</v>
      </c>
      <c r="E133" s="85" t="s">
        <v>12187</v>
      </c>
      <c r="F133" s="16">
        <v>300</v>
      </c>
      <c r="H133" s="4" t="s">
        <v>122</v>
      </c>
      <c r="I133" s="5">
        <f>F125</f>
        <v>75</v>
      </c>
      <c r="J133" s="5"/>
      <c r="K133" s="4" t="str">
        <f t="shared" si="118"/>
        <v>A23 5G c/aro - orig   = R$ 75,00</v>
      </c>
      <c r="M133" s="4" t="str">
        <f t="shared" si="119"/>
        <v>A23 5G c/aro - orig   = R$ 80,00</v>
      </c>
      <c r="O133" s="4" t="str">
        <f t="shared" si="2"/>
        <v>A23 5G c/aro - orig   = R$ 70,00</v>
      </c>
      <c r="Q133" s="4" t="str">
        <f t="shared" si="124"/>
        <v>A23 5G c/aro - orig   = R$ 85,00</v>
      </c>
    </row>
    <row r="134" spans="1:17" ht="15.75" customHeight="1" x14ac:dyDescent="0.3">
      <c r="A134" t="s">
        <v>2036</v>
      </c>
      <c r="B134">
        <f>I80</f>
        <v>70</v>
      </c>
      <c r="C134" t="s">
        <v>12760</v>
      </c>
      <c r="E134" s="85" t="s">
        <v>12188</v>
      </c>
      <c r="F134" s="16">
        <v>310</v>
      </c>
      <c r="H134" s="4" t="s">
        <v>123</v>
      </c>
      <c r="I134" s="5">
        <f>F126</f>
        <v>85</v>
      </c>
      <c r="J134" s="5"/>
      <c r="K134" s="4" t="str">
        <f t="shared" ref="K134" si="129">CONCATENATE(H134,I134,",00")</f>
        <v>A23 5G c/aro Nacional=R$ 85,00</v>
      </c>
      <c r="M134" s="4" t="str">
        <f t="shared" ref="M134" si="130">CONCATENATE(H134,I134+5,",00")</f>
        <v>A23 5G c/aro Nacional=R$ 90,00</v>
      </c>
      <c r="O134" s="4" t="str">
        <f t="shared" ref="O134" si="131">CONCATENATE(H134,I134-5,",00")</f>
        <v>A23 5G c/aro Nacional=R$ 80,00</v>
      </c>
      <c r="Q134" s="4" t="str">
        <f t="shared" ref="Q134" si="132">CONCATENATE(H134,I134+10,",00")</f>
        <v>A23 5G c/aro Nacional=R$ 95,00</v>
      </c>
    </row>
    <row r="135" spans="1:17" ht="15.75" customHeight="1" x14ac:dyDescent="0.3">
      <c r="A135" t="s">
        <v>1872</v>
      </c>
      <c r="B135">
        <f>I81</f>
        <v>90</v>
      </c>
      <c r="C135" t="s">
        <v>12761</v>
      </c>
      <c r="E135" s="85" t="s">
        <v>129</v>
      </c>
      <c r="F135" s="6">
        <v>90</v>
      </c>
      <c r="H135" s="4" t="s">
        <v>11328</v>
      </c>
      <c r="I135" s="5">
        <f t="shared" ref="I135:J141" si="133">F128</f>
        <v>95</v>
      </c>
      <c r="J135" s="5"/>
      <c r="K135" s="4" t="str">
        <f t="shared" si="118"/>
        <v>A23 5G c/aro Nac Diamonds = 95,00</v>
      </c>
      <c r="M135" s="4" t="str">
        <f t="shared" si="119"/>
        <v>A23 5G c/aro Nac Diamonds = 100,00</v>
      </c>
      <c r="O135" s="4" t="str">
        <f t="shared" si="2"/>
        <v>A23 5G c/aro Nac Diamonds = 90,00</v>
      </c>
      <c r="Q135" s="4" t="str">
        <f t="shared" si="124"/>
        <v>A23 5G c/aro Nac Diamonds = 105,00</v>
      </c>
    </row>
    <row r="136" spans="1:17" ht="15.75" customHeight="1" x14ac:dyDescent="0.3">
      <c r="A136" s="42" t="s">
        <v>10560</v>
      </c>
      <c r="B136">
        <f>I81</f>
        <v>90</v>
      </c>
      <c r="C136" t="s">
        <v>12761</v>
      </c>
      <c r="E136" s="85" t="s">
        <v>10965</v>
      </c>
      <c r="F136" s="16">
        <v>170</v>
      </c>
      <c r="H136" s="4" t="s">
        <v>125</v>
      </c>
      <c r="I136" s="5">
        <f t="shared" si="133"/>
        <v>75</v>
      </c>
      <c r="J136" s="5"/>
      <c r="K136" s="4" t="str">
        <f t="shared" si="118"/>
        <v>A24 - incell     = R$ 75,00</v>
      </c>
      <c r="M136" s="4" t="str">
        <f t="shared" si="119"/>
        <v>A24 - incell     = R$ 80,00</v>
      </c>
      <c r="O136" s="4" t="str">
        <f t="shared" si="2"/>
        <v>A24 - incell     = R$ 70,00</v>
      </c>
      <c r="Q136" s="4" t="str">
        <f t="shared" si="124"/>
        <v>A24 - incell     = R$ 85,00</v>
      </c>
    </row>
    <row r="137" spans="1:17" ht="15.75" customHeight="1" x14ac:dyDescent="0.3">
      <c r="A137" t="s">
        <v>2347</v>
      </c>
      <c r="B137">
        <f>I82</f>
        <v>105</v>
      </c>
      <c r="C137" t="s">
        <v>12762</v>
      </c>
      <c r="E137" s="85" t="s">
        <v>12825</v>
      </c>
      <c r="F137" s="16">
        <v>220</v>
      </c>
      <c r="H137" s="4" t="s">
        <v>127</v>
      </c>
      <c r="I137" s="5">
        <f t="shared" si="133"/>
        <v>85</v>
      </c>
      <c r="J137" s="5"/>
      <c r="K137" s="4" t="str">
        <f t="shared" si="118"/>
        <v>A24 c/aro - incell     = R$ 85,00</v>
      </c>
      <c r="M137" s="4" t="str">
        <f t="shared" si="119"/>
        <v>A24 c/aro - incell     = R$ 90,00</v>
      </c>
      <c r="O137" s="4" t="str">
        <f t="shared" si="2"/>
        <v>A24 c/aro - incell     = R$ 80,00</v>
      </c>
      <c r="Q137" s="4" t="str">
        <f t="shared" si="124"/>
        <v>A24 c/aro - incell     = R$ 95,00</v>
      </c>
    </row>
    <row r="138" spans="1:17" ht="15.75" customHeight="1" x14ac:dyDescent="0.3">
      <c r="A138" t="s">
        <v>2508</v>
      </c>
      <c r="B138">
        <f>I82</f>
        <v>105</v>
      </c>
      <c r="C138" t="s">
        <v>12762</v>
      </c>
      <c r="E138" s="85" t="s">
        <v>11186</v>
      </c>
      <c r="F138" s="16">
        <v>120</v>
      </c>
      <c r="H138" s="4" t="s">
        <v>10970</v>
      </c>
      <c r="I138" s="5">
        <f t="shared" si="133"/>
        <v>160</v>
      </c>
      <c r="J138" s="5"/>
      <c r="K138" s="4" t="str">
        <f t="shared" ref="K138" si="134">CONCATENATE(H138,I138,",00")</f>
        <v>A24 - original = R$ 160,00</v>
      </c>
      <c r="M138" s="4" t="str">
        <f t="shared" ref="M138" si="135">CONCATENATE(H138,I138+5,",00")</f>
        <v>A24 - original = R$ 165,00</v>
      </c>
      <c r="O138" s="4" t="str">
        <f t="shared" ref="O138" si="136">CONCATENATE(H138,I138-5,",00")</f>
        <v>A24 - original = R$ 155,00</v>
      </c>
      <c r="Q138" s="4" t="str">
        <f t="shared" ref="Q138" si="137">CONCATENATE(H138,I138+10,",00")</f>
        <v>A24 - original = R$ 170,00</v>
      </c>
    </row>
    <row r="139" spans="1:17" ht="15.75" customHeight="1" x14ac:dyDescent="0.3">
      <c r="A139" t="s">
        <v>11436</v>
      </c>
      <c r="B139">
        <f>I83</f>
        <v>115</v>
      </c>
      <c r="E139" s="85" t="s">
        <v>11187</v>
      </c>
      <c r="F139" s="16">
        <v>205</v>
      </c>
      <c r="H139" s="4" t="s">
        <v>128</v>
      </c>
      <c r="I139" s="5">
        <f t="shared" si="133"/>
        <v>170</v>
      </c>
      <c r="J139" s="5"/>
      <c r="K139" s="4" t="str">
        <f t="shared" si="118"/>
        <v>A24 c/aro - original = R$ 170,00</v>
      </c>
      <c r="M139" s="4" t="str">
        <f t="shared" si="119"/>
        <v>A24 c/aro - original = R$ 175,00</v>
      </c>
      <c r="O139" s="4" t="str">
        <f t="shared" si="2"/>
        <v>A24 c/aro - original = R$ 165,00</v>
      </c>
      <c r="Q139" s="4" t="str">
        <f t="shared" si="124"/>
        <v>A24 c/aro - original = R$ 180,00</v>
      </c>
    </row>
    <row r="140" spans="1:17" ht="15.75" customHeight="1" x14ac:dyDescent="0.3">
      <c r="A140" t="s">
        <v>11437</v>
      </c>
      <c r="B140">
        <f>I83</f>
        <v>115</v>
      </c>
      <c r="E140" s="85" t="s">
        <v>11188</v>
      </c>
      <c r="F140" s="16">
        <v>240</v>
      </c>
      <c r="H140" s="4" t="s">
        <v>12189</v>
      </c>
      <c r="I140" s="5">
        <f t="shared" si="133"/>
        <v>300</v>
      </c>
      <c r="J140" s="5"/>
      <c r="K140" s="4" t="str">
        <f t="shared" ref="K140:K141" si="138">CONCATENATE(H140,I140,",00")</f>
        <v>A24 c/aro Nacional=R$ 300,00</v>
      </c>
      <c r="M140" s="4" t="str">
        <f t="shared" ref="M140:M141" si="139">CONCATENATE(H140,I140+5,",00")</f>
        <v>A24 c/aro Nacional=R$ 305,00</v>
      </c>
      <c r="O140" s="4" t="str">
        <f t="shared" ref="O140:O141" si="140">CONCATENATE(H140,I140-5,",00")</f>
        <v>A24 c/aro Nacional=R$ 295,00</v>
      </c>
      <c r="Q140" s="4" t="str">
        <f t="shared" ref="Q140:Q141" si="141">CONCATENATE(H140,I140+10,",00")</f>
        <v>A24 c/aro Nacional=R$ 310,00</v>
      </c>
    </row>
    <row r="141" spans="1:17" ht="15.75" customHeight="1" x14ac:dyDescent="0.3">
      <c r="A141" t="s">
        <v>5070</v>
      </c>
      <c r="B141">
        <f>I84</f>
        <v>70</v>
      </c>
      <c r="C141" t="s">
        <v>12763</v>
      </c>
      <c r="E141" s="85" t="s">
        <v>133</v>
      </c>
      <c r="F141" s="6">
        <v>65</v>
      </c>
      <c r="H141" s="4" t="s">
        <v>12190</v>
      </c>
      <c r="I141" s="5">
        <f t="shared" si="133"/>
        <v>310</v>
      </c>
      <c r="J141" s="5"/>
      <c r="K141" s="4" t="str">
        <f t="shared" si="138"/>
        <v>A24 c/aro Nac Diamonds = 310,00</v>
      </c>
      <c r="M141" s="4" t="str">
        <f t="shared" si="139"/>
        <v>A24 c/aro Nac Diamonds = 315,00</v>
      </c>
      <c r="O141" s="4" t="str">
        <f t="shared" si="140"/>
        <v>A24 c/aro Nac Diamonds = 305,00</v>
      </c>
      <c r="Q141" s="4" t="str">
        <f t="shared" si="141"/>
        <v>A24 c/aro Nac Diamonds = 320,00</v>
      </c>
    </row>
    <row r="142" spans="1:17" ht="15.75" customHeight="1" x14ac:dyDescent="0.3">
      <c r="A142" t="s">
        <v>2037</v>
      </c>
      <c r="B142">
        <f>I84</f>
        <v>70</v>
      </c>
      <c r="C142" t="s">
        <v>12763</v>
      </c>
      <c r="E142" s="85" t="s">
        <v>2475</v>
      </c>
      <c r="F142" s="6">
        <v>70</v>
      </c>
      <c r="H142" s="4" t="s">
        <v>130</v>
      </c>
      <c r="I142" s="5">
        <f>F129</f>
        <v>75</v>
      </c>
      <c r="J142" s="5"/>
      <c r="K142" s="4" t="str">
        <f t="shared" si="118"/>
        <v>A25 - incell     = R$ 75,00</v>
      </c>
      <c r="M142" s="4" t="str">
        <f t="shared" si="119"/>
        <v>A25 - incell     = R$ 80,00</v>
      </c>
      <c r="O142" s="4" t="str">
        <f t="shared" si="2"/>
        <v>A25 - incell     = R$ 70,00</v>
      </c>
      <c r="Q142" s="4" t="str">
        <f t="shared" si="124"/>
        <v>A25 - incell     = R$ 85,00</v>
      </c>
    </row>
    <row r="143" spans="1:17" ht="15.75" customHeight="1" x14ac:dyDescent="0.3">
      <c r="A143" t="s">
        <v>1873</v>
      </c>
      <c r="B143">
        <f>I85</f>
        <v>75</v>
      </c>
      <c r="C143" t="s">
        <v>12764</v>
      </c>
      <c r="E143" s="85" t="s">
        <v>135</v>
      </c>
      <c r="F143" s="6">
        <v>140</v>
      </c>
      <c r="H143" s="4" t="s">
        <v>131</v>
      </c>
      <c r="I143" s="5">
        <f>F135</f>
        <v>90</v>
      </c>
      <c r="J143" s="5"/>
      <c r="K143" s="4" t="str">
        <f t="shared" si="118"/>
        <v>A25 c/aro - incell     = R$ 90,00</v>
      </c>
      <c r="M143" s="4" t="str">
        <f t="shared" si="119"/>
        <v>A25 c/aro - incell     = R$ 95,00</v>
      </c>
      <c r="O143" s="4" t="str">
        <f t="shared" si="2"/>
        <v>A25 c/aro - incell     = R$ 85,00</v>
      </c>
      <c r="Q143" s="4" t="str">
        <f t="shared" si="124"/>
        <v>A25 c/aro - incell     = R$ 100,00</v>
      </c>
    </row>
    <row r="144" spans="1:17" ht="15.75" customHeight="1" x14ac:dyDescent="0.3">
      <c r="A144" t="s">
        <v>11100</v>
      </c>
      <c r="B144">
        <f>I84</f>
        <v>70</v>
      </c>
      <c r="C144" t="s">
        <v>12763</v>
      </c>
      <c r="E144" s="85" t="s">
        <v>137</v>
      </c>
      <c r="F144" s="6">
        <v>145</v>
      </c>
      <c r="H144" s="4" t="s">
        <v>10971</v>
      </c>
      <c r="I144" s="5">
        <f>F131</f>
        <v>160</v>
      </c>
      <c r="J144" s="5"/>
      <c r="K144" s="4" t="str">
        <f t="shared" ref="K144:K149" si="142">CONCATENATE(H144,I144,",00")</f>
        <v>A25 - original = R$ 160,00</v>
      </c>
      <c r="M144" s="4" t="str">
        <f t="shared" ref="M144:M149" si="143">CONCATENATE(H144,I144+5,",00")</f>
        <v>A25 - original = R$ 165,00</v>
      </c>
      <c r="O144" s="4" t="str">
        <f t="shared" ref="O144:O149" si="144">CONCATENATE(H144,I144-5,",00")</f>
        <v>A25 - original = R$ 155,00</v>
      </c>
      <c r="Q144" s="4" t="str">
        <f t="shared" ref="Q144:Q149" si="145">CONCATENATE(H144,I144+10,",00")</f>
        <v>A25 - original = R$ 170,00</v>
      </c>
    </row>
    <row r="145" spans="1:17" ht="15.75" customHeight="1" x14ac:dyDescent="0.3">
      <c r="A145" t="s">
        <v>11099</v>
      </c>
      <c r="B145">
        <f>I85</f>
        <v>75</v>
      </c>
      <c r="C145" t="s">
        <v>12764</v>
      </c>
      <c r="E145" s="85" t="s">
        <v>2478</v>
      </c>
      <c r="F145" s="6">
        <v>75</v>
      </c>
      <c r="H145" s="4" t="s">
        <v>10972</v>
      </c>
      <c r="I145" s="5">
        <f>F136</f>
        <v>170</v>
      </c>
      <c r="J145" s="5"/>
      <c r="K145" s="4" t="str">
        <f t="shared" si="142"/>
        <v>A25 c/aro - original = R$ 170,00</v>
      </c>
      <c r="M145" s="4" t="str">
        <f t="shared" si="143"/>
        <v>A25 c/aro - original = R$ 175,00</v>
      </c>
      <c r="O145" s="4" t="str">
        <f t="shared" si="144"/>
        <v>A25 c/aro - original = R$ 165,00</v>
      </c>
      <c r="Q145" s="4" t="str">
        <f t="shared" si="145"/>
        <v>A25 c/aro - original = R$ 180,00</v>
      </c>
    </row>
    <row r="146" spans="1:17" ht="15.75" customHeight="1" x14ac:dyDescent="0.3">
      <c r="A146" t="s">
        <v>11438</v>
      </c>
      <c r="B146">
        <f>I87</f>
        <v>95</v>
      </c>
      <c r="E146" s="85" t="s">
        <v>140</v>
      </c>
      <c r="F146" s="6">
        <v>145</v>
      </c>
      <c r="H146" s="4" t="s">
        <v>12826</v>
      </c>
      <c r="I146" s="5">
        <f>F137</f>
        <v>220</v>
      </c>
      <c r="J146" s="5"/>
      <c r="K146" s="4" t="str">
        <f t="shared" ref="K146" si="146">CONCATENATE(H146,I146,",00")</f>
        <v>A25 c/aro Nac Diamonds = 220,00</v>
      </c>
      <c r="M146" s="4" t="str">
        <f t="shared" ref="M146" si="147">CONCATENATE(H146,I146+5,",00")</f>
        <v>A25 c/aro Nac Diamonds = 225,00</v>
      </c>
      <c r="O146" s="4" t="str">
        <f t="shared" ref="O146" si="148">CONCATENATE(H146,I146-5,",00")</f>
        <v>A25 c/aro Nac Diamonds = 215,00</v>
      </c>
      <c r="Q146" s="4" t="str">
        <f t="shared" ref="Q146" si="149">CONCATENATE(H146,I146+10,",00")</f>
        <v>A25 c/aro Nac Diamonds = 230,00</v>
      </c>
    </row>
    <row r="147" spans="1:17" ht="15.75" customHeight="1" x14ac:dyDescent="0.3">
      <c r="A147" t="s">
        <v>11439</v>
      </c>
      <c r="B147">
        <f>I87</f>
        <v>95</v>
      </c>
      <c r="E147" s="85" t="s">
        <v>2482</v>
      </c>
      <c r="F147" s="6">
        <v>80</v>
      </c>
      <c r="H147" s="4" t="s">
        <v>11189</v>
      </c>
      <c r="I147" s="5">
        <f>F138</f>
        <v>120</v>
      </c>
      <c r="J147" s="5"/>
      <c r="K147" s="4" t="str">
        <f t="shared" si="142"/>
        <v>A26 - incell c/aro = R$ 120,00</v>
      </c>
      <c r="M147" s="4" t="str">
        <f t="shared" si="143"/>
        <v>A26 - incell c/aro = R$ 125,00</v>
      </c>
      <c r="O147" s="4" t="str">
        <f t="shared" si="144"/>
        <v>A26 - incell c/aro = R$ 115,00</v>
      </c>
      <c r="Q147" s="4" t="str">
        <f t="shared" si="145"/>
        <v>A26 - incell c/aro = R$ 130,00</v>
      </c>
    </row>
    <row r="148" spans="1:17" ht="15.75" customHeight="1" x14ac:dyDescent="0.3">
      <c r="A148" t="s">
        <v>11440</v>
      </c>
      <c r="B148">
        <f>I87</f>
        <v>95</v>
      </c>
      <c r="E148" s="85" t="s">
        <v>141</v>
      </c>
      <c r="F148" s="6">
        <v>155</v>
      </c>
      <c r="H148" s="4" t="s">
        <v>11191</v>
      </c>
      <c r="I148" s="5">
        <f>F139</f>
        <v>205</v>
      </c>
      <c r="J148" s="5"/>
      <c r="K148" s="4" t="str">
        <f t="shared" si="142"/>
        <v>A26 - original       = R$ 205,00</v>
      </c>
      <c r="M148" s="4" t="str">
        <f t="shared" si="143"/>
        <v>A26 - original       = R$ 210,00</v>
      </c>
      <c r="O148" s="4" t="str">
        <f t="shared" si="144"/>
        <v>A26 - original       = R$ 200,00</v>
      </c>
      <c r="Q148" s="4" t="str">
        <f t="shared" si="145"/>
        <v>A26 - original       = R$ 215,00</v>
      </c>
    </row>
    <row r="149" spans="1:17" ht="15.75" customHeight="1" x14ac:dyDescent="0.3">
      <c r="A149" t="s">
        <v>11441</v>
      </c>
      <c r="B149">
        <f>I87</f>
        <v>95</v>
      </c>
      <c r="E149" s="85" t="s">
        <v>12364</v>
      </c>
      <c r="F149" s="16">
        <v>175</v>
      </c>
      <c r="H149" s="4" t="s">
        <v>11190</v>
      </c>
      <c r="I149" s="5">
        <f>F140</f>
        <v>240</v>
      </c>
      <c r="J149" s="5"/>
      <c r="K149" s="4" t="str">
        <f t="shared" si="142"/>
        <v>A26 - original c/aro = R$ 240,00</v>
      </c>
      <c r="M149" s="4" t="str">
        <f t="shared" si="143"/>
        <v>A26 - original c/aro = R$ 245,00</v>
      </c>
      <c r="O149" s="4" t="str">
        <f t="shared" si="144"/>
        <v>A26 - original c/aro = R$ 235,00</v>
      </c>
      <c r="Q149" s="4" t="str">
        <f t="shared" si="145"/>
        <v>A26 - original c/aro = R$ 250,00</v>
      </c>
    </row>
    <row r="150" spans="1:17" ht="15.75" customHeight="1" x14ac:dyDescent="0.3">
      <c r="A150" t="s">
        <v>5071</v>
      </c>
      <c r="B150">
        <f>I88</f>
        <v>65</v>
      </c>
      <c r="C150" t="s">
        <v>12765</v>
      </c>
      <c r="E150" s="85" t="s">
        <v>142</v>
      </c>
      <c r="F150" s="6">
        <v>85</v>
      </c>
      <c r="H150" s="4" t="s">
        <v>132</v>
      </c>
      <c r="I150" s="5" t="e">
        <f>#REF!</f>
        <v>#REF!</v>
      </c>
      <c r="J150" s="5"/>
      <c r="K150" s="4" t="e">
        <f t="shared" si="118"/>
        <v>#REF!</v>
      </c>
      <c r="M150" s="4" t="e">
        <f t="shared" si="119"/>
        <v>#REF!</v>
      </c>
      <c r="O150" s="4" t="e">
        <f t="shared" si="2"/>
        <v>#REF!</v>
      </c>
      <c r="Q150" s="4" t="e">
        <f t="shared" si="124"/>
        <v>#REF!</v>
      </c>
    </row>
    <row r="151" spans="1:17" ht="15.75" customHeight="1" x14ac:dyDescent="0.3">
      <c r="A151" t="s">
        <v>2038</v>
      </c>
      <c r="B151">
        <f>I88</f>
        <v>65</v>
      </c>
      <c r="C151" t="s">
        <v>12765</v>
      </c>
      <c r="E151" s="85" t="s">
        <v>144</v>
      </c>
      <c r="F151" s="6">
        <v>90</v>
      </c>
      <c r="H151" s="4" t="s">
        <v>2473</v>
      </c>
      <c r="I151" s="5">
        <f>F173</f>
        <v>70</v>
      </c>
      <c r="J151" s="5"/>
      <c r="K151" s="4" t="str">
        <f t="shared" si="118"/>
        <v>A30 - incell c/aro = R$ 70,00</v>
      </c>
      <c r="M151" s="4" t="str">
        <f t="shared" si="119"/>
        <v>A30 - incell c/aro = R$ 75,00</v>
      </c>
      <c r="O151" s="4" t="str">
        <f t="shared" si="2"/>
        <v>A30 - incell c/aro = R$ 65,00</v>
      </c>
      <c r="Q151" s="4" t="str">
        <f t="shared" si="124"/>
        <v>A30 - incell c/aro = R$ 80,00</v>
      </c>
    </row>
    <row r="152" spans="1:17" ht="15.75" customHeight="1" x14ac:dyDescent="0.3">
      <c r="A152" t="s">
        <v>1874</v>
      </c>
      <c r="B152">
        <f>I89</f>
        <v>80</v>
      </c>
      <c r="C152" t="s">
        <v>12766</v>
      </c>
      <c r="E152" s="85" t="s">
        <v>11329</v>
      </c>
      <c r="F152" s="6">
        <v>100</v>
      </c>
      <c r="H152" s="4" t="s">
        <v>134</v>
      </c>
      <c r="I152" s="5">
        <f>F174</f>
        <v>140</v>
      </c>
      <c r="J152" s="5"/>
      <c r="K152" s="4" t="str">
        <f t="shared" si="118"/>
        <v>A30 - original             = R$ 140,00</v>
      </c>
      <c r="M152" s="4" t="str">
        <f t="shared" si="119"/>
        <v>A30 - original             = R$ 145,00</v>
      </c>
      <c r="O152" s="4" t="str">
        <f t="shared" si="2"/>
        <v>A30 - original             = R$ 135,00</v>
      </c>
      <c r="Q152" s="4" t="str">
        <f t="shared" si="124"/>
        <v>A30 - original             = R$ 150,00</v>
      </c>
    </row>
    <row r="153" spans="1:17" ht="15.75" customHeight="1" x14ac:dyDescent="0.3">
      <c r="A153" t="s">
        <v>11101</v>
      </c>
      <c r="B153">
        <f>I88</f>
        <v>65</v>
      </c>
      <c r="C153" t="s">
        <v>12765</v>
      </c>
      <c r="E153" s="85" t="s">
        <v>145</v>
      </c>
      <c r="F153" s="6">
        <v>85</v>
      </c>
      <c r="H153" s="4" t="s">
        <v>2474</v>
      </c>
      <c r="I153" s="5">
        <f>F175</f>
        <v>140</v>
      </c>
      <c r="J153" s="5"/>
      <c r="K153" s="4" t="str">
        <f t="shared" si="118"/>
        <v>A30 - original c/aro = R$ 140,00</v>
      </c>
      <c r="M153" s="4" t="str">
        <f t="shared" si="119"/>
        <v>A30 - original c/aro = R$ 145,00</v>
      </c>
      <c r="O153" s="4" t="str">
        <f t="shared" si="2"/>
        <v>A30 - original c/aro = R$ 135,00</v>
      </c>
      <c r="Q153" s="4" t="str">
        <f t="shared" si="124"/>
        <v>A30 - original c/aro = R$ 150,00</v>
      </c>
    </row>
    <row r="154" spans="1:17" ht="15.75" customHeight="1" x14ac:dyDescent="0.3">
      <c r="A154" t="s">
        <v>11098</v>
      </c>
      <c r="B154">
        <f>I89</f>
        <v>80</v>
      </c>
      <c r="C154" t="s">
        <v>12766</v>
      </c>
      <c r="E154" s="85" t="s">
        <v>147</v>
      </c>
      <c r="F154" s="6">
        <v>110</v>
      </c>
      <c r="H154" s="4" t="s">
        <v>13169</v>
      </c>
      <c r="I154" s="5">
        <f>F176</f>
        <v>160</v>
      </c>
      <c r="J154" s="5"/>
      <c r="K154" s="4" t="str">
        <f t="shared" ref="K154" si="150">CONCATENATE(H154,I154,",00")</f>
        <v>A30 c/aro Nac Diamonds = 160,00</v>
      </c>
      <c r="M154" s="4" t="str">
        <f t="shared" ref="M154" si="151">CONCATENATE(H154,I154+5,",00")</f>
        <v>A30 c/aro Nac Diamonds = 165,00</v>
      </c>
      <c r="O154" s="4" t="str">
        <f t="shared" ref="O154" si="152">CONCATENATE(H154,I154-5,",00")</f>
        <v>A30 c/aro Nac Diamonds = 155,00</v>
      </c>
      <c r="Q154" s="4" t="str">
        <f t="shared" ref="Q154" si="153">CONCATENATE(H154,I154+10,",00")</f>
        <v>A30 c/aro Nac Diamonds = 170,00</v>
      </c>
    </row>
    <row r="155" spans="1:17" ht="15.75" customHeight="1" x14ac:dyDescent="0.3">
      <c r="A155" t="s">
        <v>2348</v>
      </c>
      <c r="B155">
        <f>I90</f>
        <v>90</v>
      </c>
      <c r="C155" t="s">
        <v>12767</v>
      </c>
      <c r="E155" s="85" t="s">
        <v>12848</v>
      </c>
      <c r="F155" s="16">
        <v>175</v>
      </c>
      <c r="H155" s="4" t="s">
        <v>136</v>
      </c>
      <c r="I155" s="5">
        <f t="shared" ref="I155:J163" si="154">F141</f>
        <v>65</v>
      </c>
      <c r="J155" s="5"/>
      <c r="K155" s="4" t="str">
        <f t="shared" si="118"/>
        <v>A30s - incell  = R$ 65,00</v>
      </c>
      <c r="M155" s="4" t="str">
        <f t="shared" si="119"/>
        <v>A30s - incell  = R$ 70,00</v>
      </c>
      <c r="O155" s="4" t="str">
        <f t="shared" si="2"/>
        <v>A30s - incell  = R$ 60,00</v>
      </c>
      <c r="Q155" s="4" t="str">
        <f t="shared" si="124"/>
        <v>A30s - incell  = R$ 75,00</v>
      </c>
    </row>
    <row r="156" spans="1:17" ht="15.75" customHeight="1" x14ac:dyDescent="0.3">
      <c r="A156" t="s">
        <v>2509</v>
      </c>
      <c r="B156">
        <f>I90</f>
        <v>90</v>
      </c>
      <c r="C156" t="s">
        <v>12767</v>
      </c>
      <c r="E156" s="85" t="s">
        <v>149</v>
      </c>
      <c r="F156" s="6">
        <v>185</v>
      </c>
      <c r="H156" s="4" t="s">
        <v>2476</v>
      </c>
      <c r="I156" s="5">
        <f t="shared" si="154"/>
        <v>70</v>
      </c>
      <c r="J156" s="5"/>
      <c r="K156" s="4" t="str">
        <f t="shared" si="118"/>
        <v>A30s - incell c/aro = R$ 70,00</v>
      </c>
      <c r="M156" s="4" t="str">
        <f t="shared" si="119"/>
        <v>A30s - incell c/aro = R$ 75,00</v>
      </c>
      <c r="O156" s="4" t="str">
        <f t="shared" si="2"/>
        <v>A30s - incell c/aro = R$ 65,00</v>
      </c>
      <c r="Q156" s="4" t="str">
        <f t="shared" si="124"/>
        <v>A30s - incell c/aro = R$ 80,00</v>
      </c>
    </row>
    <row r="157" spans="1:17" ht="15.75" customHeight="1" x14ac:dyDescent="0.3">
      <c r="A157" t="s">
        <v>11442</v>
      </c>
      <c r="B157">
        <f>I91</f>
        <v>100</v>
      </c>
      <c r="E157" s="85" t="s">
        <v>151</v>
      </c>
      <c r="F157" s="6">
        <v>205</v>
      </c>
      <c r="H157" s="4" t="s">
        <v>138</v>
      </c>
      <c r="I157" s="5">
        <f t="shared" si="154"/>
        <v>140</v>
      </c>
      <c r="J157" s="5"/>
      <c r="K157" s="4" t="str">
        <f t="shared" si="118"/>
        <v>A30s - original = R$ 140,00</v>
      </c>
      <c r="M157" s="4" t="str">
        <f t="shared" si="119"/>
        <v>A30s - original = R$ 145,00</v>
      </c>
      <c r="O157" s="4" t="str">
        <f t="shared" si="2"/>
        <v>A30s - original = R$ 135,00</v>
      </c>
      <c r="Q157" s="4" t="str">
        <f t="shared" si="124"/>
        <v>A30s - original = R$ 150,00</v>
      </c>
    </row>
    <row r="158" spans="1:17" ht="15.75" customHeight="1" x14ac:dyDescent="0.3">
      <c r="A158" t="s">
        <v>11443</v>
      </c>
      <c r="B158">
        <f>I91</f>
        <v>100</v>
      </c>
      <c r="E158" s="85" t="s">
        <v>11331</v>
      </c>
      <c r="F158" s="6">
        <v>215</v>
      </c>
      <c r="H158" s="4" t="s">
        <v>139</v>
      </c>
      <c r="I158" s="5">
        <f t="shared" si="154"/>
        <v>145</v>
      </c>
      <c r="J158" s="5"/>
      <c r="K158" s="4" t="str">
        <f t="shared" si="118"/>
        <v>A30s c/aro - orig       = R$ 145,00</v>
      </c>
      <c r="M158" s="4" t="str">
        <f t="shared" si="119"/>
        <v>A30s c/aro - orig       = R$ 150,00</v>
      </c>
      <c r="O158" s="4" t="str">
        <f t="shared" si="2"/>
        <v>A30s c/aro - orig       = R$ 140,00</v>
      </c>
      <c r="Q158" s="4" t="str">
        <f t="shared" si="124"/>
        <v>A30s c/aro - orig       = R$ 155,00</v>
      </c>
    </row>
    <row r="159" spans="1:17" ht="15.75" customHeight="1" x14ac:dyDescent="0.3">
      <c r="A159" t="s">
        <v>11444</v>
      </c>
      <c r="B159">
        <f>I91</f>
        <v>100</v>
      </c>
      <c r="E159" s="85" t="s">
        <v>11202</v>
      </c>
      <c r="F159" s="16">
        <v>105</v>
      </c>
      <c r="H159" s="4" t="s">
        <v>2479</v>
      </c>
      <c r="I159" s="5">
        <f t="shared" si="154"/>
        <v>75</v>
      </c>
      <c r="J159" s="5"/>
      <c r="K159" s="4" t="str">
        <f t="shared" si="118"/>
        <v>A31 - incell c/aro = R$  75,00</v>
      </c>
      <c r="M159" s="4" t="str">
        <f t="shared" si="119"/>
        <v>A31 - incell c/aro = R$  80,00</v>
      </c>
      <c r="O159" s="4" t="str">
        <f t="shared" si="2"/>
        <v>A31 - incell c/aro = R$  70,00</v>
      </c>
      <c r="Q159" s="4" t="str">
        <f t="shared" si="124"/>
        <v>A31 - incell c/aro = R$  85,00</v>
      </c>
    </row>
    <row r="160" spans="1:17" ht="15.75" customHeight="1" x14ac:dyDescent="0.3">
      <c r="A160" t="s">
        <v>11445</v>
      </c>
      <c r="B160">
        <f>I91</f>
        <v>100</v>
      </c>
      <c r="E160" s="85" t="s">
        <v>154</v>
      </c>
      <c r="F160" s="6">
        <v>180</v>
      </c>
      <c r="H160" s="4" t="s">
        <v>2480</v>
      </c>
      <c r="I160" s="5">
        <f t="shared" si="154"/>
        <v>145</v>
      </c>
      <c r="J160" s="5"/>
      <c r="K160" s="4" t="str">
        <f t="shared" si="118"/>
        <v>A31 - original c/aro    = R$ 145,00</v>
      </c>
      <c r="M160" s="4" t="str">
        <f t="shared" si="119"/>
        <v>A31 - original c/aro    = R$ 150,00</v>
      </c>
      <c r="O160" s="4" t="str">
        <f t="shared" si="2"/>
        <v>A31 - original c/aro    = R$ 140,00</v>
      </c>
      <c r="Q160" s="4" t="str">
        <f t="shared" si="124"/>
        <v>A31 - original c/aro    = R$ 155,00</v>
      </c>
    </row>
    <row r="161" spans="1:17" ht="15.75" customHeight="1" x14ac:dyDescent="0.3">
      <c r="A161" t="s">
        <v>12821</v>
      </c>
      <c r="B161">
        <f>I989</f>
        <v>90</v>
      </c>
      <c r="E161" s="85" t="s">
        <v>156</v>
      </c>
      <c r="F161" s="6">
        <v>230</v>
      </c>
      <c r="H161" s="4" t="s">
        <v>2483</v>
      </c>
      <c r="I161" s="5">
        <f t="shared" si="154"/>
        <v>80</v>
      </c>
      <c r="J161" s="5"/>
      <c r="K161" s="4" t="str">
        <f t="shared" si="118"/>
        <v>A32 4G - incell c/aro = R$ 80,00</v>
      </c>
      <c r="M161" s="4" t="str">
        <f t="shared" si="119"/>
        <v>A32 4G - incell c/aro = R$ 85,00</v>
      </c>
      <c r="O161" s="4" t="str">
        <f t="shared" si="2"/>
        <v>A32 4G - incell c/aro = R$ 75,00</v>
      </c>
      <c r="Q161" s="4" t="str">
        <f t="shared" si="124"/>
        <v>A32 4G - incell c/aro = R$ 90,00</v>
      </c>
    </row>
    <row r="162" spans="1:17" ht="15.75" customHeight="1" x14ac:dyDescent="0.3">
      <c r="A162" t="s">
        <v>2293</v>
      </c>
      <c r="B162">
        <f>I92</f>
        <v>80</v>
      </c>
      <c r="C162" t="s">
        <v>12768</v>
      </c>
      <c r="E162" s="85" t="s">
        <v>158</v>
      </c>
      <c r="F162" s="6">
        <v>250</v>
      </c>
      <c r="H162" s="4" t="s">
        <v>143</v>
      </c>
      <c r="I162" s="5">
        <f t="shared" si="154"/>
        <v>155</v>
      </c>
      <c r="J162" s="5"/>
      <c r="K162" s="4" t="str">
        <f t="shared" si="118"/>
        <v>A32 4G c/aro - orig   = R$ 155,00</v>
      </c>
      <c r="M162" s="4" t="str">
        <f t="shared" si="119"/>
        <v>A32 4G c/aro - orig   = R$ 160,00</v>
      </c>
      <c r="O162" s="4" t="str">
        <f t="shared" si="2"/>
        <v>A32 4G c/aro - orig   = R$ 150,00</v>
      </c>
      <c r="Q162" s="4" t="str">
        <f t="shared" si="124"/>
        <v>A32 4G c/aro - orig   = R$ 165,00</v>
      </c>
    </row>
    <row r="163" spans="1:17" ht="15.75" customHeight="1" x14ac:dyDescent="0.3">
      <c r="A163" s="20" t="s">
        <v>2039</v>
      </c>
      <c r="B163">
        <f>I93</f>
        <v>150</v>
      </c>
      <c r="C163" t="s">
        <v>12769</v>
      </c>
      <c r="E163" s="85" t="s">
        <v>11333</v>
      </c>
      <c r="F163" s="6">
        <v>260</v>
      </c>
      <c r="H163" s="4" t="s">
        <v>12365</v>
      </c>
      <c r="I163" s="5">
        <f t="shared" si="154"/>
        <v>175</v>
      </c>
      <c r="J163" s="5"/>
      <c r="K163" s="4" t="str">
        <f t="shared" si="118"/>
        <v>A32 4G c/aro Nac Diamonds = 175,00</v>
      </c>
      <c r="M163" s="4" t="str">
        <f t="shared" si="119"/>
        <v>A32 4G c/aro Nac Diamonds = 180,00</v>
      </c>
      <c r="O163" s="4" t="str">
        <f t="shared" ref="O163" si="155">CONCATENATE(H163,I163-5,",00")</f>
        <v>A32 4G c/aro Nac Diamonds = 170,00</v>
      </c>
      <c r="Q163" s="4" t="str">
        <f t="shared" ref="Q163" si="156">CONCATENATE(H163,I163+10,",00")</f>
        <v>A32 4G c/aro Nac Diamonds = 185,00</v>
      </c>
    </row>
    <row r="164" spans="1:17" ht="15.75" customHeight="1" x14ac:dyDescent="0.3">
      <c r="A164" s="20" t="s">
        <v>2877</v>
      </c>
      <c r="B164">
        <f>I93</f>
        <v>150</v>
      </c>
      <c r="C164" t="s">
        <v>12769</v>
      </c>
      <c r="E164" s="85" t="s">
        <v>10981</v>
      </c>
      <c r="F164" s="16">
        <v>110</v>
      </c>
      <c r="H164" s="4" t="s">
        <v>146</v>
      </c>
      <c r="I164" s="5">
        <f>F11</f>
        <v>60</v>
      </c>
      <c r="J164" s="5"/>
      <c r="K164" s="4" t="str">
        <f t="shared" ref="K164:K183" si="157">CONCATENATE(H164,I164,",00")</f>
        <v>A32 5G - orig             = R$ 60,00</v>
      </c>
      <c r="M164" s="4" t="str">
        <f t="shared" ref="M164:M183" si="158">CONCATENATE(H164,I164+5,",00")</f>
        <v>A32 5G - orig             = R$ 65,00</v>
      </c>
      <c r="O164" s="4" t="str">
        <f t="shared" si="2"/>
        <v>A32 5G - orig             = R$ 55,00</v>
      </c>
      <c r="Q164" s="4" t="str">
        <f t="shared" si="124"/>
        <v>A32 5G - orig             = R$ 70,00</v>
      </c>
    </row>
    <row r="165" spans="1:17" ht="15.75" customHeight="1" x14ac:dyDescent="0.3">
      <c r="A165" s="20" t="s">
        <v>2880</v>
      </c>
      <c r="B165">
        <f>I93</f>
        <v>150</v>
      </c>
      <c r="C165" t="s">
        <v>12769</v>
      </c>
      <c r="E165" s="85" t="s">
        <v>11004</v>
      </c>
      <c r="F165" s="16">
        <v>215</v>
      </c>
      <c r="H165" s="4" t="s">
        <v>148</v>
      </c>
      <c r="I165" s="5">
        <f t="shared" ref="I165:J179" si="159">F150</f>
        <v>85</v>
      </c>
      <c r="J165" s="5"/>
      <c r="K165" s="4" t="str">
        <f t="shared" si="157"/>
        <v>A32 5G c/aro - orig    = R$ 85,00</v>
      </c>
      <c r="M165" s="4" t="str">
        <f t="shared" si="158"/>
        <v>A32 5G c/aro - orig    = R$ 90,00</v>
      </c>
      <c r="O165" s="4" t="str">
        <f t="shared" si="2"/>
        <v>A32 5G c/aro - orig    = R$ 80,00</v>
      </c>
      <c r="Q165" s="4" t="str">
        <f t="shared" si="124"/>
        <v>A32 5G c/aro - orig    = R$ 95,00</v>
      </c>
    </row>
    <row r="166" spans="1:17" ht="15.75" customHeight="1" x14ac:dyDescent="0.3">
      <c r="A166" t="s">
        <v>7841</v>
      </c>
      <c r="B166">
        <f>B162</f>
        <v>80</v>
      </c>
      <c r="C166" t="s">
        <v>12768</v>
      </c>
      <c r="E166" s="85" t="s">
        <v>159</v>
      </c>
      <c r="F166" s="6">
        <v>260</v>
      </c>
      <c r="H166" s="4" t="s">
        <v>150</v>
      </c>
      <c r="I166" s="5">
        <f t="shared" si="159"/>
        <v>90</v>
      </c>
      <c r="J166" s="5"/>
      <c r="K166" s="4" t="str">
        <f t="shared" ref="K166" si="160">CONCATENATE(H166,I166,",00")</f>
        <v>A32 5G c/aro Nacional  = R$ 90,00</v>
      </c>
      <c r="M166" s="4" t="str">
        <f t="shared" ref="M166" si="161">CONCATENATE(H166,I166+5,",00")</f>
        <v>A32 5G c/aro Nacional  = R$ 95,00</v>
      </c>
      <c r="O166" s="4" t="str">
        <f t="shared" ref="O166" si="162">CONCATENATE(H166,I166-5,",00")</f>
        <v>A32 5G c/aro Nacional  = R$ 85,00</v>
      </c>
      <c r="Q166" s="4" t="str">
        <f t="shared" ref="Q166" si="163">CONCATENATE(H166,I166+10,",00")</f>
        <v>A32 5G c/aro Nacional  = R$ 100,00</v>
      </c>
    </row>
    <row r="167" spans="1:17" ht="15.75" customHeight="1" x14ac:dyDescent="0.3">
      <c r="A167" t="s">
        <v>7842</v>
      </c>
      <c r="B167">
        <f>B177</f>
        <v>160</v>
      </c>
      <c r="C167" t="s">
        <v>12770</v>
      </c>
      <c r="E167" s="85" t="s">
        <v>11335</v>
      </c>
      <c r="F167" s="6">
        <v>270</v>
      </c>
      <c r="H167" s="4" t="s">
        <v>11330</v>
      </c>
      <c r="I167" s="5">
        <f t="shared" si="159"/>
        <v>100</v>
      </c>
      <c r="J167" s="5"/>
      <c r="K167" s="4" t="str">
        <f t="shared" si="157"/>
        <v>A32 5G c/aro Nac Diamonds = 100,00</v>
      </c>
      <c r="M167" s="4" t="str">
        <f t="shared" si="158"/>
        <v>A32 5G c/aro Nac Diamonds = 105,00</v>
      </c>
      <c r="O167" s="4" t="str">
        <f t="shared" si="2"/>
        <v>A32 5G c/aro Nac Diamonds = 95,00</v>
      </c>
      <c r="Q167" s="4" t="str">
        <f t="shared" si="124"/>
        <v>A32 5G c/aro Nac Diamonds = 110,00</v>
      </c>
    </row>
    <row r="168" spans="1:17" ht="15.75" customHeight="1" x14ac:dyDescent="0.3">
      <c r="A168" s="20" t="s">
        <v>7843</v>
      </c>
      <c r="B168">
        <f>B178</f>
        <v>160</v>
      </c>
      <c r="C168" t="s">
        <v>12770</v>
      </c>
      <c r="E168" s="85" t="s">
        <v>11206</v>
      </c>
      <c r="F168" s="16">
        <v>140</v>
      </c>
      <c r="H168" s="4" t="s">
        <v>152</v>
      </c>
      <c r="I168" s="5">
        <f t="shared" si="159"/>
        <v>85</v>
      </c>
      <c r="J168" s="5"/>
      <c r="K168" s="4" t="str">
        <f t="shared" si="157"/>
        <v>A33 - incell      = R$ 85,00</v>
      </c>
      <c r="M168" s="4" t="str">
        <f t="shared" si="158"/>
        <v>A33 - incell      = R$ 90,00</v>
      </c>
      <c r="O168" s="4" t="str">
        <f t="shared" si="2"/>
        <v>A33 - incell      = R$ 80,00</v>
      </c>
      <c r="Q168" s="4" t="str">
        <f t="shared" si="124"/>
        <v>A33 - incell      = R$ 95,00</v>
      </c>
    </row>
    <row r="169" spans="1:17" ht="15.75" customHeight="1" x14ac:dyDescent="0.3">
      <c r="A169" s="20" t="s">
        <v>7844</v>
      </c>
      <c r="B169">
        <f>B179</f>
        <v>160</v>
      </c>
      <c r="C169" t="s">
        <v>12770</v>
      </c>
      <c r="E169" s="85" t="s">
        <v>12862</v>
      </c>
      <c r="F169" s="16">
        <v>210</v>
      </c>
      <c r="H169" s="4" t="s">
        <v>153</v>
      </c>
      <c r="I169" s="5">
        <f t="shared" si="159"/>
        <v>110</v>
      </c>
      <c r="J169" s="5"/>
      <c r="K169" s="4" t="str">
        <f t="shared" si="157"/>
        <v>A33 c/aro - incell     = R$ 110,00</v>
      </c>
      <c r="M169" s="4" t="str">
        <f t="shared" si="158"/>
        <v>A33 c/aro - incell     = R$ 115,00</v>
      </c>
      <c r="O169" s="4" t="str">
        <f t="shared" si="2"/>
        <v>A33 c/aro - incell     = R$ 105,00</v>
      </c>
      <c r="Q169" s="4" t="str">
        <f t="shared" si="124"/>
        <v>A33 c/aro - incell     = R$ 120,00</v>
      </c>
    </row>
    <row r="170" spans="1:17" ht="15.75" customHeight="1" x14ac:dyDescent="0.3">
      <c r="A170" t="s">
        <v>7845</v>
      </c>
      <c r="B170">
        <f>I95</f>
        <v>200</v>
      </c>
      <c r="C170" t="s">
        <v>12771</v>
      </c>
      <c r="E170" s="85" t="s">
        <v>11207</v>
      </c>
      <c r="F170" s="16">
        <v>220</v>
      </c>
      <c r="H170" s="4" t="s">
        <v>12849</v>
      </c>
      <c r="I170" s="5">
        <f t="shared" si="159"/>
        <v>175</v>
      </c>
      <c r="J170" s="5"/>
      <c r="K170" s="4" t="str">
        <f t="shared" ref="K170" si="164">CONCATENATE(H170,I170,",00")</f>
        <v>A33 - original    = R$ 175,00</v>
      </c>
      <c r="M170" s="4" t="str">
        <f t="shared" ref="M170" si="165">CONCATENATE(H170,I170+5,",00")</f>
        <v>A33 - original    = R$ 180,00</v>
      </c>
      <c r="O170" s="4" t="str">
        <f t="shared" ref="O170" si="166">CONCATENATE(H170,I170-5,",00")</f>
        <v>A33 - original    = R$ 170,00</v>
      </c>
      <c r="Q170" s="4" t="str">
        <f t="shared" ref="Q170" si="167">CONCATENATE(H170,I170+10,",00")</f>
        <v>A33 - original    = R$ 185,00</v>
      </c>
    </row>
    <row r="171" spans="1:17" ht="15.75" customHeight="1" x14ac:dyDescent="0.3">
      <c r="A171" t="s">
        <v>7846</v>
      </c>
      <c r="B171">
        <f>I95</f>
        <v>200</v>
      </c>
      <c r="C171" t="s">
        <v>12771</v>
      </c>
      <c r="E171" s="85" t="s">
        <v>12044</v>
      </c>
      <c r="F171" s="16">
        <v>250</v>
      </c>
      <c r="H171" s="4" t="s">
        <v>155</v>
      </c>
      <c r="I171" s="5">
        <f t="shared" si="159"/>
        <v>185</v>
      </c>
      <c r="J171" s="5"/>
      <c r="K171" s="4" t="str">
        <f t="shared" si="157"/>
        <v>A33 c/aro - original = R$ 185,00</v>
      </c>
      <c r="M171" s="4" t="str">
        <f t="shared" si="158"/>
        <v>A33 c/aro - original = R$ 190,00</v>
      </c>
      <c r="O171" s="4" t="str">
        <f t="shared" si="2"/>
        <v>A33 c/aro - original = R$ 180,00</v>
      </c>
      <c r="Q171" s="4" t="str">
        <f t="shared" si="124"/>
        <v>A33 c/aro - original = R$ 195,00</v>
      </c>
    </row>
    <row r="172" spans="1:17" ht="15.75" customHeight="1" x14ac:dyDescent="0.3">
      <c r="A172" t="s">
        <v>11448</v>
      </c>
      <c r="B172">
        <f>I96</f>
        <v>210</v>
      </c>
      <c r="E172" s="85" t="s">
        <v>12045</v>
      </c>
      <c r="F172" s="16">
        <v>260</v>
      </c>
      <c r="H172" s="4" t="s">
        <v>157</v>
      </c>
      <c r="I172" s="5">
        <f t="shared" si="159"/>
        <v>205</v>
      </c>
      <c r="J172" s="5"/>
      <c r="K172" s="4" t="str">
        <f t="shared" ref="K172" si="168">CONCATENATE(H172,I172,",00")</f>
        <v>A33 c/aro Nacional   = R$ 205,00</v>
      </c>
      <c r="M172" s="4" t="str">
        <f t="shared" ref="M172" si="169">CONCATENATE(H172,I172+5,",00")</f>
        <v>A33 c/aro Nacional   = R$ 210,00</v>
      </c>
      <c r="O172" s="4" t="str">
        <f t="shared" ref="O172" si="170">CONCATENATE(H172,I172-5,",00")</f>
        <v>A33 c/aro Nacional   = R$ 200,00</v>
      </c>
      <c r="Q172" s="4" t="str">
        <f t="shared" ref="Q172" si="171">CONCATENATE(H172,I172+10,",00")</f>
        <v>A33 c/aro Nacional   = R$ 215,00</v>
      </c>
    </row>
    <row r="173" spans="1:17" ht="15.75" customHeight="1" x14ac:dyDescent="0.3">
      <c r="A173" t="s">
        <v>11449</v>
      </c>
      <c r="B173">
        <f>I96</f>
        <v>210</v>
      </c>
      <c r="E173" s="85" t="s">
        <v>11175</v>
      </c>
      <c r="F173" s="6">
        <v>70</v>
      </c>
      <c r="H173" s="4" t="s">
        <v>11332</v>
      </c>
      <c r="I173" s="5">
        <f t="shared" si="159"/>
        <v>215</v>
      </c>
      <c r="J173" s="5"/>
      <c r="K173" s="4" t="str">
        <f t="shared" si="157"/>
        <v>A33 c/aro Nac Diamonds = 215,00</v>
      </c>
      <c r="M173" s="4" t="str">
        <f t="shared" si="158"/>
        <v>A33 c/aro Nac Diamonds = 220,00</v>
      </c>
      <c r="O173" s="4" t="str">
        <f t="shared" si="2"/>
        <v>A33 c/aro Nac Diamonds = 210,00</v>
      </c>
      <c r="Q173" s="4" t="str">
        <f t="shared" si="124"/>
        <v>A33 c/aro Nac Diamonds = 225,00</v>
      </c>
    </row>
    <row r="174" spans="1:17" ht="15.75" customHeight="1" x14ac:dyDescent="0.3">
      <c r="A174" s="20" t="s">
        <v>7847</v>
      </c>
      <c r="B174">
        <f>B163</f>
        <v>150</v>
      </c>
      <c r="C174" t="s">
        <v>12769</v>
      </c>
      <c r="E174" s="85" t="s">
        <v>161</v>
      </c>
      <c r="F174" s="6">
        <v>140</v>
      </c>
      <c r="H174" s="4" t="s">
        <v>11203</v>
      </c>
      <c r="I174" s="5">
        <f t="shared" si="159"/>
        <v>105</v>
      </c>
      <c r="J174" s="5"/>
      <c r="K174" s="4" t="str">
        <f t="shared" ref="K174" si="172">CONCATENATE(H174,I174,",00")</f>
        <v>A34 c/aro - incell     = R$ 105,00</v>
      </c>
      <c r="M174" s="4" t="str">
        <f t="shared" ref="M174" si="173">CONCATENATE(H174,I174+5,",00")</f>
        <v>A34 c/aro - incell     = R$ 110,00</v>
      </c>
      <c r="O174" s="4" t="str">
        <f t="shared" ref="O174" si="174">CONCATENATE(H174,I174-5,",00")</f>
        <v>A34 c/aro - incell     = R$ 100,00</v>
      </c>
      <c r="Q174" s="4" t="str">
        <f t="shared" si="124"/>
        <v>A34 c/aro - incell     = R$ 115,00</v>
      </c>
    </row>
    <row r="175" spans="1:17" ht="15.75" customHeight="1" x14ac:dyDescent="0.3">
      <c r="A175" s="20" t="s">
        <v>7848</v>
      </c>
      <c r="B175">
        <f>B164</f>
        <v>150</v>
      </c>
      <c r="C175" t="s">
        <v>12769</v>
      </c>
      <c r="E175" s="85" t="s">
        <v>11176</v>
      </c>
      <c r="F175" s="6">
        <v>140</v>
      </c>
      <c r="H175" s="4" t="s">
        <v>160</v>
      </c>
      <c r="I175" s="5">
        <f t="shared" si="159"/>
        <v>180</v>
      </c>
      <c r="J175" s="5"/>
      <c r="K175" s="4" t="str">
        <f t="shared" si="157"/>
        <v>A34 c/aro - orig (T/P)= R$ 180,00</v>
      </c>
      <c r="M175" s="4" t="str">
        <f t="shared" si="158"/>
        <v>A34 c/aro - orig (T/P)= R$ 185,00</v>
      </c>
      <c r="O175" s="4" t="str">
        <f t="shared" si="2"/>
        <v>A34 c/aro - orig (T/P)= R$ 175,00</v>
      </c>
      <c r="Q175" s="4" t="str">
        <f t="shared" ref="Q175:Q183" si="175">CONCATENATE(H175,I175+10,",00")</f>
        <v>A34 c/aro - orig (T/P)= R$ 190,00</v>
      </c>
    </row>
    <row r="176" spans="1:17" ht="15.75" customHeight="1" x14ac:dyDescent="0.3">
      <c r="A176" s="20" t="s">
        <v>7849</v>
      </c>
      <c r="B176">
        <f>B165</f>
        <v>150</v>
      </c>
      <c r="C176" t="s">
        <v>12769</v>
      </c>
      <c r="E176" s="85" t="s">
        <v>13167</v>
      </c>
      <c r="F176" s="16">
        <v>160</v>
      </c>
      <c r="H176" s="4" t="s">
        <v>162</v>
      </c>
      <c r="I176" s="5">
        <f t="shared" si="159"/>
        <v>230</v>
      </c>
      <c r="J176" s="5"/>
      <c r="K176" s="4" t="str">
        <f t="shared" si="157"/>
        <v>A34 c/aro - orig (T/G)= R$ 230,00</v>
      </c>
      <c r="M176" s="4" t="str">
        <f t="shared" si="158"/>
        <v>A34 c/aro - orig (T/G)= R$ 235,00</v>
      </c>
      <c r="O176" s="4" t="str">
        <f t="shared" si="2"/>
        <v>A34 c/aro - orig (T/G)= R$ 225,00</v>
      </c>
      <c r="Q176" s="4" t="str">
        <f t="shared" si="175"/>
        <v>A34 c/aro - orig (T/G)= R$ 240,00</v>
      </c>
    </row>
    <row r="177" spans="1:17" ht="15.75" customHeight="1" x14ac:dyDescent="0.3">
      <c r="A177" t="s">
        <v>1875</v>
      </c>
      <c r="B177">
        <f>I94</f>
        <v>160</v>
      </c>
      <c r="C177" t="s">
        <v>12770</v>
      </c>
      <c r="E177" s="85" t="s">
        <v>11177</v>
      </c>
      <c r="F177" s="6">
        <v>75</v>
      </c>
      <c r="H177" s="4" t="s">
        <v>163</v>
      </c>
      <c r="I177" s="5">
        <f t="shared" si="159"/>
        <v>250</v>
      </c>
      <c r="J177" s="5"/>
      <c r="K177" s="4" t="str">
        <f t="shared" ref="K177" si="176">CONCATENATE(H177,I177,",00")</f>
        <v>A34 c/aro Nacional   = R$ 250,00</v>
      </c>
      <c r="M177" s="4" t="str">
        <f t="shared" ref="M177" si="177">CONCATENATE(H177,I177+5,",00")</f>
        <v>A34 c/aro Nacional   = R$ 255,00</v>
      </c>
      <c r="O177" s="4" t="str">
        <f t="shared" ref="O177" si="178">CONCATENATE(H177,I177-5,",00")</f>
        <v>A34 c/aro Nacional   = R$ 245,00</v>
      </c>
      <c r="Q177" s="4" t="str">
        <f t="shared" ref="Q177" si="179">CONCATENATE(H177,I177+10,",00")</f>
        <v>A34 c/aro Nacional   = R$ 260,00</v>
      </c>
    </row>
    <row r="178" spans="1:17" ht="15.75" customHeight="1" x14ac:dyDescent="0.3">
      <c r="A178" s="20" t="s">
        <v>2875</v>
      </c>
      <c r="B178">
        <f>I94</f>
        <v>160</v>
      </c>
      <c r="C178" t="s">
        <v>12770</v>
      </c>
      <c r="E178" s="85" t="s">
        <v>11178</v>
      </c>
      <c r="F178" s="6">
        <v>145</v>
      </c>
      <c r="H178" s="4" t="s">
        <v>11334</v>
      </c>
      <c r="I178" s="5">
        <f t="shared" si="159"/>
        <v>260</v>
      </c>
      <c r="J178" s="5"/>
      <c r="K178" s="4" t="str">
        <f t="shared" si="157"/>
        <v>A34 c/aro Nac Diamonds = 260,00</v>
      </c>
      <c r="M178" s="4" t="str">
        <f t="shared" si="158"/>
        <v>A34 c/aro Nac Diamonds = 265,00</v>
      </c>
      <c r="O178" s="4" t="str">
        <f t="shared" si="2"/>
        <v>A34 c/aro Nac Diamonds = 255,00</v>
      </c>
      <c r="Q178" s="4" t="str">
        <f t="shared" si="175"/>
        <v>A34 c/aro Nac Diamonds = 270,00</v>
      </c>
    </row>
    <row r="179" spans="1:17" ht="15.75" customHeight="1" x14ac:dyDescent="0.3">
      <c r="A179" s="84" t="s">
        <v>2876</v>
      </c>
      <c r="B179">
        <f>I94</f>
        <v>160</v>
      </c>
      <c r="C179" t="s">
        <v>12770</v>
      </c>
      <c r="E179" s="85" t="s">
        <v>11179</v>
      </c>
      <c r="F179" s="6">
        <v>175</v>
      </c>
      <c r="H179" s="4" t="s">
        <v>11336</v>
      </c>
      <c r="I179" s="5">
        <f t="shared" si="159"/>
        <v>110</v>
      </c>
      <c r="J179" s="5"/>
      <c r="K179" s="4" t="str">
        <f t="shared" si="157"/>
        <v>A35 - incell c/aro = R$ 110,00</v>
      </c>
      <c r="M179" s="4" t="str">
        <f t="shared" si="158"/>
        <v>A35 - incell c/aro = R$ 115,00</v>
      </c>
      <c r="O179" s="4" t="str">
        <f t="shared" ref="O179:O183" si="180">CONCATENATE(H179,I179-5,",00")</f>
        <v>A35 - incell c/aro = R$ 105,00</v>
      </c>
      <c r="Q179" s="4" t="str">
        <f t="shared" si="175"/>
        <v>A35 - incell c/aro = R$ 120,00</v>
      </c>
    </row>
    <row r="180" spans="1:17" ht="15.75" customHeight="1" x14ac:dyDescent="0.3">
      <c r="A180" t="s">
        <v>2349</v>
      </c>
      <c r="B180">
        <f>I95</f>
        <v>200</v>
      </c>
      <c r="C180" t="s">
        <v>12771</v>
      </c>
      <c r="E180" s="85" t="s">
        <v>12068</v>
      </c>
      <c r="F180" s="6">
        <v>90</v>
      </c>
      <c r="H180" s="4" t="s">
        <v>12007</v>
      </c>
      <c r="I180" s="5" t="e">
        <f>#REF!</f>
        <v>#REF!</v>
      </c>
      <c r="J180" s="5"/>
      <c r="K180" s="4" t="e">
        <f t="shared" ref="K180" si="181">CONCATENATE(H180,I180,",00")</f>
        <v>#REF!</v>
      </c>
      <c r="M180" s="4" t="e">
        <f t="shared" ref="M180" si="182">CONCATENATE(H180,I180+5,",00")</f>
        <v>#REF!</v>
      </c>
      <c r="O180" s="4" t="e">
        <f t="shared" ref="O180" si="183">CONCATENATE(H180,I180-5,",00")</f>
        <v>#REF!</v>
      </c>
      <c r="Q180" s="4" t="e">
        <f t="shared" ref="Q180" si="184">CONCATENATE(H180,I180+10,",00")</f>
        <v>#REF!</v>
      </c>
    </row>
    <row r="181" spans="1:17" ht="15.75" customHeight="1" x14ac:dyDescent="0.3">
      <c r="A181" t="s">
        <v>2510</v>
      </c>
      <c r="B181">
        <f>I95</f>
        <v>200</v>
      </c>
      <c r="C181" t="s">
        <v>12771</v>
      </c>
      <c r="E181" s="85" t="s">
        <v>12069</v>
      </c>
      <c r="F181" s="6">
        <v>180</v>
      </c>
      <c r="H181" s="4" t="s">
        <v>11337</v>
      </c>
      <c r="I181" s="5">
        <f t="shared" ref="I181:J196" si="185">F165</f>
        <v>215</v>
      </c>
      <c r="J181" s="5"/>
      <c r="K181" s="4" t="str">
        <f t="shared" si="157"/>
        <v>A35 - original c/aro = R$ 215,00</v>
      </c>
      <c r="M181" s="4" t="str">
        <f t="shared" si="158"/>
        <v>A35 - original c/aro = R$ 220,00</v>
      </c>
      <c r="O181" s="4" t="str">
        <f t="shared" si="180"/>
        <v>A35 - original c/aro = R$ 210,00</v>
      </c>
      <c r="Q181" s="4" t="str">
        <f t="shared" si="175"/>
        <v>A35 - original c/aro = R$ 225,00</v>
      </c>
    </row>
    <row r="182" spans="1:17" ht="15.75" customHeight="1" x14ac:dyDescent="0.3">
      <c r="A182" t="s">
        <v>11446</v>
      </c>
      <c r="B182">
        <f>I96</f>
        <v>210</v>
      </c>
      <c r="E182" s="85" t="s">
        <v>12070</v>
      </c>
      <c r="F182" s="16">
        <v>230</v>
      </c>
      <c r="H182" s="4" t="s">
        <v>11338</v>
      </c>
      <c r="I182" s="5">
        <f t="shared" si="185"/>
        <v>260</v>
      </c>
      <c r="J182" s="5"/>
      <c r="K182" s="4" t="str">
        <f t="shared" si="157"/>
        <v>A35 c/aro Nacional   = R$ 260,00</v>
      </c>
      <c r="M182" s="4" t="str">
        <f t="shared" si="158"/>
        <v>A35 c/aro Nacional   = R$ 265,00</v>
      </c>
      <c r="O182" s="4" t="str">
        <f t="shared" si="180"/>
        <v>A35 c/aro Nacional   = R$ 255,00</v>
      </c>
      <c r="Q182" s="4" t="str">
        <f t="shared" si="175"/>
        <v>A35 c/aro Nacional   = R$ 270,00</v>
      </c>
    </row>
    <row r="183" spans="1:17" ht="15.75" customHeight="1" x14ac:dyDescent="0.3">
      <c r="A183" t="s">
        <v>11447</v>
      </c>
      <c r="B183">
        <f>I96</f>
        <v>210</v>
      </c>
      <c r="E183" s="85" t="s">
        <v>167</v>
      </c>
      <c r="F183" s="6">
        <v>100</v>
      </c>
      <c r="H183" s="4" t="s">
        <v>11339</v>
      </c>
      <c r="I183" s="5">
        <f t="shared" si="185"/>
        <v>270</v>
      </c>
      <c r="J183" s="5"/>
      <c r="K183" s="4" t="str">
        <f t="shared" si="157"/>
        <v>A35 c/aro Nac Diamonds = 270,00</v>
      </c>
      <c r="M183" s="4" t="str">
        <f t="shared" si="158"/>
        <v>A35 c/aro Nac Diamonds = 275,00</v>
      </c>
      <c r="O183" s="4" t="str">
        <f t="shared" si="180"/>
        <v>A35 c/aro Nac Diamonds = 265,00</v>
      </c>
      <c r="Q183" s="4" t="str">
        <f t="shared" si="175"/>
        <v>A35 c/aro Nac Diamonds = 280,00</v>
      </c>
    </row>
    <row r="184" spans="1:17" ht="15.75" customHeight="1" x14ac:dyDescent="0.3">
      <c r="A184" t="s">
        <v>12290</v>
      </c>
      <c r="B184">
        <f>I97</f>
        <v>85</v>
      </c>
      <c r="C184" t="s">
        <v>12777</v>
      </c>
      <c r="E184" s="85" t="s">
        <v>11180</v>
      </c>
      <c r="F184" s="6">
        <v>180</v>
      </c>
      <c r="H184" s="4" t="s">
        <v>11208</v>
      </c>
      <c r="I184" s="5">
        <f t="shared" si="185"/>
        <v>140</v>
      </c>
      <c r="J184" s="5"/>
      <c r="K184" s="4" t="str">
        <f t="shared" ref="K184:K193" si="186">CONCATENATE(H184,I184,",00")</f>
        <v>A36 - incell c/aro = R$ 140,00</v>
      </c>
      <c r="M184" s="4" t="str">
        <f t="shared" ref="M184:M193" si="187">CONCATENATE(H184,I184+5,",00")</f>
        <v>A36 - incell c/aro = R$ 145,00</v>
      </c>
      <c r="O184" s="4" t="str">
        <f t="shared" ref="O184:O193" si="188">CONCATENATE(H184,I184-5,",00")</f>
        <v>A36 - incell c/aro = R$ 135,00</v>
      </c>
      <c r="Q184" s="4" t="str">
        <f t="shared" ref="Q184:Q193" si="189">CONCATENATE(H184,I184+10,",00")</f>
        <v>A36 - incell c/aro = R$ 150,00</v>
      </c>
    </row>
    <row r="185" spans="1:17" ht="15.75" customHeight="1" x14ac:dyDescent="0.3">
      <c r="A185" t="s">
        <v>12291</v>
      </c>
      <c r="B185">
        <f>I97</f>
        <v>85</v>
      </c>
      <c r="C185" t="s">
        <v>12777</v>
      </c>
      <c r="E185" s="85" t="s">
        <v>11340</v>
      </c>
      <c r="F185" s="6">
        <v>250</v>
      </c>
      <c r="H185" s="4" t="s">
        <v>11209</v>
      </c>
      <c r="I185" s="5">
        <f t="shared" si="185"/>
        <v>210</v>
      </c>
      <c r="J185" s="5"/>
      <c r="K185" s="4" t="str">
        <f t="shared" ref="K185" si="190">CONCATENATE(H185,I185,",00")</f>
        <v>A36 - original       = R$ 210,00</v>
      </c>
      <c r="M185" s="4" t="str">
        <f t="shared" ref="M185" si="191">CONCATENATE(H185,I185+5,",00")</f>
        <v>A36 - original       = R$ 215,00</v>
      </c>
      <c r="O185" s="4" t="str">
        <f t="shared" ref="O185" si="192">CONCATENATE(H185,I185-5,",00")</f>
        <v>A36 - original       = R$ 205,00</v>
      </c>
      <c r="Q185" s="4" t="str">
        <f t="shared" ref="Q185" si="193">CONCATENATE(H185,I185+10,",00")</f>
        <v>A36 - original       = R$ 220,00</v>
      </c>
    </row>
    <row r="186" spans="1:17" ht="15.75" customHeight="1" x14ac:dyDescent="0.3">
      <c r="A186" s="67" t="s">
        <v>12292</v>
      </c>
      <c r="B186">
        <f>I98</f>
        <v>100</v>
      </c>
      <c r="C186" t="s">
        <v>12775</v>
      </c>
      <c r="E186" s="85" t="s">
        <v>168</v>
      </c>
      <c r="F186" s="6">
        <v>100</v>
      </c>
      <c r="H186" s="4" t="s">
        <v>11210</v>
      </c>
      <c r="I186" s="5">
        <f t="shared" si="185"/>
        <v>220</v>
      </c>
      <c r="J186" s="5"/>
      <c r="K186" s="4" t="str">
        <f t="shared" si="186"/>
        <v>A36 - original c/aro = R$ 220,00</v>
      </c>
      <c r="M186" s="4" t="str">
        <f t="shared" si="187"/>
        <v>A36 - original c/aro = R$ 225,00</v>
      </c>
      <c r="O186" s="4" t="str">
        <f t="shared" si="188"/>
        <v>A36 - original c/aro = R$ 215,00</v>
      </c>
      <c r="Q186" s="4" t="str">
        <f t="shared" si="189"/>
        <v>A36 - original c/aro = R$ 230,00</v>
      </c>
    </row>
    <row r="187" spans="1:17" ht="15.75" customHeight="1" x14ac:dyDescent="0.3">
      <c r="A187" s="67" t="s">
        <v>12293</v>
      </c>
      <c r="B187">
        <f>I98</f>
        <v>100</v>
      </c>
      <c r="C187" t="s">
        <v>12775</v>
      </c>
      <c r="E187" s="85" t="s">
        <v>169</v>
      </c>
      <c r="F187" s="6">
        <v>105</v>
      </c>
      <c r="H187" s="4" t="s">
        <v>12046</v>
      </c>
      <c r="I187" s="5">
        <f t="shared" si="185"/>
        <v>250</v>
      </c>
      <c r="J187" s="5"/>
      <c r="K187" s="4" t="str">
        <f t="shared" si="186"/>
        <v>A36 c/aro Nacional   = R$ 250,00</v>
      </c>
      <c r="M187" s="4" t="str">
        <f t="shared" si="187"/>
        <v>A36 c/aro Nacional   = R$ 255,00</v>
      </c>
      <c r="O187" s="4" t="str">
        <f t="shared" si="188"/>
        <v>A36 c/aro Nacional   = R$ 245,00</v>
      </c>
      <c r="Q187" s="4" t="str">
        <f t="shared" si="189"/>
        <v>A36 c/aro Nacional   = R$ 260,00</v>
      </c>
    </row>
    <row r="188" spans="1:17" ht="15.75" customHeight="1" x14ac:dyDescent="0.3">
      <c r="A188" t="s">
        <v>12294</v>
      </c>
      <c r="B188">
        <f>I99</f>
        <v>205</v>
      </c>
      <c r="C188" t="s">
        <v>12776</v>
      </c>
      <c r="E188" s="85" t="s">
        <v>10578</v>
      </c>
      <c r="F188" s="6">
        <v>180</v>
      </c>
      <c r="H188" s="4" t="s">
        <v>12047</v>
      </c>
      <c r="I188" s="5">
        <f t="shared" si="185"/>
        <v>260</v>
      </c>
      <c r="J188" s="5"/>
      <c r="K188" s="4" t="str">
        <f t="shared" si="186"/>
        <v>A36 c/aro Nac Diamonds = 260,00</v>
      </c>
      <c r="M188" s="4" t="str">
        <f t="shared" si="187"/>
        <v>A36 c/aro Nac Diamonds = 265,00</v>
      </c>
      <c r="O188" s="4" t="str">
        <f t="shared" si="188"/>
        <v>A36 c/aro Nac Diamonds = 255,00</v>
      </c>
      <c r="Q188" s="4" t="str">
        <f t="shared" si="189"/>
        <v>A36 c/aro Nac Diamonds = 270,00</v>
      </c>
    </row>
    <row r="189" spans="1:17" ht="15.75" customHeight="1" x14ac:dyDescent="0.3">
      <c r="A189" t="s">
        <v>12295</v>
      </c>
      <c r="B189">
        <f>I99</f>
        <v>205</v>
      </c>
      <c r="C189" t="s">
        <v>12776</v>
      </c>
      <c r="E189" s="85" t="s">
        <v>11342</v>
      </c>
      <c r="F189" s="6">
        <v>280</v>
      </c>
      <c r="H189" s="4" t="s">
        <v>2485</v>
      </c>
      <c r="I189" s="5">
        <f t="shared" si="185"/>
        <v>70</v>
      </c>
      <c r="J189" s="5"/>
      <c r="K189" s="4" t="str">
        <f t="shared" ref="K189:K190" si="194">CONCATENATE(H189,I189,",00")</f>
        <v>A50 - incell c/aro = R$ 70,00</v>
      </c>
      <c r="M189" s="4" t="str">
        <f t="shared" ref="M189:M190" si="195">CONCATENATE(H189,I189+5,",00")</f>
        <v>A50 - incell c/aro = R$ 75,00</v>
      </c>
      <c r="O189" s="4" t="str">
        <f t="shared" ref="O189:O190" si="196">CONCATENATE(H189,I189-5,",00")</f>
        <v>A50 - incell c/aro = R$ 65,00</v>
      </c>
      <c r="Q189" s="4" t="str">
        <f t="shared" ref="Q189:Q190" si="197">CONCATENATE(H189,I189+10,",00")</f>
        <v>A50 - incell c/aro = R$ 80,00</v>
      </c>
    </row>
    <row r="190" spans="1:17" ht="15.75" customHeight="1" x14ac:dyDescent="0.3">
      <c r="A190" t="s">
        <v>12296</v>
      </c>
      <c r="B190">
        <f>I100</f>
        <v>220</v>
      </c>
      <c r="C190" t="s">
        <v>12774</v>
      </c>
      <c r="E190" s="85" t="s">
        <v>10898</v>
      </c>
      <c r="F190" s="16">
        <v>130</v>
      </c>
      <c r="H190" s="4" t="s">
        <v>164</v>
      </c>
      <c r="I190" s="5">
        <f t="shared" si="185"/>
        <v>140</v>
      </c>
      <c r="J190" s="5"/>
      <c r="K190" s="4" t="str">
        <f t="shared" si="194"/>
        <v>A50 - original   = R$ 140,00</v>
      </c>
      <c r="M190" s="4" t="str">
        <f t="shared" si="195"/>
        <v>A50 - original   = R$ 145,00</v>
      </c>
      <c r="O190" s="4" t="str">
        <f t="shared" si="196"/>
        <v>A50 - original   = R$ 135,00</v>
      </c>
      <c r="Q190" s="4" t="str">
        <f t="shared" si="197"/>
        <v>A50 - original   = R$ 150,00</v>
      </c>
    </row>
    <row r="191" spans="1:17" ht="15.75" customHeight="1" x14ac:dyDescent="0.3">
      <c r="A191" t="s">
        <v>12297</v>
      </c>
      <c r="B191">
        <f>I100</f>
        <v>220</v>
      </c>
      <c r="C191" t="s">
        <v>12774</v>
      </c>
      <c r="E191" s="85" t="s">
        <v>10899</v>
      </c>
      <c r="F191" s="16">
        <v>220</v>
      </c>
      <c r="H191" s="4" t="s">
        <v>10605</v>
      </c>
      <c r="I191" s="5">
        <f t="shared" si="185"/>
        <v>140</v>
      </c>
      <c r="J191" s="5"/>
      <c r="K191" s="4" t="str">
        <f t="shared" si="186"/>
        <v>A50 c/aro - original  = R$ 140,00</v>
      </c>
      <c r="M191" s="4" t="str">
        <f t="shared" si="187"/>
        <v>A50 c/aro - original  = R$ 145,00</v>
      </c>
      <c r="O191" s="4" t="str">
        <f t="shared" si="188"/>
        <v>A50 c/aro - original  = R$ 135,00</v>
      </c>
      <c r="Q191" s="4" t="str">
        <f t="shared" si="189"/>
        <v>A50 c/aro - original  = R$ 150,00</v>
      </c>
    </row>
    <row r="192" spans="1:17" ht="15.75" customHeight="1" x14ac:dyDescent="0.3">
      <c r="A192" s="67" t="s">
        <v>12298</v>
      </c>
      <c r="B192">
        <f>I99</f>
        <v>205</v>
      </c>
      <c r="C192" t="s">
        <v>12776</v>
      </c>
      <c r="E192" s="85" t="s">
        <v>11344</v>
      </c>
      <c r="F192" s="16">
        <v>270</v>
      </c>
      <c r="H192" s="4" t="s">
        <v>13168</v>
      </c>
      <c r="I192" s="5">
        <f t="shared" si="185"/>
        <v>160</v>
      </c>
      <c r="J192" s="5"/>
      <c r="K192" s="4" t="str">
        <f t="shared" ref="K192" si="198">CONCATENATE(H192,I192,",00")</f>
        <v>A50 c/aro Nac Diamonds = 160,00</v>
      </c>
      <c r="M192" s="4" t="str">
        <f t="shared" ref="M192" si="199">CONCATENATE(H192,I192+5,",00")</f>
        <v>A50 c/aro Nac Diamonds = 165,00</v>
      </c>
      <c r="O192" s="4" t="str">
        <f t="shared" ref="O192" si="200">CONCATENATE(H192,I192-5,",00")</f>
        <v>A50 c/aro Nac Diamonds = 155,00</v>
      </c>
      <c r="Q192" s="4" t="str">
        <f t="shared" ref="Q192" si="201">CONCATENATE(H192,I192+10,",00")</f>
        <v>A50 c/aro Nac Diamonds = 170,00</v>
      </c>
    </row>
    <row r="193" spans="1:17" ht="15.75" customHeight="1" x14ac:dyDescent="0.3">
      <c r="A193" s="67" t="s">
        <v>12299</v>
      </c>
      <c r="B193">
        <f>I99</f>
        <v>205</v>
      </c>
      <c r="C193" t="s">
        <v>12776</v>
      </c>
      <c r="E193" s="85" t="s">
        <v>11345</v>
      </c>
      <c r="F193" s="16">
        <v>280</v>
      </c>
      <c r="H193" s="4" t="s">
        <v>10604</v>
      </c>
      <c r="I193" s="5">
        <f t="shared" si="185"/>
        <v>75</v>
      </c>
      <c r="J193" s="5"/>
      <c r="K193" s="4" t="str">
        <f t="shared" si="186"/>
        <v>A51 c/aro - incell = R$ 75,00</v>
      </c>
      <c r="M193" s="4" t="str">
        <f t="shared" si="187"/>
        <v>A51 c/aro - incell = R$ 80,00</v>
      </c>
      <c r="O193" s="4" t="str">
        <f t="shared" si="188"/>
        <v>A51 c/aro - incell = R$ 70,00</v>
      </c>
      <c r="Q193" s="4" t="str">
        <f t="shared" si="189"/>
        <v>A51 c/aro - incell = R$ 85,00</v>
      </c>
    </row>
    <row r="194" spans="1:17" ht="15.75" customHeight="1" x14ac:dyDescent="0.3">
      <c r="A194" s="67" t="s">
        <v>12300</v>
      </c>
      <c r="B194">
        <f>I100</f>
        <v>220</v>
      </c>
      <c r="C194" t="s">
        <v>12774</v>
      </c>
      <c r="E194" s="85" t="s">
        <v>11221</v>
      </c>
      <c r="F194" s="16">
        <v>160</v>
      </c>
      <c r="H194" s="4" t="s">
        <v>165</v>
      </c>
      <c r="I194" s="5">
        <f t="shared" si="185"/>
        <v>145</v>
      </c>
      <c r="J194" s="5"/>
      <c r="K194" s="4" t="str">
        <f t="shared" ref="K194" si="202">CONCATENATE(H194,I194,",00")</f>
        <v>A51 c/aro-orig(Tela/P)= R$ 145,00</v>
      </c>
      <c r="M194" s="4" t="str">
        <f t="shared" ref="M194" si="203">CONCATENATE(H194,I194+5,",00")</f>
        <v>A51 c/aro-orig(Tela/P)= R$ 150,00</v>
      </c>
      <c r="O194" s="4" t="str">
        <f t="shared" ref="O194" si="204">CONCATENATE(H194,I194-5,",00")</f>
        <v>A51 c/aro-orig(Tela/P)= R$ 140,00</v>
      </c>
      <c r="Q194" s="4" t="str">
        <f t="shared" ref="Q194" si="205">CONCATENATE(H194,I194+10,",00")</f>
        <v>A51 c/aro-orig(Tela/P)= R$ 155,00</v>
      </c>
    </row>
    <row r="195" spans="1:17" ht="15.75" customHeight="1" x14ac:dyDescent="0.3">
      <c r="A195" s="67" t="s">
        <v>12301</v>
      </c>
      <c r="B195">
        <f>I100</f>
        <v>220</v>
      </c>
      <c r="C195" t="s">
        <v>12774</v>
      </c>
      <c r="E195" s="85" t="s">
        <v>11222</v>
      </c>
      <c r="F195" s="16">
        <v>295</v>
      </c>
      <c r="H195" s="4" t="s">
        <v>166</v>
      </c>
      <c r="I195" s="5">
        <f t="shared" si="185"/>
        <v>175</v>
      </c>
      <c r="J195" s="5"/>
      <c r="K195" s="4" t="str">
        <f>CONCATENATE(H195,I195,",00")</f>
        <v>A51 c/aro-orig(Tela/G)= R$ 175,00</v>
      </c>
      <c r="M195" s="4" t="str">
        <f>CONCATENATE(H195,I195+5,",00")</f>
        <v>A51 c/aro-orig(Tela/G)= R$ 180,00</v>
      </c>
      <c r="O195" s="4" t="str">
        <f t="shared" ref="O195:O209" si="206">CONCATENATE(H195,I195-5,",00")</f>
        <v>A51 c/aro-orig(Tela/G)= R$ 170,00</v>
      </c>
      <c r="Q195" s="4" t="str">
        <f t="shared" ref="Q195:Q211" si="207">CONCATENATE(H195,I195+10,",00")</f>
        <v>A51 c/aro-orig(Tela/G)= R$ 185,00</v>
      </c>
    </row>
    <row r="196" spans="1:17" ht="15.75" customHeight="1" x14ac:dyDescent="0.3">
      <c r="A196" t="s">
        <v>12531</v>
      </c>
      <c r="B196">
        <f>I101</f>
        <v>90</v>
      </c>
      <c r="C196" t="s">
        <v>12778</v>
      </c>
      <c r="E196" s="85" t="s">
        <v>172</v>
      </c>
      <c r="F196" s="6">
        <v>60</v>
      </c>
      <c r="H196" s="4" t="s">
        <v>12073</v>
      </c>
      <c r="I196" s="5">
        <f t="shared" si="185"/>
        <v>90</v>
      </c>
      <c r="J196" s="5"/>
      <c r="K196" s="4" t="str">
        <f>CONCATENATE(H196,I196,",00")</f>
        <v>A52 c/aro - incell  = R$ 90,00</v>
      </c>
      <c r="M196" s="4" t="str">
        <f>CONCATENATE(H196,I196+5,",00")</f>
        <v>A52 c/aro - incell  = R$ 95,00</v>
      </c>
      <c r="O196" s="4" t="str">
        <f t="shared" si="206"/>
        <v>A52 c/aro - incell  = R$ 85,00</v>
      </c>
      <c r="Q196" s="4" t="str">
        <f t="shared" si="207"/>
        <v>A52 c/aro - incell  = R$ 100,00</v>
      </c>
    </row>
    <row r="197" spans="1:17" ht="15.75" customHeight="1" x14ac:dyDescent="0.3">
      <c r="A197" t="s">
        <v>12532</v>
      </c>
      <c r="B197">
        <f>I101</f>
        <v>90</v>
      </c>
      <c r="C197" t="s">
        <v>12778</v>
      </c>
      <c r="E197" s="85" t="s">
        <v>10579</v>
      </c>
      <c r="F197" s="6">
        <v>80</v>
      </c>
      <c r="H197" s="4" t="s">
        <v>12478</v>
      </c>
      <c r="I197" s="5">
        <f>F180</f>
        <v>90</v>
      </c>
      <c r="J197" s="5"/>
      <c r="K197" s="4" t="str">
        <f t="shared" ref="K197" si="208">CONCATENATE(H197,I197,"")</f>
        <v>A52s c/aro - incell  = R$ 90</v>
      </c>
      <c r="M197" s="4" t="str">
        <f t="shared" ref="M197" si="209">CONCATENATE(H197,I197+5,"")</f>
        <v>A52s c/aro - incell  = R$ 95</v>
      </c>
      <c r="O197" s="4" t="str">
        <f t="shared" ref="O197" si="210">CONCATENATE(H197,I197-5,",00")</f>
        <v>A52s c/aro - incell  = R$ 85,00</v>
      </c>
      <c r="Q197" s="4" t="str">
        <f t="shared" ref="Q197" si="211">CONCATENATE(H197,I197+10,",00")</f>
        <v>A52s c/aro - incell  = R$ 100,00</v>
      </c>
    </row>
    <row r="198" spans="1:17" ht="15.75" customHeight="1" x14ac:dyDescent="0.3">
      <c r="A198" s="72" t="s">
        <v>12533</v>
      </c>
      <c r="B198">
        <f>I102</f>
        <v>105</v>
      </c>
      <c r="C198" t="s">
        <v>12773</v>
      </c>
      <c r="E198" s="85" t="s">
        <v>10580</v>
      </c>
      <c r="F198" s="6">
        <v>135</v>
      </c>
      <c r="H198" s="4" t="s">
        <v>12072</v>
      </c>
      <c r="I198" s="5">
        <f>F181</f>
        <v>180</v>
      </c>
      <c r="J198" s="5"/>
      <c r="K198" s="4" t="str">
        <f t="shared" ref="K198:K199" si="212">CONCATENATE(H198,I198,"")</f>
        <v>A52 c/aro-orig (Tela/G) = R$ 180</v>
      </c>
      <c r="M198" s="4" t="str">
        <f t="shared" ref="M198:M199" si="213">CONCATENATE(H198,I198+5,"")</f>
        <v>A52 c/aro-orig (Tela/G) = R$ 185</v>
      </c>
      <c r="O198" s="4" t="str">
        <f t="shared" si="206"/>
        <v>A52 c/aro-orig (Tela/G) = R$ 175,00</v>
      </c>
      <c r="Q198" s="4" t="str">
        <f t="shared" si="207"/>
        <v>A52 c/aro-orig (Tela/G) = R$ 190,00</v>
      </c>
    </row>
    <row r="199" spans="1:17" ht="15.75" customHeight="1" x14ac:dyDescent="0.3">
      <c r="A199" s="72" t="s">
        <v>12534</v>
      </c>
      <c r="B199">
        <f>I102</f>
        <v>105</v>
      </c>
      <c r="C199" t="s">
        <v>12773</v>
      </c>
      <c r="E199" s="85" t="s">
        <v>10581</v>
      </c>
      <c r="F199" s="6">
        <v>220</v>
      </c>
      <c r="H199" s="4" t="s">
        <v>12071</v>
      </c>
      <c r="I199" s="5">
        <f>F181</f>
        <v>180</v>
      </c>
      <c r="J199" s="5"/>
      <c r="K199" s="4" t="str">
        <f t="shared" si="212"/>
        <v>A52s c/aro-orig (Tela/G) = R$ 180</v>
      </c>
      <c r="M199" s="4" t="str">
        <f t="shared" si="213"/>
        <v>A52s c/aro-orig (Tela/G) = R$ 185</v>
      </c>
      <c r="O199" s="4" t="str">
        <f t="shared" si="206"/>
        <v>A52s c/aro-orig (Tela/G) = R$ 175,00</v>
      </c>
      <c r="Q199" s="4" t="str">
        <f t="shared" si="207"/>
        <v>A52s c/aro-orig (Tela/G) = R$ 190,00</v>
      </c>
    </row>
    <row r="200" spans="1:17" ht="15.75" customHeight="1" x14ac:dyDescent="0.3">
      <c r="A200" t="s">
        <v>12535</v>
      </c>
      <c r="B200">
        <f>I103</f>
        <v>210</v>
      </c>
      <c r="C200" t="s">
        <v>12779</v>
      </c>
      <c r="E200" s="85" t="s">
        <v>10582</v>
      </c>
      <c r="F200" s="6">
        <v>80</v>
      </c>
      <c r="H200" s="4" t="s">
        <v>12074</v>
      </c>
      <c r="I200" s="5">
        <f>F182</f>
        <v>230</v>
      </c>
      <c r="J200" s="5"/>
      <c r="K200" s="4" t="str">
        <f t="shared" ref="K200:K201" si="214">CONCATENATE(H200,I200,",00")</f>
        <v>A52 c/aro Nac Diamonds = 230,00</v>
      </c>
      <c r="M200" s="4" t="str">
        <f t="shared" ref="M200:M201" si="215">CONCATENATE(H200,I200+5,",00")</f>
        <v>A52 c/aro Nac Diamonds = 235,00</v>
      </c>
      <c r="O200" s="4" t="str">
        <f t="shared" ref="O200:O201" si="216">CONCATENATE(H200,I200-5,",00")</f>
        <v>A52 c/aro Nac Diamonds = 225,00</v>
      </c>
      <c r="Q200" s="4" t="str">
        <f t="shared" ref="Q200:Q201" si="217">CONCATENATE(H200,I200+10,",00")</f>
        <v>A52 c/aro Nac Diamonds = 240,00</v>
      </c>
    </row>
    <row r="201" spans="1:17" ht="15.75" customHeight="1" x14ac:dyDescent="0.3">
      <c r="A201" t="s">
        <v>12536</v>
      </c>
      <c r="B201">
        <f>I103</f>
        <v>210</v>
      </c>
      <c r="C201" t="s">
        <v>12779</v>
      </c>
      <c r="E201" s="85" t="s">
        <v>13114</v>
      </c>
      <c r="F201" s="16">
        <v>130</v>
      </c>
      <c r="H201" s="4" t="s">
        <v>12075</v>
      </c>
      <c r="I201" s="5">
        <f t="shared" ref="I201:J213" si="218">F182</f>
        <v>230</v>
      </c>
      <c r="J201" s="5"/>
      <c r="K201" s="4" t="str">
        <f t="shared" si="214"/>
        <v>A52s c/aro Nac Diamonds = 230,00</v>
      </c>
      <c r="M201" s="4" t="str">
        <f t="shared" si="215"/>
        <v>A52s c/aro Nac Diamonds = 235,00</v>
      </c>
      <c r="O201" s="4" t="str">
        <f t="shared" si="216"/>
        <v>A52s c/aro Nac Diamonds = 225,00</v>
      </c>
      <c r="Q201" s="4" t="str">
        <f t="shared" si="217"/>
        <v>A52s c/aro Nac Diamonds = 240,00</v>
      </c>
    </row>
    <row r="202" spans="1:17" ht="15.75" customHeight="1" x14ac:dyDescent="0.3">
      <c r="A202" t="s">
        <v>12537</v>
      </c>
      <c r="B202">
        <f>I104</f>
        <v>250</v>
      </c>
      <c r="C202" t="s">
        <v>12772</v>
      </c>
      <c r="E202" s="85" t="s">
        <v>10583</v>
      </c>
      <c r="F202" s="6">
        <v>200</v>
      </c>
      <c r="H202" s="4" t="s">
        <v>170</v>
      </c>
      <c r="I202" s="5">
        <f t="shared" si="218"/>
        <v>100</v>
      </c>
      <c r="J202" s="5"/>
      <c r="K202" s="4" t="str">
        <f t="shared" ref="K202:K245" si="219">CONCATENATE(H202,I202,",00")</f>
        <v>A53 - incell c/aro     = R$ 100,00</v>
      </c>
      <c r="M202" s="4" t="str">
        <f t="shared" ref="M202:M245" si="220">CONCATENATE(H202,I202+5,",00")</f>
        <v>A53 - incell c/aro     = R$ 105,00</v>
      </c>
      <c r="O202" s="4" t="str">
        <f t="shared" si="206"/>
        <v>A53 - incell c/aro     = R$ 95,00</v>
      </c>
      <c r="Q202" s="4" t="str">
        <f t="shared" si="207"/>
        <v>A53 - incell c/aro     = R$ 110,00</v>
      </c>
    </row>
    <row r="203" spans="1:17" ht="15.75" customHeight="1" x14ac:dyDescent="0.3">
      <c r="A203" t="s">
        <v>12538</v>
      </c>
      <c r="B203">
        <f>I104</f>
        <v>250</v>
      </c>
      <c r="C203" t="s">
        <v>12772</v>
      </c>
      <c r="E203" s="85" t="s">
        <v>11106</v>
      </c>
      <c r="F203" s="6">
        <v>260</v>
      </c>
      <c r="H203" s="4" t="s">
        <v>171</v>
      </c>
      <c r="I203" s="5">
        <f t="shared" si="218"/>
        <v>180</v>
      </c>
      <c r="J203" s="5"/>
      <c r="K203" s="4" t="str">
        <f t="shared" si="219"/>
        <v>A53 c/aro - orig          = R$ 180,00</v>
      </c>
      <c r="M203" s="4" t="str">
        <f t="shared" si="220"/>
        <v>A53 c/aro - orig          = R$ 185,00</v>
      </c>
      <c r="O203" s="4" t="str">
        <f t="shared" si="206"/>
        <v>A53 c/aro - orig          = R$ 175,00</v>
      </c>
      <c r="Q203" s="4" t="str">
        <f t="shared" si="207"/>
        <v>A53 c/aro - orig          = R$ 190,00</v>
      </c>
    </row>
    <row r="204" spans="1:17" ht="15.75" customHeight="1" x14ac:dyDescent="0.3">
      <c r="A204" s="72" t="s">
        <v>12539</v>
      </c>
      <c r="B204">
        <f>I103</f>
        <v>210</v>
      </c>
      <c r="C204" t="s">
        <v>12779</v>
      </c>
      <c r="E204" s="85" t="s">
        <v>12199</v>
      </c>
      <c r="F204" s="16">
        <v>280</v>
      </c>
      <c r="H204" s="4" t="s">
        <v>11341</v>
      </c>
      <c r="I204" s="5">
        <f t="shared" si="218"/>
        <v>250</v>
      </c>
      <c r="J204" s="5"/>
      <c r="K204" s="4" t="str">
        <f t="shared" si="219"/>
        <v>A53 c/aro Nac Diamonds = 250,00</v>
      </c>
      <c r="M204" s="4" t="str">
        <f t="shared" si="220"/>
        <v>A53 c/aro Nac Diamonds = 255,00</v>
      </c>
      <c r="O204" s="4" t="str">
        <f t="shared" si="206"/>
        <v>A53 c/aro Nac Diamonds = 245,00</v>
      </c>
      <c r="Q204" s="4" t="str">
        <f t="shared" si="207"/>
        <v>A53 c/aro Nac Diamonds = 260,00</v>
      </c>
    </row>
    <row r="205" spans="1:17" ht="15.75" customHeight="1" x14ac:dyDescent="0.3">
      <c r="A205" s="72" t="s">
        <v>12540</v>
      </c>
      <c r="B205">
        <f>I103</f>
        <v>210</v>
      </c>
      <c r="C205" t="s">
        <v>12779</v>
      </c>
      <c r="E205" s="85" t="s">
        <v>178</v>
      </c>
      <c r="F205" s="6">
        <v>90</v>
      </c>
      <c r="H205" s="4" t="s">
        <v>173</v>
      </c>
      <c r="I205" s="5">
        <f t="shared" si="218"/>
        <v>100</v>
      </c>
      <c r="J205" s="5"/>
      <c r="K205" s="4" t="str">
        <f t="shared" si="219"/>
        <v>A54 - incell  = R$ 100,00</v>
      </c>
      <c r="M205" s="4" t="str">
        <f t="shared" si="220"/>
        <v>A54 - incell  = R$ 105,00</v>
      </c>
      <c r="O205" s="4" t="str">
        <f t="shared" si="206"/>
        <v>A54 - incell  = R$ 95,00</v>
      </c>
      <c r="Q205" s="4" t="str">
        <f t="shared" si="207"/>
        <v>A54 - incell  = R$ 110,00</v>
      </c>
    </row>
    <row r="206" spans="1:17" ht="15.75" customHeight="1" x14ac:dyDescent="0.3">
      <c r="A206" s="72" t="s">
        <v>12541</v>
      </c>
      <c r="B206">
        <f>I104</f>
        <v>250</v>
      </c>
      <c r="C206" t="s">
        <v>12772</v>
      </c>
      <c r="E206" s="85" t="s">
        <v>10584</v>
      </c>
      <c r="F206" s="6">
        <v>105</v>
      </c>
      <c r="H206" s="4" t="s">
        <v>174</v>
      </c>
      <c r="I206" s="5">
        <f t="shared" si="218"/>
        <v>105</v>
      </c>
      <c r="J206" s="5"/>
      <c r="K206" s="4" t="str">
        <f t="shared" si="219"/>
        <v>A54 - incell c/aro     = R$ 105,00</v>
      </c>
      <c r="M206" s="4" t="str">
        <f t="shared" si="220"/>
        <v>A54 - incell c/aro     = R$ 110,00</v>
      </c>
      <c r="O206" s="4" t="str">
        <f t="shared" si="206"/>
        <v>A54 - incell c/aro     = R$ 100,00</v>
      </c>
      <c r="Q206" s="4" t="str">
        <f t="shared" si="207"/>
        <v>A54 - incell c/aro     = R$ 115,00</v>
      </c>
    </row>
    <row r="207" spans="1:17" ht="15.75" customHeight="1" x14ac:dyDescent="0.3">
      <c r="A207" s="72" t="s">
        <v>12542</v>
      </c>
      <c r="B207">
        <f>I104</f>
        <v>250</v>
      </c>
      <c r="C207" t="s">
        <v>12772</v>
      </c>
      <c r="E207" s="85" t="s">
        <v>10585</v>
      </c>
      <c r="F207" s="6">
        <v>170</v>
      </c>
      <c r="H207" s="4" t="s">
        <v>175</v>
      </c>
      <c r="I207" s="5">
        <f t="shared" si="218"/>
        <v>180</v>
      </c>
      <c r="J207" s="5"/>
      <c r="K207" s="4" t="str">
        <f t="shared" si="219"/>
        <v>A54 - c/aro orig    = R$ 180,00</v>
      </c>
      <c r="M207" s="4" t="str">
        <f t="shared" si="220"/>
        <v>A54 - c/aro orig    = R$ 185,00</v>
      </c>
      <c r="O207" s="4" t="str">
        <f t="shared" si="206"/>
        <v>A54 - c/aro orig    = R$ 175,00</v>
      </c>
      <c r="Q207" s="4" t="str">
        <f t="shared" si="207"/>
        <v>A54 - c/aro orig    = R$ 190,00</v>
      </c>
    </row>
    <row r="208" spans="1:17" ht="15.75" customHeight="1" x14ac:dyDescent="0.3">
      <c r="A208" t="s">
        <v>12967</v>
      </c>
      <c r="B208">
        <f>B184</f>
        <v>85</v>
      </c>
      <c r="C208" t="s">
        <v>12777</v>
      </c>
      <c r="E208" s="85" t="s">
        <v>11348</v>
      </c>
      <c r="F208" s="6">
        <v>250</v>
      </c>
      <c r="H208" s="4" t="s">
        <v>11343</v>
      </c>
      <c r="I208" s="5">
        <f t="shared" si="218"/>
        <v>280</v>
      </c>
      <c r="J208" s="5"/>
      <c r="K208" s="4" t="str">
        <f t="shared" si="219"/>
        <v>A54 c/aro Nac Diamonds = 280,00</v>
      </c>
      <c r="M208" s="4" t="str">
        <f t="shared" si="220"/>
        <v>A54 c/aro Nac Diamonds = 285,00</v>
      </c>
      <c r="O208" s="4" t="str">
        <f t="shared" si="206"/>
        <v>A54 c/aro Nac Diamonds = 275,00</v>
      </c>
      <c r="Q208" s="4" t="str">
        <f t="shared" si="207"/>
        <v>A54 c/aro Nac Diamonds = 290,00</v>
      </c>
    </row>
    <row r="209" spans="1:17" ht="15.75" customHeight="1" x14ac:dyDescent="0.3">
      <c r="A209" t="s">
        <v>12968</v>
      </c>
      <c r="B209">
        <f>B184</f>
        <v>85</v>
      </c>
      <c r="C209" t="s">
        <v>12777</v>
      </c>
      <c r="E209" s="85" t="s">
        <v>12515</v>
      </c>
      <c r="F209" s="16">
        <v>270</v>
      </c>
      <c r="H209" s="4" t="s">
        <v>10900</v>
      </c>
      <c r="I209" s="5">
        <f t="shared" si="218"/>
        <v>130</v>
      </c>
      <c r="J209" s="5"/>
      <c r="K209" s="4" t="str">
        <f t="shared" si="219"/>
        <v>A55 - incell c/aro     = R$ 130,00</v>
      </c>
      <c r="M209" s="4" t="str">
        <f t="shared" si="220"/>
        <v>A55 - incell c/aro     = R$ 135,00</v>
      </c>
      <c r="O209" s="4" t="str">
        <f t="shared" si="206"/>
        <v>A55 - incell c/aro     = R$ 125,00</v>
      </c>
      <c r="Q209" s="4" t="str">
        <f t="shared" si="207"/>
        <v>A55 - incell c/aro     = R$ 140,00</v>
      </c>
    </row>
    <row r="210" spans="1:17" ht="15.75" customHeight="1" x14ac:dyDescent="0.3">
      <c r="A210" s="82" t="s">
        <v>12969</v>
      </c>
      <c r="B210">
        <f>B186</f>
        <v>100</v>
      </c>
      <c r="C210" t="s">
        <v>12775</v>
      </c>
      <c r="E210" s="85" t="s">
        <v>10586</v>
      </c>
      <c r="F210" s="6">
        <v>120</v>
      </c>
      <c r="H210" s="4" t="s">
        <v>10901</v>
      </c>
      <c r="I210" s="5">
        <f t="shared" si="218"/>
        <v>220</v>
      </c>
      <c r="J210" s="5"/>
      <c r="K210" s="4" t="str">
        <f t="shared" ref="K210:K211" si="221">CONCATENATE(H210,I210,",00")</f>
        <v>A55 - c/aro orig    = R$ 220,00</v>
      </c>
      <c r="M210" s="4" t="str">
        <f t="shared" ref="M210:M211" si="222">CONCATENATE(H210,I210+5,",00")</f>
        <v>A55 - c/aro orig    = R$ 225,00</v>
      </c>
      <c r="O210" s="4" t="str">
        <f t="shared" ref="O210:O211" si="223">CONCATENATE(H210,I210-5,",00")</f>
        <v>A55 - c/aro orig    = R$ 215,00</v>
      </c>
      <c r="Q210" s="4" t="str">
        <f t="shared" si="207"/>
        <v>A55 - c/aro orig    = R$ 230,00</v>
      </c>
    </row>
    <row r="211" spans="1:17" ht="15.75" customHeight="1" x14ac:dyDescent="0.3">
      <c r="A211" s="82" t="s">
        <v>12970</v>
      </c>
      <c r="B211">
        <f>B186</f>
        <v>100</v>
      </c>
      <c r="C211" t="s">
        <v>12775</v>
      </c>
      <c r="E211" s="85" t="s">
        <v>183</v>
      </c>
      <c r="F211" s="6">
        <v>160</v>
      </c>
      <c r="H211" s="4" t="s">
        <v>11347</v>
      </c>
      <c r="I211" s="5">
        <f t="shared" si="218"/>
        <v>270</v>
      </c>
      <c r="J211" s="5"/>
      <c r="K211" s="4" t="str">
        <f t="shared" si="221"/>
        <v>A55 c/aro Nacional = R$ 270,00</v>
      </c>
      <c r="M211" s="4" t="str">
        <f t="shared" si="222"/>
        <v>A55 c/aro Nacional = R$ 275,00</v>
      </c>
      <c r="O211" s="4" t="str">
        <f t="shared" si="223"/>
        <v>A55 c/aro Nacional = R$ 265,00</v>
      </c>
      <c r="Q211" s="4" t="str">
        <f t="shared" si="207"/>
        <v>A55 c/aro Nacional = R$ 280,00</v>
      </c>
    </row>
    <row r="212" spans="1:17" ht="15.75" customHeight="1" x14ac:dyDescent="0.3">
      <c r="A212" t="s">
        <v>12971</v>
      </c>
      <c r="B212">
        <f>B188</f>
        <v>205</v>
      </c>
      <c r="C212" t="s">
        <v>12776</v>
      </c>
      <c r="E212" s="85" t="s">
        <v>185</v>
      </c>
      <c r="F212" s="6">
        <v>195</v>
      </c>
      <c r="H212" s="4" t="s">
        <v>11346</v>
      </c>
      <c r="I212" s="5">
        <f t="shared" si="218"/>
        <v>280</v>
      </c>
      <c r="J212" s="5"/>
      <c r="K212" s="4" t="str">
        <f t="shared" ref="K212:K215" si="224">CONCATENATE(H212,I212,",00")</f>
        <v>A55 c/aro Nac Diamonds = 280,00</v>
      </c>
      <c r="M212" s="4" t="str">
        <f t="shared" ref="M212:M215" si="225">CONCATENATE(H212,I212+5,",00")</f>
        <v>A55 c/aro Nac Diamonds = 285,00</v>
      </c>
      <c r="O212" s="4" t="str">
        <f t="shared" ref="O212:O215" si="226">CONCATENATE(H212,I212-5,",00")</f>
        <v>A55 c/aro Nac Diamonds = 275,00</v>
      </c>
      <c r="Q212" s="4" t="str">
        <f t="shared" ref="Q212:Q215" si="227">CONCATENATE(H212,I212+10,",00")</f>
        <v>A55 c/aro Nac Diamonds = 290,00</v>
      </c>
    </row>
    <row r="213" spans="1:17" ht="15.75" customHeight="1" x14ac:dyDescent="0.3">
      <c r="A213" t="s">
        <v>12972</v>
      </c>
      <c r="B213">
        <f>B188</f>
        <v>205</v>
      </c>
      <c r="C213" t="s">
        <v>12776</v>
      </c>
      <c r="E213" s="85" t="s">
        <v>13090</v>
      </c>
      <c r="F213" s="16">
        <v>220</v>
      </c>
      <c r="H213" s="4" t="s">
        <v>11223</v>
      </c>
      <c r="I213" s="5">
        <f t="shared" si="218"/>
        <v>160</v>
      </c>
      <c r="J213" s="5"/>
      <c r="K213" s="4" t="str">
        <f t="shared" si="224"/>
        <v>A56 - incell c/aro = R$ 160,00</v>
      </c>
      <c r="M213" s="4" t="str">
        <f t="shared" si="225"/>
        <v>A56 - incell c/aro = R$ 165,00</v>
      </c>
      <c r="O213" s="4" t="str">
        <f t="shared" si="226"/>
        <v>A56 - incell c/aro = R$ 155,00</v>
      </c>
      <c r="Q213" s="4" t="str">
        <f t="shared" si="227"/>
        <v>A56 - incell c/aro = R$ 170,00</v>
      </c>
    </row>
    <row r="214" spans="1:17" ht="15.75" customHeight="1" x14ac:dyDescent="0.3">
      <c r="A214" t="s">
        <v>12973</v>
      </c>
      <c r="B214">
        <f>B190</f>
        <v>220</v>
      </c>
      <c r="C214" t="s">
        <v>12774</v>
      </c>
      <c r="E214" s="85" t="s">
        <v>187</v>
      </c>
      <c r="F214" s="6">
        <v>270</v>
      </c>
      <c r="H214" s="4" t="s">
        <v>11224</v>
      </c>
      <c r="I214" s="5">
        <f>F169</f>
        <v>210</v>
      </c>
      <c r="J214" s="5"/>
      <c r="K214" s="4" t="str">
        <f t="shared" si="224"/>
        <v>A56 - original       = R$ 210,00</v>
      </c>
      <c r="M214" s="4" t="str">
        <f t="shared" si="225"/>
        <v>A56 - original       = R$ 215,00</v>
      </c>
      <c r="O214" s="4" t="str">
        <f t="shared" si="226"/>
        <v>A56 - original       = R$ 205,00</v>
      </c>
      <c r="Q214" s="4" t="str">
        <f t="shared" si="227"/>
        <v>A56 - original       = R$ 220,00</v>
      </c>
    </row>
    <row r="215" spans="1:17" ht="15.75" customHeight="1" x14ac:dyDescent="0.3">
      <c r="A215" t="s">
        <v>12974</v>
      </c>
      <c r="B215">
        <f>B190</f>
        <v>220</v>
      </c>
      <c r="C215" t="s">
        <v>12774</v>
      </c>
      <c r="E215" s="85" t="s">
        <v>11181</v>
      </c>
      <c r="F215" s="6">
        <v>350</v>
      </c>
      <c r="H215" s="4" t="s">
        <v>11225</v>
      </c>
      <c r="I215" s="5">
        <f t="shared" ref="I215:J253" si="228">F195</f>
        <v>295</v>
      </c>
      <c r="J215" s="5"/>
      <c r="K215" s="4" t="str">
        <f t="shared" si="224"/>
        <v>A56 - original c/aro = R$ 295,00</v>
      </c>
      <c r="M215" s="4" t="str">
        <f t="shared" si="225"/>
        <v>A56 - original c/aro = R$ 300,00</v>
      </c>
      <c r="O215" s="4" t="str">
        <f t="shared" si="226"/>
        <v>A56 - original c/aro = R$ 290,00</v>
      </c>
      <c r="Q215" s="4" t="str">
        <f t="shared" si="227"/>
        <v>A56 - original c/aro = R$ 305,00</v>
      </c>
    </row>
    <row r="216" spans="1:17" ht="15.75" customHeight="1" x14ac:dyDescent="0.3">
      <c r="A216" s="82" t="s">
        <v>12975</v>
      </c>
      <c r="B216">
        <f>B188</f>
        <v>205</v>
      </c>
      <c r="C216" t="s">
        <v>12776</v>
      </c>
      <c r="E216" s="85" t="s">
        <v>190</v>
      </c>
      <c r="F216" s="6">
        <v>170</v>
      </c>
      <c r="H216" s="4" t="s">
        <v>176</v>
      </c>
      <c r="I216" s="5">
        <f t="shared" si="228"/>
        <v>60</v>
      </c>
      <c r="J216" s="5"/>
      <c r="K216" s="4" t="str">
        <f t="shared" si="219"/>
        <v>A70 - incell    = R$ 60,00</v>
      </c>
      <c r="M216" s="4" t="str">
        <f t="shared" si="220"/>
        <v>A70 - incell    = R$ 65,00</v>
      </c>
      <c r="O216" s="4" t="str">
        <f t="shared" ref="O216:O253" si="229">CONCATENATE(H216,I216-5,",00")</f>
        <v>A70 - incell    = R$ 55,00</v>
      </c>
      <c r="Q216" s="4" t="str">
        <f t="shared" ref="Q216:Q253" si="230">CONCATENATE(H216,I216+10,",00")</f>
        <v>A70 - incell    = R$ 70,00</v>
      </c>
    </row>
    <row r="217" spans="1:17" ht="15.75" customHeight="1" x14ac:dyDescent="0.3">
      <c r="A217" s="82" t="s">
        <v>12976</v>
      </c>
      <c r="B217">
        <f>B188</f>
        <v>205</v>
      </c>
      <c r="C217" t="s">
        <v>12776</v>
      </c>
      <c r="E217" s="85" t="s">
        <v>192</v>
      </c>
      <c r="F217" s="6">
        <v>95</v>
      </c>
      <c r="H217" s="4" t="s">
        <v>177</v>
      </c>
      <c r="I217" s="5">
        <f t="shared" si="228"/>
        <v>80</v>
      </c>
      <c r="J217" s="5"/>
      <c r="K217" s="4" t="str">
        <f t="shared" si="219"/>
        <v>A70 c/aro - incell       = R$ 80,00</v>
      </c>
      <c r="M217" s="4" t="str">
        <f t="shared" si="220"/>
        <v>A70 c/aro - incell       = R$ 85,00</v>
      </c>
      <c r="O217" s="4" t="str">
        <f t="shared" si="229"/>
        <v>A70 c/aro - incell       = R$ 75,00</v>
      </c>
      <c r="Q217" s="4" t="str">
        <f t="shared" si="230"/>
        <v>A70 c/aro - incell       = R$ 90,00</v>
      </c>
    </row>
    <row r="218" spans="1:17" ht="15.75" customHeight="1" x14ac:dyDescent="0.3">
      <c r="A218" s="82" t="s">
        <v>12977</v>
      </c>
      <c r="B218">
        <f>B190</f>
        <v>220</v>
      </c>
      <c r="C218" t="s">
        <v>12774</v>
      </c>
      <c r="E218" s="85" t="s">
        <v>194</v>
      </c>
      <c r="F218" s="6">
        <v>135</v>
      </c>
      <c r="H218" s="4" t="s">
        <v>179</v>
      </c>
      <c r="I218" s="5">
        <f t="shared" si="228"/>
        <v>135</v>
      </c>
      <c r="J218" s="5"/>
      <c r="K218" s="4" t="str">
        <f t="shared" si="219"/>
        <v>A70 c/aro-orig(Tela/P)= R$ 135,00</v>
      </c>
      <c r="M218" s="4" t="str">
        <f t="shared" si="220"/>
        <v>A70 c/aro-orig(Tela/P)= R$ 140,00</v>
      </c>
      <c r="O218" s="4" t="str">
        <f t="shared" si="229"/>
        <v>A70 c/aro-orig(Tela/P)= R$ 130,00</v>
      </c>
      <c r="Q218" s="4" t="str">
        <f t="shared" si="230"/>
        <v>A70 c/aro-orig(Tela/P)= R$ 145,00</v>
      </c>
    </row>
    <row r="219" spans="1:17" ht="15.75" customHeight="1" x14ac:dyDescent="0.3">
      <c r="A219" s="82" t="s">
        <v>12978</v>
      </c>
      <c r="B219">
        <f>B190</f>
        <v>220</v>
      </c>
      <c r="C219" t="s">
        <v>12774</v>
      </c>
      <c r="E219" s="85" t="s">
        <v>196</v>
      </c>
      <c r="F219" s="6">
        <v>95</v>
      </c>
      <c r="H219" s="4" t="s">
        <v>180</v>
      </c>
      <c r="I219" s="5">
        <f t="shared" si="228"/>
        <v>220</v>
      </c>
      <c r="J219" s="5"/>
      <c r="K219" s="4" t="str">
        <f t="shared" si="219"/>
        <v>A70 c/aro-orig(Tela/G)= R$ 220,00</v>
      </c>
      <c r="M219" s="4" t="str">
        <f t="shared" si="220"/>
        <v>A70 c/aro-orig(Tela/G)= R$ 225,00</v>
      </c>
      <c r="O219" s="4" t="str">
        <f t="shared" si="229"/>
        <v>A70 c/aro-orig(Tela/G)= R$ 215,00</v>
      </c>
      <c r="Q219" s="4" t="str">
        <f t="shared" si="230"/>
        <v>A70 c/aro-orig(Tela/G)= R$ 230,00</v>
      </c>
    </row>
    <row r="220" spans="1:17" ht="15.75" customHeight="1" x14ac:dyDescent="0.3">
      <c r="A220" t="s">
        <v>12979</v>
      </c>
      <c r="B220">
        <f>B196</f>
        <v>90</v>
      </c>
      <c r="C220" t="s">
        <v>12778</v>
      </c>
      <c r="E220" s="85" t="s">
        <v>198</v>
      </c>
      <c r="F220" s="6">
        <v>130</v>
      </c>
      <c r="H220" s="4" t="s">
        <v>181</v>
      </c>
      <c r="I220" s="5">
        <f t="shared" si="228"/>
        <v>80</v>
      </c>
      <c r="J220" s="5"/>
      <c r="K220" s="4" t="str">
        <f t="shared" si="219"/>
        <v>A71 c/aro - incell       = R$ 80,00</v>
      </c>
      <c r="M220" s="4" t="str">
        <f t="shared" si="220"/>
        <v>A71 c/aro - incell       = R$ 85,00</v>
      </c>
      <c r="O220" s="4" t="str">
        <f t="shared" si="229"/>
        <v>A71 c/aro - incell       = R$ 75,00</v>
      </c>
      <c r="Q220" s="4" t="str">
        <f t="shared" si="230"/>
        <v>A71 c/aro - incell       = R$ 90,00</v>
      </c>
    </row>
    <row r="221" spans="1:17" ht="15.75" customHeight="1" x14ac:dyDescent="0.3">
      <c r="A221" t="s">
        <v>12980</v>
      </c>
      <c r="B221">
        <f>B196</f>
        <v>90</v>
      </c>
      <c r="C221" t="s">
        <v>12778</v>
      </c>
      <c r="E221" s="85" t="s">
        <v>200</v>
      </c>
      <c r="F221" s="6">
        <v>95</v>
      </c>
      <c r="H221" s="4" t="s">
        <v>13115</v>
      </c>
      <c r="I221" s="5">
        <f t="shared" si="228"/>
        <v>130</v>
      </c>
      <c r="J221" s="5"/>
      <c r="K221" s="4" t="str">
        <f t="shared" ref="K221" si="231">CONCATENATE(H221,I221,",00")</f>
        <v>A71 - original       = R$ 130,00</v>
      </c>
      <c r="M221" s="4" t="str">
        <f t="shared" ref="M221" si="232">CONCATENATE(H221,I221+5,",00")</f>
        <v>A71 - original       = R$ 135,00</v>
      </c>
      <c r="O221" s="4" t="str">
        <f t="shared" ref="O221" si="233">CONCATENATE(H221,I221-5,",00")</f>
        <v>A71 - original       = R$ 125,00</v>
      </c>
      <c r="Q221" s="4" t="str">
        <f t="shared" ref="Q221" si="234">CONCATENATE(H221,I221+10,",00")</f>
        <v>A71 - original       = R$ 140,00</v>
      </c>
    </row>
    <row r="222" spans="1:17" ht="15.75" customHeight="1" x14ac:dyDescent="0.3">
      <c r="A222" s="82" t="s">
        <v>12981</v>
      </c>
      <c r="B222">
        <f>B198</f>
        <v>105</v>
      </c>
      <c r="C222" t="s">
        <v>12773</v>
      </c>
      <c r="E222" s="85" t="s">
        <v>202</v>
      </c>
      <c r="F222" s="6">
        <v>130</v>
      </c>
      <c r="H222" s="4" t="s">
        <v>182</v>
      </c>
      <c r="I222" s="5">
        <f t="shared" si="228"/>
        <v>200</v>
      </c>
      <c r="J222" s="5"/>
      <c r="K222" s="4" t="str">
        <f t="shared" si="219"/>
        <v>A71 c/aro-orig(Tela/P)= R$ 200,00</v>
      </c>
      <c r="M222" s="4" t="str">
        <f t="shared" si="220"/>
        <v>A71 c/aro-orig(Tela/P)= R$ 205,00</v>
      </c>
      <c r="O222" s="4" t="str">
        <f t="shared" si="229"/>
        <v>A71 c/aro-orig(Tela/P)= R$ 195,00</v>
      </c>
      <c r="Q222" s="4" t="str">
        <f t="shared" si="230"/>
        <v>A71 c/aro-orig(Tela/P)= R$ 210,00</v>
      </c>
    </row>
    <row r="223" spans="1:17" ht="15.75" customHeight="1" x14ac:dyDescent="0.3">
      <c r="A223" s="82" t="s">
        <v>12982</v>
      </c>
      <c r="B223">
        <f>B198</f>
        <v>105</v>
      </c>
      <c r="C223" t="s">
        <v>12773</v>
      </c>
      <c r="E223" s="85" t="s">
        <v>204</v>
      </c>
      <c r="F223" s="6">
        <v>95</v>
      </c>
      <c r="H223" s="4" t="s">
        <v>184</v>
      </c>
      <c r="I223" s="5">
        <f t="shared" si="228"/>
        <v>260</v>
      </c>
      <c r="J223" s="5"/>
      <c r="K223" s="4" t="str">
        <f t="shared" si="219"/>
        <v>A71 c/aro-orig (Tela/G)= R$ 260,00</v>
      </c>
      <c r="M223" s="4" t="str">
        <f t="shared" si="220"/>
        <v>A71 c/aro-orig (Tela/G)= R$ 265,00</v>
      </c>
      <c r="O223" s="4" t="str">
        <f t="shared" si="229"/>
        <v>A71 c/aro-orig (Tela/G)= R$ 255,00</v>
      </c>
      <c r="Q223" s="4" t="str">
        <f t="shared" si="230"/>
        <v>A71 c/aro-orig (Tela/G)= R$ 270,00</v>
      </c>
    </row>
    <row r="224" spans="1:17" ht="15.75" customHeight="1" x14ac:dyDescent="0.3">
      <c r="A224" t="s">
        <v>12983</v>
      </c>
      <c r="B224">
        <f>B200</f>
        <v>210</v>
      </c>
      <c r="C224" t="s">
        <v>12779</v>
      </c>
      <c r="E224" s="85" t="s">
        <v>206</v>
      </c>
      <c r="F224" s="6">
        <v>130</v>
      </c>
      <c r="H224" s="4" t="s">
        <v>12200</v>
      </c>
      <c r="I224" s="5">
        <f t="shared" si="228"/>
        <v>280</v>
      </c>
      <c r="J224" s="5"/>
      <c r="K224" s="4" t="str">
        <f t="shared" ref="K224" si="235">CONCATENATE(H224,I224,",00")</f>
        <v>A71 c/aro Nac Diamonds = 280,00</v>
      </c>
      <c r="M224" s="4" t="str">
        <f t="shared" ref="M224" si="236">CONCATENATE(H224,I224+5,",00")</f>
        <v>A71 c/aro Nac Diamonds = 285,00</v>
      </c>
      <c r="O224" s="4" t="str">
        <f t="shared" ref="O224" si="237">CONCATENATE(H224,I224-5,",00")</f>
        <v>A71 c/aro Nac Diamonds = 275,00</v>
      </c>
      <c r="Q224" s="4" t="str">
        <f t="shared" ref="Q224" si="238">CONCATENATE(H224,I224+10,",00")</f>
        <v>A71 c/aro Nac Diamonds = 290,00</v>
      </c>
    </row>
    <row r="225" spans="1:17" ht="15.75" customHeight="1" x14ac:dyDescent="0.3">
      <c r="A225" t="s">
        <v>12984</v>
      </c>
      <c r="B225">
        <f>B200</f>
        <v>210</v>
      </c>
      <c r="C225" t="s">
        <v>12779</v>
      </c>
      <c r="E225" s="85" t="s">
        <v>208</v>
      </c>
      <c r="F225" s="6">
        <v>90</v>
      </c>
      <c r="H225" s="4" t="s">
        <v>186</v>
      </c>
      <c r="I225" s="5">
        <f t="shared" si="228"/>
        <v>90</v>
      </c>
      <c r="J225" s="5"/>
      <c r="K225" s="4" t="str">
        <f t="shared" si="219"/>
        <v>A72 - incell   = R$ 90,00</v>
      </c>
      <c r="M225" s="4" t="str">
        <f t="shared" si="220"/>
        <v>A72 - incell   = R$ 95,00</v>
      </c>
      <c r="O225" s="4" t="str">
        <f t="shared" si="229"/>
        <v>A72 - incell   = R$ 85,00</v>
      </c>
      <c r="Q225" s="4" t="str">
        <f t="shared" si="230"/>
        <v>A72 - incell   = R$ 100,00</v>
      </c>
    </row>
    <row r="226" spans="1:17" ht="15.75" customHeight="1" x14ac:dyDescent="0.3">
      <c r="A226" t="s">
        <v>12985</v>
      </c>
      <c r="B226">
        <f>B202</f>
        <v>250</v>
      </c>
      <c r="C226" t="s">
        <v>12772</v>
      </c>
      <c r="E226" s="85" t="s">
        <v>210</v>
      </c>
      <c r="F226" s="6">
        <v>105</v>
      </c>
      <c r="H226" s="4" t="s">
        <v>188</v>
      </c>
      <c r="I226" s="5">
        <f t="shared" si="228"/>
        <v>105</v>
      </c>
      <c r="J226" s="5"/>
      <c r="K226" s="4" t="str">
        <f t="shared" si="219"/>
        <v>A72 c/aro - incell      = R$ 105,00</v>
      </c>
      <c r="M226" s="4" t="str">
        <f t="shared" si="220"/>
        <v>A72 c/aro - incell      = R$ 110,00</v>
      </c>
      <c r="O226" s="4" t="str">
        <f t="shared" si="229"/>
        <v>A72 c/aro - incell      = R$ 100,00</v>
      </c>
      <c r="Q226" s="4" t="str">
        <f t="shared" si="230"/>
        <v>A72 c/aro - incell      = R$ 115,00</v>
      </c>
    </row>
    <row r="227" spans="1:17" ht="15.75" customHeight="1" x14ac:dyDescent="0.3">
      <c r="A227" t="s">
        <v>12986</v>
      </c>
      <c r="B227">
        <f>B202</f>
        <v>250</v>
      </c>
      <c r="C227" t="s">
        <v>12772</v>
      </c>
      <c r="E227" s="85" t="s">
        <v>212</v>
      </c>
      <c r="F227" s="6">
        <v>160</v>
      </c>
      <c r="H227" s="4" t="s">
        <v>189</v>
      </c>
      <c r="I227" s="5">
        <f t="shared" si="228"/>
        <v>170</v>
      </c>
      <c r="J227" s="5"/>
      <c r="K227" s="4" t="str">
        <f t="shared" si="219"/>
        <v>A72 c/aro-orig (Tela/P)= R$ 170,00</v>
      </c>
      <c r="M227" s="4" t="str">
        <f t="shared" si="220"/>
        <v>A72 c/aro-orig (Tela/P)= R$ 175,00</v>
      </c>
      <c r="O227" s="4" t="str">
        <f t="shared" si="229"/>
        <v>A72 c/aro-orig (Tela/P)= R$ 165,00</v>
      </c>
      <c r="Q227" s="4" t="str">
        <f t="shared" si="230"/>
        <v>A72 c/aro-orig (Tela/P)= R$ 180,00</v>
      </c>
    </row>
    <row r="228" spans="1:17" ht="15.75" customHeight="1" x14ac:dyDescent="0.3">
      <c r="A228" s="82" t="s">
        <v>12987</v>
      </c>
      <c r="B228">
        <f>B200</f>
        <v>210</v>
      </c>
      <c r="C228" t="s">
        <v>12779</v>
      </c>
      <c r="E228" s="85" t="s">
        <v>11182</v>
      </c>
      <c r="F228" s="6">
        <v>180</v>
      </c>
      <c r="H228" s="4" t="s">
        <v>191</v>
      </c>
      <c r="I228" s="5">
        <f t="shared" si="228"/>
        <v>250</v>
      </c>
      <c r="J228" s="5"/>
      <c r="K228" s="4" t="str">
        <f t="shared" si="219"/>
        <v>A72 c/aro-orig (Tela/G)= R$ 250,00</v>
      </c>
      <c r="M228" s="4" t="str">
        <f t="shared" si="220"/>
        <v>A72 c/aro-orig (Tela/G)= R$ 255,00</v>
      </c>
      <c r="O228" s="4" t="str">
        <f t="shared" si="229"/>
        <v>A72 c/aro-orig (Tela/G)= R$ 245,00</v>
      </c>
      <c r="Q228" s="4" t="str">
        <f t="shared" si="230"/>
        <v>A72 c/aro-orig (Tela/G)= R$ 260,00</v>
      </c>
    </row>
    <row r="229" spans="1:17" ht="15.75" customHeight="1" x14ac:dyDescent="0.3">
      <c r="A229" s="82" t="s">
        <v>12988</v>
      </c>
      <c r="B229">
        <f>B200</f>
        <v>210</v>
      </c>
      <c r="C229" t="s">
        <v>12779</v>
      </c>
      <c r="E229" s="92" t="s">
        <v>215</v>
      </c>
      <c r="F229" s="6">
        <v>95</v>
      </c>
      <c r="H229" s="4" t="s">
        <v>12516</v>
      </c>
      <c r="I229" s="5">
        <f t="shared" si="228"/>
        <v>270</v>
      </c>
      <c r="J229" s="5"/>
      <c r="K229" s="4" t="str">
        <f t="shared" ref="K229" si="239">CONCATENATE(H229,I229,",00")</f>
        <v>A72 c/aro Nac Diamonds = 270,00</v>
      </c>
      <c r="M229" s="4" t="str">
        <f t="shared" ref="M229" si="240">CONCATENATE(H229,I229+5,",00")</f>
        <v>A72 c/aro Nac Diamonds = 275,00</v>
      </c>
      <c r="O229" s="4" t="str">
        <f t="shared" ref="O229" si="241">CONCATENATE(H229,I229-5,",00")</f>
        <v>A72 c/aro Nac Diamonds = 265,00</v>
      </c>
      <c r="Q229" s="4" t="str">
        <f t="shared" ref="Q229" si="242">CONCATENATE(H229,I229+10,",00")</f>
        <v>A72 c/aro Nac Diamonds = 280,00</v>
      </c>
    </row>
    <row r="230" spans="1:17" ht="15.75" customHeight="1" x14ac:dyDescent="0.3">
      <c r="A230" s="82" t="s">
        <v>12989</v>
      </c>
      <c r="B230">
        <f>B202</f>
        <v>250</v>
      </c>
      <c r="C230" t="s">
        <v>12772</v>
      </c>
      <c r="E230" s="92" t="s">
        <v>217</v>
      </c>
      <c r="F230" s="6">
        <v>195</v>
      </c>
      <c r="H230" s="4" t="s">
        <v>193</v>
      </c>
      <c r="I230" s="5">
        <f t="shared" si="228"/>
        <v>120</v>
      </c>
      <c r="J230" s="5"/>
      <c r="K230" s="4" t="str">
        <f t="shared" si="219"/>
        <v>A73 c/aro - incell = R$ 120,00</v>
      </c>
      <c r="M230" s="4" t="str">
        <f t="shared" si="220"/>
        <v>A73 c/aro - incell = R$ 125,00</v>
      </c>
      <c r="O230" s="4" t="str">
        <f t="shared" si="229"/>
        <v>A73 c/aro - incell = R$ 115,00</v>
      </c>
      <c r="Q230" s="4" t="str">
        <f t="shared" si="230"/>
        <v>A73 c/aro - incell = R$ 130,00</v>
      </c>
    </row>
    <row r="231" spans="1:17" ht="15.75" customHeight="1" x14ac:dyDescent="0.3">
      <c r="A231" s="82" t="s">
        <v>12990</v>
      </c>
      <c r="B231">
        <f>B202</f>
        <v>250</v>
      </c>
      <c r="C231" t="s">
        <v>12772</v>
      </c>
      <c r="E231" s="92" t="s">
        <v>219</v>
      </c>
      <c r="F231" s="6">
        <v>95</v>
      </c>
      <c r="H231" s="4" t="s">
        <v>195</v>
      </c>
      <c r="I231" s="5">
        <f t="shared" si="228"/>
        <v>160</v>
      </c>
      <c r="J231" s="5"/>
      <c r="K231" s="4" t="str">
        <f t="shared" si="219"/>
        <v>A73 c/aro-orig (Tela/P)= R$ 160,00</v>
      </c>
      <c r="M231" s="4" t="str">
        <f t="shared" si="220"/>
        <v>A73 c/aro-orig (Tela/P)= R$ 165,00</v>
      </c>
      <c r="O231" s="4" t="str">
        <f t="shared" si="229"/>
        <v>A73 c/aro-orig (Tela/P)= R$ 155,00</v>
      </c>
      <c r="Q231" s="4" t="str">
        <f t="shared" si="230"/>
        <v>A73 c/aro-orig (Tela/P)= R$ 170,00</v>
      </c>
    </row>
    <row r="232" spans="1:17" ht="15.75" customHeight="1" x14ac:dyDescent="0.3">
      <c r="A232" t="s">
        <v>13061</v>
      </c>
      <c r="B232">
        <f>F101</f>
        <v>100</v>
      </c>
      <c r="E232" s="92" t="s">
        <v>221</v>
      </c>
      <c r="F232" s="6">
        <v>170</v>
      </c>
      <c r="H232" s="4" t="s">
        <v>197</v>
      </c>
      <c r="I232" s="5">
        <f t="shared" si="228"/>
        <v>195</v>
      </c>
      <c r="J232" s="5"/>
      <c r="K232" s="4" t="str">
        <f t="shared" si="219"/>
        <v>A73 c/aro-orig (Tela/G)= R$ 195,00</v>
      </c>
      <c r="M232" s="4" t="str">
        <f t="shared" si="220"/>
        <v>A73 c/aro-orig (Tela/G)= R$ 200,00</v>
      </c>
      <c r="O232" s="4" t="str">
        <f t="shared" si="229"/>
        <v>A73 c/aro-orig (Tela/G)= R$ 190,00</v>
      </c>
      <c r="Q232" s="4" t="str">
        <f t="shared" si="230"/>
        <v>A73 c/aro-orig (Tela/G)= R$ 205,00</v>
      </c>
    </row>
    <row r="233" spans="1:17" ht="15.75" customHeight="1" x14ac:dyDescent="0.3">
      <c r="A233" t="s">
        <v>13062</v>
      </c>
      <c r="B233">
        <f>F101</f>
        <v>100</v>
      </c>
      <c r="E233" s="85" t="s">
        <v>223</v>
      </c>
      <c r="F233" s="6">
        <v>180</v>
      </c>
      <c r="H233" s="4" t="s">
        <v>13091</v>
      </c>
      <c r="I233" s="5">
        <f t="shared" si="228"/>
        <v>220</v>
      </c>
      <c r="J233" s="5"/>
      <c r="K233" s="4" t="str">
        <f t="shared" ref="K233" si="243">CONCATENATE(H233,I233,",00")</f>
        <v>A73 c/aro Nac Diamonds = 220,00</v>
      </c>
      <c r="M233" s="4" t="str">
        <f t="shared" ref="M233" si="244">CONCATENATE(H233,I233+5,",00")</f>
        <v>A73 c/aro Nac Diamonds = 225,00</v>
      </c>
      <c r="O233" s="4" t="str">
        <f t="shared" ref="O233" si="245">CONCATENATE(H233,I233-5,",00")</f>
        <v>A73 c/aro Nac Diamonds = 215,00</v>
      </c>
      <c r="Q233" s="4" t="str">
        <f t="shared" ref="Q233" si="246">CONCATENATE(H233,I233+10,",00")</f>
        <v>A73 c/aro Nac Diamonds = 230,00</v>
      </c>
    </row>
    <row r="234" spans="1:17" ht="15.75" customHeight="1" x14ac:dyDescent="0.3">
      <c r="A234" t="s">
        <v>13063</v>
      </c>
      <c r="B234">
        <f>F102</f>
        <v>220</v>
      </c>
      <c r="E234" s="18"/>
      <c r="F234" s="16"/>
      <c r="H234" s="4" t="s">
        <v>199</v>
      </c>
      <c r="I234" s="5">
        <f t="shared" si="228"/>
        <v>270</v>
      </c>
      <c r="J234" s="5"/>
      <c r="K234" s="4" t="str">
        <f t="shared" si="219"/>
        <v>A80 - original = R$ 270,00</v>
      </c>
      <c r="M234" s="4" t="str">
        <f t="shared" si="220"/>
        <v>A80 - original = R$ 275,00</v>
      </c>
      <c r="O234" s="4" t="str">
        <f t="shared" si="229"/>
        <v>A80 - original = R$ 265,00</v>
      </c>
      <c r="Q234" s="4" t="str">
        <f t="shared" si="230"/>
        <v>A80 - original = R$ 280,00</v>
      </c>
    </row>
    <row r="235" spans="1:17" ht="15.75" customHeight="1" x14ac:dyDescent="0.3">
      <c r="A235" t="s">
        <v>13064</v>
      </c>
      <c r="B235">
        <f>F102</f>
        <v>220</v>
      </c>
      <c r="E235" s="18"/>
      <c r="F235" s="16"/>
      <c r="H235" s="4" t="s">
        <v>201</v>
      </c>
      <c r="I235" s="5">
        <f t="shared" si="228"/>
        <v>350</v>
      </c>
      <c r="J235" s="5"/>
      <c r="K235" s="4" t="str">
        <f t="shared" si="219"/>
        <v>A80 c/aro - orig           = R$ 350,00</v>
      </c>
      <c r="M235" s="4" t="str">
        <f t="shared" si="220"/>
        <v>A80 c/aro - orig           = R$ 355,00</v>
      </c>
      <c r="O235" s="4" t="str">
        <f t="shared" si="229"/>
        <v>A80 c/aro - orig           = R$ 345,00</v>
      </c>
      <c r="Q235" s="4" t="str">
        <f t="shared" si="230"/>
        <v>A80 c/aro - orig           = R$ 360,00</v>
      </c>
    </row>
    <row r="236" spans="1:17" ht="15.75" customHeight="1" x14ac:dyDescent="0.3">
      <c r="A236" t="s">
        <v>13156</v>
      </c>
      <c r="B236">
        <f>B235</f>
        <v>220</v>
      </c>
      <c r="E236" s="18"/>
      <c r="F236" s="16"/>
      <c r="H236" s="4" t="s">
        <v>203</v>
      </c>
      <c r="I236" s="5">
        <f t="shared" si="228"/>
        <v>170</v>
      </c>
      <c r="J236" s="5"/>
      <c r="K236" s="4" t="str">
        <f t="shared" si="219"/>
        <v>A6 Plus - original         = R$ 170,00</v>
      </c>
      <c r="M236" s="4" t="str">
        <f t="shared" si="220"/>
        <v>A6 Plus - original         = R$ 175,00</v>
      </c>
      <c r="O236" s="4" t="str">
        <f t="shared" si="229"/>
        <v>A6 Plus - original         = R$ 165,00</v>
      </c>
      <c r="Q236" s="4" t="str">
        <f t="shared" si="230"/>
        <v>A6 Plus - original         = R$ 180,00</v>
      </c>
    </row>
    <row r="237" spans="1:17" ht="15.75" customHeight="1" x14ac:dyDescent="0.3">
      <c r="A237" t="s">
        <v>13157</v>
      </c>
      <c r="B237">
        <f>B235</f>
        <v>220</v>
      </c>
      <c r="E237" s="18"/>
      <c r="F237" s="16"/>
      <c r="H237" s="4" t="s">
        <v>205</v>
      </c>
      <c r="I237" s="5">
        <f t="shared" si="228"/>
        <v>95</v>
      </c>
      <c r="J237" s="5"/>
      <c r="K237" s="4" t="str">
        <f t="shared" si="219"/>
        <v>A5 2016 (A510)- incell = R$ 95,00</v>
      </c>
      <c r="M237" s="4" t="str">
        <f t="shared" si="220"/>
        <v>A5 2016 (A510)- incell = R$ 100,00</v>
      </c>
      <c r="O237" s="4" t="str">
        <f t="shared" si="229"/>
        <v>A5 2016 (A510)- incell = R$ 90,00</v>
      </c>
      <c r="Q237" s="4" t="str">
        <f t="shared" si="230"/>
        <v>A5 2016 (A510)- incell = R$ 105,00</v>
      </c>
    </row>
    <row r="238" spans="1:17" ht="15.75" customHeight="1" x14ac:dyDescent="0.3">
      <c r="A238" t="s">
        <v>13158</v>
      </c>
      <c r="B238">
        <f>F103</f>
        <v>230</v>
      </c>
      <c r="E238" s="18"/>
      <c r="F238" s="16"/>
      <c r="H238" s="4" t="s">
        <v>207</v>
      </c>
      <c r="I238" s="5">
        <f t="shared" si="228"/>
        <v>135</v>
      </c>
      <c r="J238" s="5"/>
      <c r="K238" s="4" t="str">
        <f t="shared" si="219"/>
        <v>A5 2016 (A510) - orig = R$ 135,00</v>
      </c>
      <c r="M238" s="4" t="str">
        <f t="shared" si="220"/>
        <v>A5 2016 (A510) - orig = R$ 140,00</v>
      </c>
      <c r="O238" s="4" t="str">
        <f t="shared" si="229"/>
        <v>A5 2016 (A510) - orig = R$ 130,00</v>
      </c>
      <c r="Q238" s="4" t="str">
        <f t="shared" si="230"/>
        <v>A5 2016 (A510) - orig = R$ 145,00</v>
      </c>
    </row>
    <row r="239" spans="1:17" ht="15.75" customHeight="1" x14ac:dyDescent="0.3">
      <c r="A239" t="s">
        <v>13159</v>
      </c>
      <c r="B239">
        <f>B238</f>
        <v>230</v>
      </c>
      <c r="E239" s="7"/>
      <c r="F239" s="8"/>
      <c r="H239" s="4" t="s">
        <v>209</v>
      </c>
      <c r="I239" s="5">
        <f t="shared" si="228"/>
        <v>95</v>
      </c>
      <c r="J239" s="5"/>
      <c r="K239" s="4" t="str">
        <f t="shared" si="219"/>
        <v>A5 2017 (A520)-incell= R$ 95,00</v>
      </c>
      <c r="M239" s="4" t="str">
        <f t="shared" si="220"/>
        <v>A5 2017 (A520)-incell= R$ 100,00</v>
      </c>
      <c r="O239" s="4" t="str">
        <f t="shared" si="229"/>
        <v>A5 2017 (A520)-incell= R$ 90,00</v>
      </c>
      <c r="Q239" s="4" t="str">
        <f t="shared" si="230"/>
        <v>A5 2017 (A520)-incell= R$ 105,00</v>
      </c>
    </row>
    <row r="240" spans="1:17" ht="15.75" customHeight="1" x14ac:dyDescent="0.3">
      <c r="A240" t="s">
        <v>13160</v>
      </c>
      <c r="B240">
        <f>B238</f>
        <v>230</v>
      </c>
      <c r="E240" s="85" t="s">
        <v>232</v>
      </c>
      <c r="F240" s="6">
        <v>75</v>
      </c>
      <c r="G240" s="4"/>
      <c r="H240" s="4" t="s">
        <v>211</v>
      </c>
      <c r="I240" s="5">
        <f t="shared" si="228"/>
        <v>130</v>
      </c>
      <c r="J240" s="5"/>
      <c r="K240" s="4" t="str">
        <f t="shared" si="219"/>
        <v>A5 2017 (A520) - orig = R$ 130,00</v>
      </c>
      <c r="M240" s="4" t="str">
        <f t="shared" si="220"/>
        <v>A5 2017 (A520) - orig = R$ 135,00</v>
      </c>
      <c r="O240" s="4" t="str">
        <f t="shared" si="229"/>
        <v>A5 2017 (A520) - orig = R$ 125,00</v>
      </c>
      <c r="Q240" s="4" t="str">
        <f t="shared" si="230"/>
        <v>A5 2017 (A520) - orig = R$ 140,00</v>
      </c>
    </row>
    <row r="241" spans="1:17" ht="15.75" customHeight="1" x14ac:dyDescent="0.3">
      <c r="A241" t="s">
        <v>13161</v>
      </c>
      <c r="B241">
        <f>B238</f>
        <v>230</v>
      </c>
      <c r="E241" s="85" t="s">
        <v>234</v>
      </c>
      <c r="F241" s="6">
        <v>85</v>
      </c>
      <c r="H241" s="4" t="s">
        <v>213</v>
      </c>
      <c r="I241" s="5">
        <f t="shared" si="228"/>
        <v>95</v>
      </c>
      <c r="J241" s="5"/>
      <c r="K241" s="4" t="str">
        <f t="shared" si="219"/>
        <v>A7 2016 (A710)- incell = R$ 95,00</v>
      </c>
      <c r="M241" s="4" t="str">
        <f t="shared" si="220"/>
        <v>A7 2016 (A710)- incell = R$ 100,00</v>
      </c>
      <c r="O241" s="4" t="str">
        <f t="shared" si="229"/>
        <v>A7 2016 (A710)- incell = R$ 90,00</v>
      </c>
      <c r="Q241" s="4" t="str">
        <f t="shared" si="230"/>
        <v>A7 2016 (A710)- incell = R$ 105,00</v>
      </c>
    </row>
    <row r="242" spans="1:17" ht="15.75" customHeight="1" x14ac:dyDescent="0.3">
      <c r="A242" t="s">
        <v>2428</v>
      </c>
      <c r="B242">
        <f>I108</f>
        <v>70</v>
      </c>
      <c r="C242" t="s">
        <v>12786</v>
      </c>
      <c r="E242" s="85" t="s">
        <v>11350</v>
      </c>
      <c r="F242" s="6">
        <v>95</v>
      </c>
      <c r="H242" s="4" t="s">
        <v>214</v>
      </c>
      <c r="I242" s="5">
        <f t="shared" si="228"/>
        <v>130</v>
      </c>
      <c r="J242" s="5"/>
      <c r="K242" s="4" t="str">
        <f t="shared" si="219"/>
        <v>A7 2016 (A710)- orig   = R$ 130,00</v>
      </c>
      <c r="M242" s="4" t="str">
        <f t="shared" si="220"/>
        <v>A7 2016 (A710)- orig   = R$ 135,00</v>
      </c>
      <c r="O242" s="4" t="str">
        <f t="shared" si="229"/>
        <v>A7 2016 (A710)- orig   = R$ 125,00</v>
      </c>
      <c r="Q242" s="4" t="str">
        <f t="shared" si="230"/>
        <v>A7 2016 (A710)- orig   = R$ 140,00</v>
      </c>
    </row>
    <row r="243" spans="1:17" ht="15.75" customHeight="1" x14ac:dyDescent="0.3">
      <c r="A243" t="s">
        <v>1876</v>
      </c>
      <c r="B243">
        <f>I110</f>
        <v>135</v>
      </c>
      <c r="C243" t="s">
        <v>12787</v>
      </c>
      <c r="E243" s="85" t="s">
        <v>984</v>
      </c>
      <c r="F243" s="6">
        <v>80</v>
      </c>
      <c r="H243" s="4" t="s">
        <v>216</v>
      </c>
      <c r="I243" s="5">
        <f t="shared" si="228"/>
        <v>95</v>
      </c>
      <c r="J243" s="5"/>
      <c r="K243" s="4" t="str">
        <f t="shared" si="219"/>
        <v>A7 2017 (A720)- incell = R$ 95,00</v>
      </c>
      <c r="M243" s="4" t="str">
        <f t="shared" si="220"/>
        <v>A7 2017 (A720)- incell = R$ 100,00</v>
      </c>
      <c r="O243" s="4" t="str">
        <f t="shared" si="229"/>
        <v>A7 2017 (A720)- incell = R$ 90,00</v>
      </c>
      <c r="Q243" s="4" t="str">
        <f t="shared" si="230"/>
        <v>A7 2017 (A720)- incell = R$ 105,00</v>
      </c>
    </row>
    <row r="244" spans="1:17" ht="15.75" customHeight="1" x14ac:dyDescent="0.3">
      <c r="A244" s="20" t="s">
        <v>2878</v>
      </c>
      <c r="B244">
        <f>I110</f>
        <v>135</v>
      </c>
      <c r="C244" t="s">
        <v>12787</v>
      </c>
      <c r="E244" s="85" t="s">
        <v>985</v>
      </c>
      <c r="F244" s="6">
        <v>85</v>
      </c>
      <c r="H244" s="4" t="s">
        <v>218</v>
      </c>
      <c r="I244" s="5">
        <f t="shared" si="228"/>
        <v>130</v>
      </c>
      <c r="J244" s="5"/>
      <c r="K244" s="4" t="str">
        <f t="shared" si="219"/>
        <v>A7 2017 (A720)- orig   = R$ 130,00</v>
      </c>
      <c r="M244" s="4" t="str">
        <f t="shared" si="220"/>
        <v>A7 2017 (A720)- orig   = R$ 135,00</v>
      </c>
      <c r="O244" s="4" t="str">
        <f t="shared" si="229"/>
        <v>A7 2017 (A720)- orig   = R$ 125,00</v>
      </c>
      <c r="Q244" s="4" t="str">
        <f t="shared" si="230"/>
        <v>A7 2017 (A720)- orig   = R$ 140,00</v>
      </c>
    </row>
    <row r="245" spans="1:17" ht="15.75" customHeight="1" x14ac:dyDescent="0.3">
      <c r="A245" s="20" t="s">
        <v>2881</v>
      </c>
      <c r="B245">
        <f>I110</f>
        <v>135</v>
      </c>
      <c r="C245" t="s">
        <v>12787</v>
      </c>
      <c r="E245" s="85" t="s">
        <v>11236</v>
      </c>
      <c r="F245" s="16">
        <v>85</v>
      </c>
      <c r="H245" s="4" t="s">
        <v>220</v>
      </c>
      <c r="I245" s="5">
        <f t="shared" si="228"/>
        <v>90</v>
      </c>
      <c r="J245" s="5"/>
      <c r="K245" s="4" t="str">
        <f t="shared" si="219"/>
        <v>A7 2018 (A750)- incell = R$ 90,00</v>
      </c>
      <c r="M245" s="4" t="str">
        <f t="shared" si="220"/>
        <v>A7 2018 (A750)- incell = R$ 95,00</v>
      </c>
      <c r="O245" s="4" t="str">
        <f t="shared" si="229"/>
        <v>A7 2018 (A750)- incell = R$ 85,00</v>
      </c>
      <c r="Q245" s="4" t="str">
        <f t="shared" si="230"/>
        <v>A7 2018 (A750)- incell = R$ 100,00</v>
      </c>
    </row>
    <row r="246" spans="1:17" ht="15.75" customHeight="1" x14ac:dyDescent="0.3">
      <c r="A246" t="s">
        <v>3050</v>
      </c>
      <c r="B246">
        <f>I109</f>
        <v>130</v>
      </c>
      <c r="C246" t="s">
        <v>12788</v>
      </c>
      <c r="E246" s="85" t="s">
        <v>11237</v>
      </c>
      <c r="F246" s="16">
        <v>210</v>
      </c>
      <c r="H246" s="4" t="s">
        <v>222</v>
      </c>
      <c r="I246" s="5">
        <f t="shared" si="228"/>
        <v>105</v>
      </c>
      <c r="J246" s="5"/>
      <c r="K246" s="4" t="str">
        <f>CONCATENATE(H246,I246,"")</f>
        <v>A7 2018 c/aro(A750)-incell = 105</v>
      </c>
      <c r="M246" s="4" t="str">
        <f>CONCATENATE(H246,I246+5,"")</f>
        <v>A7 2018 c/aro(A750)-incell = 110</v>
      </c>
      <c r="O246" s="4" t="str">
        <f t="shared" si="229"/>
        <v>A7 2018 c/aro(A750)-incell = 100,00</v>
      </c>
      <c r="Q246" s="4" t="str">
        <f t="shared" si="230"/>
        <v>A7 2018 c/aro(A750)-incell = 115,00</v>
      </c>
    </row>
    <row r="247" spans="1:17" ht="15.75" customHeight="1" x14ac:dyDescent="0.3">
      <c r="A247" s="40" t="s">
        <v>2882</v>
      </c>
      <c r="B247">
        <f>I109</f>
        <v>130</v>
      </c>
      <c r="C247" t="s">
        <v>12788</v>
      </c>
      <c r="E247" s="85" t="s">
        <v>238</v>
      </c>
      <c r="F247" s="6">
        <v>65</v>
      </c>
      <c r="H247" s="4" t="s">
        <v>224</v>
      </c>
      <c r="I247" s="5">
        <f t="shared" si="228"/>
        <v>160</v>
      </c>
      <c r="J247" s="5"/>
      <c r="K247" s="4" t="str">
        <f t="shared" ref="K247:K253" si="247">CONCATENATE(H247,I247,",00")</f>
        <v>A7 2018 (A750)- orig  = R$ 160,00</v>
      </c>
      <c r="M247" s="4" t="str">
        <f t="shared" ref="M247:M253" si="248">CONCATENATE(H247,I247+5,",00")</f>
        <v>A7 2018 (A750)- orig  = R$ 165,00</v>
      </c>
      <c r="O247" s="4" t="str">
        <f t="shared" si="229"/>
        <v>A7 2018 (A750)- orig  = R$ 155,00</v>
      </c>
      <c r="Q247" s="4" t="str">
        <f t="shared" si="230"/>
        <v>A7 2018 (A750)- orig  = R$ 170,00</v>
      </c>
    </row>
    <row r="248" spans="1:17" ht="15.75" customHeight="1" x14ac:dyDescent="0.3">
      <c r="A248" t="s">
        <v>12042</v>
      </c>
      <c r="B248">
        <f>I111</f>
        <v>170</v>
      </c>
      <c r="E248" s="85" t="s">
        <v>11183</v>
      </c>
      <c r="F248" s="6">
        <v>85</v>
      </c>
      <c r="H248" s="4" t="s">
        <v>225</v>
      </c>
      <c r="I248" s="5">
        <f t="shared" si="228"/>
        <v>180</v>
      </c>
      <c r="J248" s="5"/>
      <c r="K248" s="4" t="str">
        <f t="shared" si="247"/>
        <v>A7 2018 c/aro(A750)-ori= 180,00</v>
      </c>
      <c r="M248" s="4" t="str">
        <f t="shared" si="248"/>
        <v>A7 2018 c/aro(A750)-ori= 185,00</v>
      </c>
      <c r="O248" s="4" t="str">
        <f t="shared" si="229"/>
        <v>A7 2018 c/aro(A750)-ori= 175,00</v>
      </c>
      <c r="Q248" s="4" t="str">
        <f t="shared" si="230"/>
        <v>A7 2018 c/aro(A750)-ori= 190,00</v>
      </c>
    </row>
    <row r="249" spans="1:17" ht="15.75" customHeight="1" x14ac:dyDescent="0.3">
      <c r="A249" t="s">
        <v>12043</v>
      </c>
      <c r="B249">
        <f>I111</f>
        <v>170</v>
      </c>
      <c r="E249" s="85" t="s">
        <v>12881</v>
      </c>
      <c r="F249" s="16">
        <v>90</v>
      </c>
      <c r="H249" s="4" t="s">
        <v>226</v>
      </c>
      <c r="I249" s="5">
        <f t="shared" si="228"/>
        <v>95</v>
      </c>
      <c r="J249" s="5"/>
      <c r="K249" s="4" t="str">
        <f t="shared" si="247"/>
        <v>A8 2018 (A530) - incell = 95,00</v>
      </c>
      <c r="M249" s="4" t="str">
        <f t="shared" si="248"/>
        <v>A8 2018 (A530) - incell = 100,00</v>
      </c>
      <c r="O249" s="4" t="str">
        <f t="shared" si="229"/>
        <v>A8 2018 (A530) - incell = 90,00</v>
      </c>
      <c r="Q249" s="4" t="str">
        <f t="shared" si="230"/>
        <v>A8 2018 (A530) - incell = 105,00</v>
      </c>
    </row>
    <row r="250" spans="1:17" ht="15.75" customHeight="1" x14ac:dyDescent="0.3">
      <c r="A250" t="s">
        <v>2041</v>
      </c>
      <c r="B250">
        <f>I117</f>
        <v>60</v>
      </c>
      <c r="C250" t="s">
        <v>12789</v>
      </c>
      <c r="E250" s="85" t="s">
        <v>241</v>
      </c>
      <c r="F250" s="6">
        <v>70</v>
      </c>
      <c r="H250" s="4" t="s">
        <v>227</v>
      </c>
      <c r="I250" s="5">
        <f t="shared" si="228"/>
        <v>195</v>
      </c>
      <c r="J250" s="5"/>
      <c r="K250" s="4" t="str">
        <f t="shared" si="247"/>
        <v>A8 2018 (A530)- orig= R$195,00</v>
      </c>
      <c r="M250" s="4" t="str">
        <f t="shared" si="248"/>
        <v>A8 2018 (A530)- orig= R$200,00</v>
      </c>
      <c r="O250" s="4" t="str">
        <f t="shared" si="229"/>
        <v>A8 2018 (A530)- orig= R$190,00</v>
      </c>
      <c r="Q250" s="4" t="str">
        <f t="shared" si="230"/>
        <v>A8 2018 (A530)- orig= R$205,00</v>
      </c>
    </row>
    <row r="251" spans="1:17" ht="15.75" customHeight="1" x14ac:dyDescent="0.3">
      <c r="A251" s="20" t="s">
        <v>1877</v>
      </c>
      <c r="B251">
        <f>I113</f>
        <v>65</v>
      </c>
      <c r="C251" t="s">
        <v>12790</v>
      </c>
      <c r="E251" s="85" t="s">
        <v>11184</v>
      </c>
      <c r="F251" s="6">
        <v>85</v>
      </c>
      <c r="H251" s="4" t="s">
        <v>228</v>
      </c>
      <c r="I251" s="5">
        <f t="shared" si="228"/>
        <v>95</v>
      </c>
      <c r="J251" s="5"/>
      <c r="K251" s="4" t="str">
        <f t="shared" si="247"/>
        <v>A8 Plus (A730)-incell=R$ 95,00</v>
      </c>
      <c r="M251" s="4" t="str">
        <f t="shared" si="248"/>
        <v>A8 Plus (A730)-incell=R$ 100,00</v>
      </c>
      <c r="O251" s="4" t="str">
        <f t="shared" si="229"/>
        <v>A8 Plus (A730)-incell=R$ 90,00</v>
      </c>
      <c r="Q251" s="4" t="str">
        <f t="shared" si="230"/>
        <v>A8 Plus (A730)-incell=R$ 105,00</v>
      </c>
    </row>
    <row r="252" spans="1:17" ht="15.75" customHeight="1" x14ac:dyDescent="0.3">
      <c r="A252" t="s">
        <v>2350</v>
      </c>
      <c r="B252">
        <f>I114</f>
        <v>85</v>
      </c>
      <c r="C252" t="s">
        <v>12791</v>
      </c>
      <c r="E252" s="85" t="s">
        <v>244</v>
      </c>
      <c r="F252" s="6">
        <v>140</v>
      </c>
      <c r="H252" s="4" t="s">
        <v>229</v>
      </c>
      <c r="I252" s="5">
        <f t="shared" si="228"/>
        <v>170</v>
      </c>
      <c r="J252" s="5"/>
      <c r="K252" s="4" t="str">
        <f t="shared" si="247"/>
        <v>A8 Plus (A730)- orig = R$ 170,00</v>
      </c>
      <c r="M252" s="4" t="str">
        <f t="shared" si="248"/>
        <v>A8 Plus (A730)- orig = R$ 175,00</v>
      </c>
      <c r="O252" s="4" t="str">
        <f t="shared" si="229"/>
        <v>A8 Plus (A730)- orig = R$ 165,00</v>
      </c>
      <c r="Q252" s="4" t="str">
        <f t="shared" si="230"/>
        <v>A8 Plus (A730)- orig = R$ 180,00</v>
      </c>
    </row>
    <row r="253" spans="1:17" ht="15.75" customHeight="1" x14ac:dyDescent="0.3">
      <c r="A253" t="s">
        <v>2511</v>
      </c>
      <c r="B253">
        <f>I114</f>
        <v>85</v>
      </c>
      <c r="C253" t="s">
        <v>12791</v>
      </c>
      <c r="E253" s="85" t="s">
        <v>11185</v>
      </c>
      <c r="F253" s="6">
        <v>160</v>
      </c>
      <c r="H253" s="4" t="s">
        <v>230</v>
      </c>
      <c r="I253" s="5">
        <f t="shared" si="228"/>
        <v>180</v>
      </c>
      <c r="J253" s="5"/>
      <c r="K253" s="4" t="str">
        <f t="shared" si="247"/>
        <v>A9 2018 (A920)- orig= R$  180,00</v>
      </c>
      <c r="M253" s="4" t="str">
        <f t="shared" si="248"/>
        <v>A9 2018 (A920)- orig= R$  185,00</v>
      </c>
      <c r="O253" s="4" t="str">
        <f t="shared" si="229"/>
        <v>A9 2018 (A920)- orig= R$  175,00</v>
      </c>
      <c r="Q253" s="4" t="str">
        <f t="shared" si="230"/>
        <v>A9 2018 (A920)- orig= R$  190,00</v>
      </c>
    </row>
    <row r="254" spans="1:17" ht="15.75" customHeight="1" x14ac:dyDescent="0.3">
      <c r="A254" t="s">
        <v>11450</v>
      </c>
      <c r="B254">
        <f>I115</f>
        <v>95</v>
      </c>
      <c r="E254" s="85" t="s">
        <v>245</v>
      </c>
      <c r="F254" s="6">
        <v>85</v>
      </c>
      <c r="H254" s="4" t="s">
        <v>231</v>
      </c>
      <c r="I254" s="5"/>
      <c r="J254" s="5"/>
    </row>
    <row r="255" spans="1:17" ht="15.75" customHeight="1" x14ac:dyDescent="0.3">
      <c r="A255" t="s">
        <v>11451</v>
      </c>
      <c r="B255">
        <f>I115</f>
        <v>95</v>
      </c>
      <c r="E255" s="85" t="s">
        <v>247</v>
      </c>
      <c r="F255" s="6">
        <v>90</v>
      </c>
      <c r="H255" s="4" t="s">
        <v>233</v>
      </c>
      <c r="I255" s="5">
        <f>F57</f>
        <v>55</v>
      </c>
      <c r="J255" s="10"/>
      <c r="K255" s="4" t="str">
        <f t="shared" ref="K255:K288" si="249">CONCATENATE(H255,I255,",00")</f>
        <v>M10 - orig  = R$ 55,00</v>
      </c>
      <c r="M255" s="4" t="str">
        <f t="shared" ref="M255:M288" si="250">CONCATENATE(H255,I255+5,",00")</f>
        <v>M10 - orig  = R$ 60,00</v>
      </c>
      <c r="O255" s="4" t="str">
        <f t="shared" ref="O255:O288" si="251">CONCATENATE(H255,I255-5,",00")</f>
        <v>M10 - orig  = R$ 50,00</v>
      </c>
      <c r="Q255" s="4" t="str">
        <f t="shared" ref="Q255:Q288" si="252">CONCATENATE(H255,I255+10,",00")</f>
        <v>M10 - orig  = R$ 65,00</v>
      </c>
    </row>
    <row r="256" spans="1:17" ht="15.75" customHeight="1" x14ac:dyDescent="0.3">
      <c r="A256" t="s">
        <v>2040</v>
      </c>
      <c r="B256">
        <f>I109</f>
        <v>130</v>
      </c>
      <c r="C256" t="s">
        <v>12788</v>
      </c>
      <c r="D256" s="19"/>
      <c r="E256" s="85" t="s">
        <v>249</v>
      </c>
      <c r="F256" s="6">
        <v>150</v>
      </c>
      <c r="H256" s="4" t="s">
        <v>235</v>
      </c>
      <c r="I256" s="5">
        <f>F58</f>
        <v>65</v>
      </c>
      <c r="J256" s="10"/>
      <c r="K256" s="4" t="str">
        <f t="shared" si="249"/>
        <v>M10 c/aro - orig      = R$ 65,00</v>
      </c>
      <c r="M256" s="4" t="str">
        <f t="shared" si="250"/>
        <v>M10 c/aro - orig      = R$ 70,00</v>
      </c>
      <c r="O256" s="4" t="str">
        <f t="shared" si="251"/>
        <v>M10 c/aro - orig      = R$ 60,00</v>
      </c>
      <c r="Q256" s="4" t="str">
        <f t="shared" si="252"/>
        <v>M10 c/aro - orig      = R$ 75,00</v>
      </c>
    </row>
    <row r="257" spans="1:17" ht="15.75" customHeight="1" x14ac:dyDescent="0.3">
      <c r="A257" s="20" t="s">
        <v>2879</v>
      </c>
      <c r="B257">
        <f>I109</f>
        <v>130</v>
      </c>
      <c r="C257" t="s">
        <v>12788</v>
      </c>
      <c r="D257" s="19"/>
      <c r="E257" s="85" t="s">
        <v>250</v>
      </c>
      <c r="F257" s="6">
        <v>160</v>
      </c>
      <c r="H257" s="4" t="s">
        <v>236</v>
      </c>
      <c r="I257" s="5">
        <f>F11</f>
        <v>60</v>
      </c>
      <c r="J257" s="5"/>
      <c r="K257" s="4" t="str">
        <f t="shared" si="249"/>
        <v>M12 - orig   = R$ 60,00</v>
      </c>
      <c r="M257" s="4" t="str">
        <f t="shared" si="250"/>
        <v>M12 - orig   = R$ 65,00</v>
      </c>
      <c r="O257" s="4" t="str">
        <f t="shared" si="251"/>
        <v>M12 - orig   = R$ 55,00</v>
      </c>
      <c r="Q257" s="4" t="str">
        <f t="shared" si="252"/>
        <v>M12 - orig   = R$ 70,00</v>
      </c>
    </row>
    <row r="258" spans="1:17" ht="15.75" customHeight="1" x14ac:dyDescent="0.3">
      <c r="A258" t="s">
        <v>3052</v>
      </c>
      <c r="B258">
        <f>I116</f>
        <v>90</v>
      </c>
      <c r="C258" t="s">
        <v>12792</v>
      </c>
      <c r="D258" s="19"/>
      <c r="E258" s="85" t="s">
        <v>11352</v>
      </c>
      <c r="F258" s="6">
        <v>205</v>
      </c>
      <c r="H258" s="4" t="s">
        <v>237</v>
      </c>
      <c r="I258" s="5">
        <f>F69</f>
        <v>65</v>
      </c>
      <c r="J258" s="5"/>
      <c r="K258" s="4" t="str">
        <f t="shared" si="249"/>
        <v>M12 c/aro - orig       = R$ 65,00</v>
      </c>
      <c r="M258" s="4" t="str">
        <f t="shared" si="250"/>
        <v>M12 c/aro - orig       = R$ 70,00</v>
      </c>
      <c r="O258" s="4" t="str">
        <f t="shared" si="251"/>
        <v>M12 c/aro - orig       = R$ 60,00</v>
      </c>
      <c r="Q258" s="4" t="str">
        <f t="shared" si="252"/>
        <v>M12 c/aro - orig       = R$ 75,00</v>
      </c>
    </row>
    <row r="259" spans="1:17" ht="15.75" customHeight="1" x14ac:dyDescent="0.3">
      <c r="A259" t="s">
        <v>2043</v>
      </c>
      <c r="B259">
        <f>I117</f>
        <v>60</v>
      </c>
      <c r="C259" t="s">
        <v>12793</v>
      </c>
      <c r="E259" s="85" t="s">
        <v>11354</v>
      </c>
      <c r="F259" s="6">
        <v>100</v>
      </c>
      <c r="H259" s="4" t="s">
        <v>239</v>
      </c>
      <c r="I259" s="5">
        <f>F70</f>
        <v>80</v>
      </c>
      <c r="J259" s="5"/>
      <c r="K259" s="4" t="str">
        <f t="shared" ref="K259" si="253">CONCATENATE(H259,I259,",00")</f>
        <v>M12 c/aro Nacional = R$ 80,00</v>
      </c>
      <c r="M259" s="4" t="str">
        <f t="shared" ref="M259" si="254">CONCATENATE(H259,I259+5,",00")</f>
        <v>M12 c/aro Nacional = R$ 85,00</v>
      </c>
      <c r="O259" s="4" t="str">
        <f t="shared" ref="O259" si="255">CONCATENATE(H259,I259-5,",00")</f>
        <v>M12 c/aro Nacional = R$ 75,00</v>
      </c>
      <c r="Q259" s="4" t="str">
        <f t="shared" ref="Q259" si="256">CONCATENATE(H259,I259+10,",00")</f>
        <v>M12 c/aro Nacional = R$ 90,00</v>
      </c>
    </row>
    <row r="260" spans="1:17" ht="15.75" customHeight="1" x14ac:dyDescent="0.3">
      <c r="A260" t="s">
        <v>1878</v>
      </c>
      <c r="B260">
        <f>I118</f>
        <v>65</v>
      </c>
      <c r="C260" t="s">
        <v>12794</v>
      </c>
      <c r="E260" s="85" t="s">
        <v>11355</v>
      </c>
      <c r="F260" s="6">
        <v>110</v>
      </c>
      <c r="H260" s="4" t="s">
        <v>11349</v>
      </c>
      <c r="I260" s="5">
        <f>F71</f>
        <v>90</v>
      </c>
      <c r="J260" s="5"/>
      <c r="K260" s="4" t="str">
        <f t="shared" si="249"/>
        <v>M12 c/aro Nac Diamonds = 90,00</v>
      </c>
      <c r="M260" s="4" t="str">
        <f t="shared" si="250"/>
        <v>M12 c/aro Nac Diamonds = 95,00</v>
      </c>
      <c r="O260" s="4" t="str">
        <f t="shared" si="251"/>
        <v>M12 c/aro Nac Diamonds = 85,00</v>
      </c>
      <c r="Q260" s="4" t="str">
        <f t="shared" si="252"/>
        <v>M12 c/aro Nac Diamonds = 100,00</v>
      </c>
    </row>
    <row r="261" spans="1:17" ht="15.75" customHeight="1" x14ac:dyDescent="0.3">
      <c r="A261" t="s">
        <v>2351</v>
      </c>
      <c r="B261">
        <f>I119</f>
        <v>80</v>
      </c>
      <c r="C261" t="s">
        <v>12795</v>
      </c>
      <c r="E261" s="85" t="s">
        <v>255</v>
      </c>
      <c r="F261" s="6">
        <v>90</v>
      </c>
      <c r="H261" s="4" t="s">
        <v>240</v>
      </c>
      <c r="I261" s="5">
        <f>F72</f>
        <v>65</v>
      </c>
      <c r="J261" s="5"/>
      <c r="K261" s="4" t="str">
        <f t="shared" si="249"/>
        <v>M13 4G - orig     = R$ 65,00</v>
      </c>
      <c r="M261" s="4" t="str">
        <f t="shared" si="250"/>
        <v>M13 4G - orig     = R$ 70,00</v>
      </c>
      <c r="O261" s="4" t="str">
        <f t="shared" si="251"/>
        <v>M13 4G - orig     = R$ 60,00</v>
      </c>
      <c r="Q261" s="4" t="str">
        <f t="shared" si="252"/>
        <v>M13 4G - orig     = R$ 75,00</v>
      </c>
    </row>
    <row r="262" spans="1:17" ht="15.75" customHeight="1" x14ac:dyDescent="0.3">
      <c r="A262" t="s">
        <v>2512</v>
      </c>
      <c r="B262">
        <f>I119</f>
        <v>80</v>
      </c>
      <c r="C262" t="s">
        <v>12795</v>
      </c>
      <c r="E262" s="85" t="s">
        <v>257</v>
      </c>
      <c r="F262" s="6">
        <v>160</v>
      </c>
      <c r="H262" s="4" t="s">
        <v>242</v>
      </c>
      <c r="I262" s="5">
        <f t="shared" ref="I262:J267" si="257">F240</f>
        <v>75</v>
      </c>
      <c r="J262" s="5"/>
      <c r="K262" s="4" t="str">
        <f t="shared" si="249"/>
        <v>M13 4G c/aro - orig  = R$ 75,00</v>
      </c>
      <c r="M262" s="4" t="str">
        <f t="shared" si="250"/>
        <v>M13 4G c/aro - orig  = R$ 80,00</v>
      </c>
      <c r="O262" s="4" t="str">
        <f t="shared" si="251"/>
        <v>M13 4G c/aro - orig  = R$ 70,00</v>
      </c>
      <c r="Q262" s="4" t="str">
        <f t="shared" si="252"/>
        <v>M13 4G c/aro - orig  = R$ 85,00</v>
      </c>
    </row>
    <row r="263" spans="1:17" ht="15.75" customHeight="1" x14ac:dyDescent="0.3">
      <c r="A263" t="s">
        <v>11452</v>
      </c>
      <c r="B263">
        <f>I120</f>
        <v>90</v>
      </c>
      <c r="E263" s="85" t="s">
        <v>12493</v>
      </c>
      <c r="F263" s="16">
        <v>190</v>
      </c>
      <c r="H263" s="4" t="s">
        <v>243</v>
      </c>
      <c r="I263" s="5">
        <f t="shared" si="257"/>
        <v>85</v>
      </c>
      <c r="J263" s="5"/>
      <c r="K263" s="4" t="str">
        <f t="shared" ref="K263" si="258">CONCATENATE(H263,I263,",00")</f>
        <v>M13 4G c/aro Nacional = 85,00</v>
      </c>
      <c r="M263" s="4" t="str">
        <f t="shared" ref="M263" si="259">CONCATENATE(H263,I263+5,",00")</f>
        <v>M13 4G c/aro Nacional = 90,00</v>
      </c>
      <c r="O263" s="4" t="str">
        <f t="shared" ref="O263" si="260">CONCATENATE(H263,I263-5,",00")</f>
        <v>M13 4G c/aro Nacional = 80,00</v>
      </c>
      <c r="Q263" s="4" t="str">
        <f t="shared" ref="Q263" si="261">CONCATENATE(H263,I263+10,",00")</f>
        <v>M13 4G c/aro Nacional = 95,00</v>
      </c>
    </row>
    <row r="264" spans="1:17" ht="15.75" customHeight="1" x14ac:dyDescent="0.3">
      <c r="A264" t="s">
        <v>11453</v>
      </c>
      <c r="B264">
        <f>I120</f>
        <v>90</v>
      </c>
      <c r="E264" s="85" t="s">
        <v>259</v>
      </c>
      <c r="F264" s="6">
        <v>100</v>
      </c>
      <c r="H264" s="4" t="s">
        <v>11351</v>
      </c>
      <c r="I264" s="5">
        <f t="shared" si="257"/>
        <v>95</v>
      </c>
      <c r="J264" s="5"/>
      <c r="K264" s="4" t="str">
        <f t="shared" si="249"/>
        <v>M13 4G c/aro Nac Diamonds = 95,00</v>
      </c>
      <c r="M264" s="4" t="str">
        <f t="shared" si="250"/>
        <v>M13 4G c/aro Nac Diamonds = 100,00</v>
      </c>
      <c r="O264" s="4" t="str">
        <f t="shared" si="251"/>
        <v>M13 4G c/aro Nac Diamonds = 90,00</v>
      </c>
      <c r="Q264" s="4" t="str">
        <f t="shared" si="252"/>
        <v>M13 4G c/aro Nac Diamonds = 105,00</v>
      </c>
    </row>
    <row r="265" spans="1:17" ht="15.75" customHeight="1" x14ac:dyDescent="0.3">
      <c r="A265" t="s">
        <v>2042</v>
      </c>
      <c r="B265">
        <f>I116</f>
        <v>90</v>
      </c>
      <c r="C265" t="s">
        <v>12792</v>
      </c>
      <c r="E265" s="85" t="s">
        <v>261</v>
      </c>
      <c r="F265" s="6">
        <v>180</v>
      </c>
      <c r="H265" s="4" t="s">
        <v>986</v>
      </c>
      <c r="I265" s="5">
        <f t="shared" si="257"/>
        <v>80</v>
      </c>
      <c r="J265" s="5"/>
      <c r="K265" s="4" t="str">
        <f t="shared" si="249"/>
        <v>M14 5G    = R$ 80,00</v>
      </c>
      <c r="M265" s="4" t="str">
        <f t="shared" si="250"/>
        <v>M14 5G    = R$ 85,00</v>
      </c>
      <c r="O265" s="4" t="str">
        <f t="shared" si="251"/>
        <v>M14 5G    = R$ 75,00</v>
      </c>
      <c r="Q265" s="4" t="str">
        <f t="shared" si="252"/>
        <v>M14 5G    = R$ 90,00</v>
      </c>
    </row>
    <row r="266" spans="1:17" ht="15.75" customHeight="1" x14ac:dyDescent="0.3">
      <c r="A266" t="s">
        <v>5072</v>
      </c>
      <c r="B266">
        <f>I121</f>
        <v>75</v>
      </c>
      <c r="C266" t="s">
        <v>12796</v>
      </c>
      <c r="E266" s="85" t="s">
        <v>11371</v>
      </c>
      <c r="F266" s="6">
        <v>290</v>
      </c>
      <c r="H266" s="4" t="s">
        <v>987</v>
      </c>
      <c r="I266" s="5">
        <f t="shared" si="257"/>
        <v>85</v>
      </c>
      <c r="J266" s="5"/>
      <c r="K266" s="4" t="str">
        <f t="shared" si="249"/>
        <v>M14 5G c/aro           = R$ 85,00</v>
      </c>
      <c r="M266" s="4" t="str">
        <f t="shared" si="250"/>
        <v>M14 5G c/aro           = R$ 90,00</v>
      </c>
      <c r="O266" s="4" t="str">
        <f t="shared" si="251"/>
        <v>M14 5G c/aro           = R$ 80,00</v>
      </c>
      <c r="Q266" s="4" t="str">
        <f t="shared" si="252"/>
        <v>M14 5G c/aro           = R$ 95,00</v>
      </c>
    </row>
    <row r="267" spans="1:17" ht="15.75" customHeight="1" x14ac:dyDescent="0.3">
      <c r="A267" t="s">
        <v>2429</v>
      </c>
      <c r="B267">
        <f>I121</f>
        <v>75</v>
      </c>
      <c r="C267" t="s">
        <v>12796</v>
      </c>
      <c r="E267" s="85" t="s">
        <v>11370</v>
      </c>
      <c r="F267" s="6">
        <v>295</v>
      </c>
      <c r="H267" s="4" t="s">
        <v>11238</v>
      </c>
      <c r="I267" s="5">
        <f t="shared" si="257"/>
        <v>85</v>
      </c>
      <c r="J267" s="5"/>
      <c r="K267" s="4" t="str">
        <f t="shared" ref="K267:K269" si="262">CONCATENATE(H267,I267,",00")</f>
        <v>M15 - incell c/aro = R$ 85,00</v>
      </c>
      <c r="M267" s="4" t="str">
        <f t="shared" ref="M267:M269" si="263">CONCATENATE(H267,I267+5,",00")</f>
        <v>M15 - incell c/aro = R$ 90,00</v>
      </c>
      <c r="O267" s="4" t="str">
        <f t="shared" ref="O267:O269" si="264">CONCATENATE(H267,I267-5,",00")</f>
        <v>M15 - incell c/aro = R$ 80,00</v>
      </c>
      <c r="Q267" s="4" t="str">
        <f t="shared" ref="Q267:Q269" si="265">CONCATENATE(H267,I267+10,",00")</f>
        <v>M15 - incell c/aro = R$ 95,00</v>
      </c>
    </row>
    <row r="268" spans="1:17" ht="15.75" customHeight="1" x14ac:dyDescent="0.3">
      <c r="A268" t="s">
        <v>1879</v>
      </c>
      <c r="B268">
        <f>I122</f>
        <v>150</v>
      </c>
      <c r="C268" t="s">
        <v>12797</v>
      </c>
      <c r="E268" s="85" t="s">
        <v>11169</v>
      </c>
      <c r="F268" s="6">
        <v>80</v>
      </c>
      <c r="H268" s="4" t="s">
        <v>11239</v>
      </c>
      <c r="I268" s="5">
        <f>F89</f>
        <v>150</v>
      </c>
      <c r="J268" s="5"/>
      <c r="K268" s="4" t="str">
        <f t="shared" si="262"/>
        <v>M15 - original       = R$ 150,00</v>
      </c>
      <c r="M268" s="4" t="str">
        <f t="shared" si="263"/>
        <v>M15 - original       = R$ 155,00</v>
      </c>
      <c r="O268" s="4" t="str">
        <f t="shared" si="264"/>
        <v>M15 - original       = R$ 145,00</v>
      </c>
      <c r="Q268" s="4" t="str">
        <f t="shared" si="265"/>
        <v>M15 - original       = R$ 160,00</v>
      </c>
    </row>
    <row r="269" spans="1:17" ht="15.75" customHeight="1" x14ac:dyDescent="0.3">
      <c r="A269" t="s">
        <v>10597</v>
      </c>
      <c r="B269">
        <f>I122</f>
        <v>150</v>
      </c>
      <c r="C269" t="s">
        <v>12797</v>
      </c>
      <c r="E269" s="85" t="s">
        <v>265</v>
      </c>
      <c r="F269" s="6">
        <v>160</v>
      </c>
      <c r="H269" s="4" t="s">
        <v>11240</v>
      </c>
      <c r="I269" s="5">
        <f>F246</f>
        <v>210</v>
      </c>
      <c r="J269" s="5"/>
      <c r="K269" s="4" t="str">
        <f t="shared" si="262"/>
        <v>M15 - original c/aro = R$ 210,00</v>
      </c>
      <c r="M269" s="4" t="str">
        <f t="shared" si="263"/>
        <v>M15 - original c/aro = R$ 215,00</v>
      </c>
      <c r="O269" s="4" t="str">
        <f t="shared" si="264"/>
        <v>M15 - original c/aro = R$ 205,00</v>
      </c>
      <c r="Q269" s="4" t="str">
        <f t="shared" si="265"/>
        <v>M15 - original c/aro = R$ 220,00</v>
      </c>
    </row>
    <row r="270" spans="1:17" ht="15.75" customHeight="1" x14ac:dyDescent="0.3">
      <c r="A270" s="20" t="s">
        <v>2883</v>
      </c>
      <c r="B270">
        <f>I122</f>
        <v>150</v>
      </c>
      <c r="C270" t="s">
        <v>12797</v>
      </c>
      <c r="E270" s="85" t="s">
        <v>267</v>
      </c>
      <c r="F270" s="6">
        <v>200</v>
      </c>
      <c r="H270" s="4" t="s">
        <v>246</v>
      </c>
      <c r="I270" s="5">
        <f>F247</f>
        <v>65</v>
      </c>
      <c r="J270" s="5"/>
      <c r="K270" s="4" t="str">
        <f t="shared" si="249"/>
        <v>M20 - orig     = R$ 65,00</v>
      </c>
      <c r="M270" s="4" t="str">
        <f t="shared" si="250"/>
        <v>M20 - orig     = R$ 70,00</v>
      </c>
      <c r="O270" s="4" t="str">
        <f t="shared" si="251"/>
        <v>M20 - orig     = R$ 60,00</v>
      </c>
      <c r="Q270" s="4" t="str">
        <f t="shared" si="252"/>
        <v>M20 - orig     = R$ 75,00</v>
      </c>
    </row>
    <row r="271" spans="1:17" ht="15.75" customHeight="1" x14ac:dyDescent="0.3">
      <c r="A271" s="20" t="s">
        <v>2884</v>
      </c>
      <c r="B271">
        <f>I122</f>
        <v>150</v>
      </c>
      <c r="C271" t="s">
        <v>12797</v>
      </c>
      <c r="E271" s="85" t="s">
        <v>269</v>
      </c>
      <c r="F271" s="6">
        <v>270</v>
      </c>
      <c r="H271" s="4" t="s">
        <v>248</v>
      </c>
      <c r="I271" s="5">
        <f>F248</f>
        <v>85</v>
      </c>
      <c r="J271" s="5"/>
      <c r="K271" s="4" t="str">
        <f t="shared" si="249"/>
        <v>M20 c/aro - orig         = R$ 85,00</v>
      </c>
      <c r="M271" s="4" t="str">
        <f t="shared" si="250"/>
        <v>M20 c/aro - orig         = R$ 90,00</v>
      </c>
      <c r="O271" s="4" t="str">
        <f t="shared" si="251"/>
        <v>M20 c/aro - orig         = R$ 80,00</v>
      </c>
      <c r="Q271" s="4" t="str">
        <f t="shared" si="252"/>
        <v>M20 c/aro - orig         = R$ 95,00</v>
      </c>
    </row>
    <row r="272" spans="1:17" ht="15.75" customHeight="1" x14ac:dyDescent="0.3">
      <c r="A272" t="s">
        <v>12278</v>
      </c>
      <c r="B272">
        <f>I123</f>
        <v>170</v>
      </c>
      <c r="E272" s="85" t="s">
        <v>271</v>
      </c>
      <c r="F272" s="6">
        <v>75</v>
      </c>
      <c r="H272" s="4" t="s">
        <v>12882</v>
      </c>
      <c r="I272" s="5">
        <f>F249</f>
        <v>90</v>
      </c>
      <c r="J272" s="5"/>
      <c r="K272" s="4" t="str">
        <f t="shared" ref="K272" si="266">CONCATENATE(H272,I272,",00")</f>
        <v>M20 c/aro Naciona     = R$ 90,00</v>
      </c>
      <c r="M272" s="4" t="str">
        <f t="shared" ref="M272" si="267">CONCATENATE(H272,I272+5,",00")</f>
        <v>M20 c/aro Naciona     = R$ 95,00</v>
      </c>
      <c r="O272" s="4" t="str">
        <f t="shared" ref="O272" si="268">CONCATENATE(H272,I272-5,",00")</f>
        <v>M20 c/aro Naciona     = R$ 85,00</v>
      </c>
      <c r="Q272" s="4" t="str">
        <f t="shared" ref="Q272" si="269">CONCATENATE(H272,I272+10,",00")</f>
        <v>M20 c/aro Naciona     = R$ 100,00</v>
      </c>
    </row>
    <row r="273" spans="1:17" ht="15.75" customHeight="1" x14ac:dyDescent="0.3">
      <c r="A273" t="s">
        <v>12279</v>
      </c>
      <c r="B273">
        <f>I123</f>
        <v>170</v>
      </c>
      <c r="E273" s="85" t="s">
        <v>272</v>
      </c>
      <c r="F273" s="6">
        <v>80</v>
      </c>
      <c r="H273" s="4" t="s">
        <v>10997</v>
      </c>
      <c r="I273" s="5">
        <f>F250</f>
        <v>70</v>
      </c>
      <c r="J273" s="5"/>
      <c r="K273" s="4" t="str">
        <f t="shared" si="249"/>
        <v>M21s - incell70,00</v>
      </c>
      <c r="M273" s="4" t="str">
        <f t="shared" si="250"/>
        <v>M21s - incell75,00</v>
      </c>
      <c r="O273" s="4" t="str">
        <f t="shared" si="251"/>
        <v>M21s - incell65,00</v>
      </c>
      <c r="Q273" s="4" t="str">
        <f t="shared" si="252"/>
        <v>M21s - incell80,00</v>
      </c>
    </row>
    <row r="274" spans="1:17" ht="15.75" customHeight="1" x14ac:dyDescent="0.3">
      <c r="A274" t="s">
        <v>12280</v>
      </c>
      <c r="B274">
        <f>I123</f>
        <v>170</v>
      </c>
      <c r="E274" s="85" t="s">
        <v>273</v>
      </c>
      <c r="F274" s="6">
        <v>150</v>
      </c>
      <c r="H274" s="4" t="s">
        <v>251</v>
      </c>
      <c r="I274" s="5">
        <f>F250</f>
        <v>70</v>
      </c>
      <c r="J274" s="5"/>
      <c r="K274" s="4" t="str">
        <f t="shared" si="249"/>
        <v>M30/M30s/M31-incell = R$ 70,00</v>
      </c>
      <c r="M274" s="4" t="str">
        <f t="shared" si="250"/>
        <v>M30/M30s/M31-incell = R$ 75,00</v>
      </c>
      <c r="O274" s="4" t="str">
        <f t="shared" si="251"/>
        <v>M30/M30s/M31-incell = R$ 65,00</v>
      </c>
      <c r="Q274" s="4" t="str">
        <f t="shared" si="252"/>
        <v>M30/M30s/M31-incell = R$ 80,00</v>
      </c>
    </row>
    <row r="275" spans="1:17" ht="15.75" customHeight="1" x14ac:dyDescent="0.3">
      <c r="A275" t="s">
        <v>12281</v>
      </c>
      <c r="B275">
        <f>I123</f>
        <v>170</v>
      </c>
      <c r="E275" s="85" t="s">
        <v>274</v>
      </c>
      <c r="F275" s="6">
        <v>190</v>
      </c>
      <c r="H275" s="4" t="s">
        <v>252</v>
      </c>
      <c r="I275" s="5">
        <f>F251</f>
        <v>85</v>
      </c>
      <c r="J275" s="5"/>
      <c r="K275" s="4" t="str">
        <f t="shared" si="249"/>
        <v>M30 c/aro- incell = R$ 85,00</v>
      </c>
      <c r="M275" s="4" t="str">
        <f t="shared" si="250"/>
        <v>M30 c/aro- incell = R$ 90,00</v>
      </c>
      <c r="O275" s="4" t="str">
        <f t="shared" si="251"/>
        <v>M30 c/aro- incell = R$ 80,00</v>
      </c>
      <c r="Q275" s="4" t="str">
        <f t="shared" si="252"/>
        <v>M30 c/aro- incell = R$ 95,00</v>
      </c>
    </row>
    <row r="276" spans="1:17" ht="15.75" customHeight="1" x14ac:dyDescent="0.3">
      <c r="A276" t="s">
        <v>2044</v>
      </c>
      <c r="B276">
        <f>I124</f>
        <v>75</v>
      </c>
      <c r="C276" t="s">
        <v>12798</v>
      </c>
      <c r="E276" s="85" t="s">
        <v>11373</v>
      </c>
      <c r="F276" s="6">
        <v>230</v>
      </c>
      <c r="H276" s="4" t="s">
        <v>253</v>
      </c>
      <c r="I276" s="5">
        <f>F251</f>
        <v>85</v>
      </c>
      <c r="J276" s="5"/>
      <c r="K276" s="4" t="str">
        <f t="shared" si="249"/>
        <v>M30s/M31 c/aro-incell = R$ 85,00</v>
      </c>
      <c r="M276" s="4" t="str">
        <f t="shared" si="250"/>
        <v>M30s/M31 c/aro-incell = R$ 90,00</v>
      </c>
      <c r="O276" s="4" t="str">
        <f t="shared" si="251"/>
        <v>M30s/M31 c/aro-incell = R$ 80,00</v>
      </c>
      <c r="Q276" s="4" t="str">
        <f t="shared" si="252"/>
        <v>M30s/M31 c/aro-incell = R$ 95,00</v>
      </c>
    </row>
    <row r="277" spans="1:17" ht="15.75" customHeight="1" x14ac:dyDescent="0.3">
      <c r="A277" t="s">
        <v>1880</v>
      </c>
      <c r="B277">
        <f>I125</f>
        <v>85</v>
      </c>
      <c r="C277" t="s">
        <v>12799</v>
      </c>
      <c r="E277" s="85" t="s">
        <v>11374</v>
      </c>
      <c r="F277" s="6">
        <v>240</v>
      </c>
      <c r="H277" s="4" t="s">
        <v>254</v>
      </c>
      <c r="I277" s="5">
        <f>F252</f>
        <v>140</v>
      </c>
      <c r="J277" s="5"/>
      <c r="K277" s="4" t="str">
        <f t="shared" si="249"/>
        <v>M21s - original    = R$ 140,00</v>
      </c>
      <c r="M277" s="4" t="str">
        <f t="shared" si="250"/>
        <v>M21s - original    = R$ 145,00</v>
      </c>
      <c r="O277" s="4" t="str">
        <f t="shared" si="251"/>
        <v>M21s - original    = R$ 135,00</v>
      </c>
      <c r="Q277" s="4" t="str">
        <f t="shared" si="252"/>
        <v>M21s - original    = R$ 150,00</v>
      </c>
    </row>
    <row r="278" spans="1:17" ht="15.75" customHeight="1" x14ac:dyDescent="0.3">
      <c r="A278" t="s">
        <v>10548</v>
      </c>
      <c r="B278">
        <f>I126</f>
        <v>95</v>
      </c>
      <c r="C278" t="s">
        <v>12800</v>
      </c>
      <c r="E278" s="85" t="s">
        <v>277</v>
      </c>
      <c r="F278" s="6">
        <v>95</v>
      </c>
      <c r="H278" s="4" t="s">
        <v>256</v>
      </c>
      <c r="I278" s="5">
        <f>F252</f>
        <v>140</v>
      </c>
      <c r="J278" s="5"/>
      <c r="K278" s="4" t="str">
        <f t="shared" si="249"/>
        <v>M30/M30s/M31- orig  = R$ 140,00</v>
      </c>
      <c r="M278" s="4" t="str">
        <f t="shared" si="250"/>
        <v>M30/M30s/M31- orig  = R$ 145,00</v>
      </c>
      <c r="O278" s="4" t="str">
        <f t="shared" si="251"/>
        <v>M30/M30s/M31- orig  = R$ 135,00</v>
      </c>
      <c r="Q278" s="4" t="str">
        <f t="shared" si="252"/>
        <v>M30/M30s/M31- orig  = R$ 150,00</v>
      </c>
    </row>
    <row r="279" spans="1:17" ht="15.75" customHeight="1" x14ac:dyDescent="0.3">
      <c r="A279" t="s">
        <v>10549</v>
      </c>
      <c r="B279">
        <f>I126</f>
        <v>95</v>
      </c>
      <c r="C279" t="s">
        <v>12800</v>
      </c>
      <c r="E279" s="85" t="s">
        <v>279</v>
      </c>
      <c r="F279" s="6">
        <v>210</v>
      </c>
      <c r="H279" s="4" t="s">
        <v>258</v>
      </c>
      <c r="I279" s="5">
        <f>F253</f>
        <v>160</v>
      </c>
      <c r="J279" s="5"/>
      <c r="K279" s="4" t="str">
        <f t="shared" si="249"/>
        <v>M30 c/aro - orig  = R$ 160,00</v>
      </c>
      <c r="M279" s="4" t="str">
        <f t="shared" si="250"/>
        <v>M30 c/aro - orig  = R$ 165,00</v>
      </c>
      <c r="O279" s="4" t="str">
        <f t="shared" si="251"/>
        <v>M30 c/aro - orig  = R$ 155,00</v>
      </c>
      <c r="Q279" s="4" t="str">
        <f t="shared" si="252"/>
        <v>M30 c/aro - orig  = R$ 170,00</v>
      </c>
    </row>
    <row r="280" spans="1:17" ht="15.75" customHeight="1" x14ac:dyDescent="0.3">
      <c r="A280" t="s">
        <v>11454</v>
      </c>
      <c r="B280">
        <f>I127</f>
        <v>105</v>
      </c>
      <c r="E280" s="85" t="s">
        <v>11376</v>
      </c>
      <c r="F280" s="6">
        <v>270</v>
      </c>
      <c r="H280" s="4" t="s">
        <v>260</v>
      </c>
      <c r="I280" s="5">
        <f>F253</f>
        <v>160</v>
      </c>
      <c r="J280" s="5"/>
      <c r="K280" s="4" t="str">
        <f t="shared" si="249"/>
        <v>M30s/M31 c/aro - orig = R$ 160,00</v>
      </c>
      <c r="M280" s="4" t="str">
        <f t="shared" si="250"/>
        <v>M30s/M31 c/aro - orig = R$ 165,00</v>
      </c>
      <c r="O280" s="4" t="str">
        <f t="shared" si="251"/>
        <v>M30s/M31 c/aro - orig = R$ 155,00</v>
      </c>
      <c r="Q280" s="4" t="str">
        <f t="shared" si="252"/>
        <v>M30s/M31 c/aro - orig = R$ 170,00</v>
      </c>
    </row>
    <row r="281" spans="1:17" ht="15.75" customHeight="1" x14ac:dyDescent="0.3">
      <c r="A281" t="s">
        <v>11455</v>
      </c>
      <c r="B281">
        <f>I127</f>
        <v>105</v>
      </c>
      <c r="E281" s="85" t="s">
        <v>11377</v>
      </c>
      <c r="F281" s="6">
        <v>280</v>
      </c>
      <c r="G281" s="4"/>
      <c r="H281" s="4" t="s">
        <v>262</v>
      </c>
      <c r="I281" s="5">
        <f>F251</f>
        <v>85</v>
      </c>
      <c r="J281" s="5"/>
      <c r="K281" s="4" t="str">
        <f t="shared" si="249"/>
        <v>M21s c/aro - incell        = R$ 85,00</v>
      </c>
      <c r="M281" s="4" t="str">
        <f t="shared" si="250"/>
        <v>M21s c/aro - incell        = R$ 90,00</v>
      </c>
      <c r="O281" s="4" t="str">
        <f t="shared" si="251"/>
        <v>M21s c/aro - incell        = R$ 80,00</v>
      </c>
      <c r="Q281" s="4" t="str">
        <f t="shared" si="252"/>
        <v>M21s c/aro - incell        = R$ 95,00</v>
      </c>
    </row>
    <row r="282" spans="1:17" ht="15.75" customHeight="1" x14ac:dyDescent="0.3">
      <c r="A282" t="s">
        <v>5076</v>
      </c>
      <c r="B282">
        <f>I128</f>
        <v>65</v>
      </c>
      <c r="C282" t="s">
        <v>12801</v>
      </c>
      <c r="E282" s="85" t="s">
        <v>11997</v>
      </c>
      <c r="F282" s="16">
        <v>120</v>
      </c>
      <c r="H282" s="4" t="s">
        <v>263</v>
      </c>
      <c r="I282" s="5">
        <f t="shared" ref="I282:J287" si="270">F253</f>
        <v>160</v>
      </c>
      <c r="J282" s="5"/>
      <c r="K282" s="4" t="str">
        <f t="shared" si="249"/>
        <v>M21s c/aro - original    = R$ 160,00</v>
      </c>
      <c r="M282" s="4" t="str">
        <f t="shared" si="250"/>
        <v>M21s c/aro - original    = R$ 165,00</v>
      </c>
      <c r="O282" s="4" t="str">
        <f t="shared" si="251"/>
        <v>M21s c/aro - original    = R$ 155,00</v>
      </c>
      <c r="Q282" s="4" t="str">
        <f t="shared" si="252"/>
        <v>M21s c/aro - original    = R$ 170,00</v>
      </c>
    </row>
    <row r="283" spans="1:17" ht="15.75" customHeight="1" x14ac:dyDescent="0.3">
      <c r="A283" t="s">
        <v>2045</v>
      </c>
      <c r="B283">
        <f>I128</f>
        <v>65</v>
      </c>
      <c r="C283" t="s">
        <v>12801</v>
      </c>
      <c r="E283" s="85" t="s">
        <v>11998</v>
      </c>
      <c r="F283" s="16">
        <v>220</v>
      </c>
      <c r="H283" s="4" t="s">
        <v>264</v>
      </c>
      <c r="I283" s="5">
        <f t="shared" si="270"/>
        <v>85</v>
      </c>
      <c r="J283" s="5"/>
      <c r="K283" s="4" t="str">
        <f t="shared" si="249"/>
        <v>M22 - incell = R$ 85,00</v>
      </c>
      <c r="M283" s="4" t="str">
        <f t="shared" si="250"/>
        <v>M22 - incell = R$ 90,00</v>
      </c>
      <c r="O283" s="4" t="str">
        <f t="shared" si="251"/>
        <v>M22 - incell = R$ 80,00</v>
      </c>
      <c r="Q283" s="4" t="str">
        <f t="shared" si="252"/>
        <v>M22 - incell = R$ 95,00</v>
      </c>
    </row>
    <row r="284" spans="1:17" ht="15.75" customHeight="1" x14ac:dyDescent="0.3">
      <c r="A284" t="s">
        <v>1881</v>
      </c>
      <c r="B284">
        <f>I129</f>
        <v>75</v>
      </c>
      <c r="C284" t="s">
        <v>12802</v>
      </c>
      <c r="E284" s="85" t="s">
        <v>281</v>
      </c>
      <c r="F284" s="6">
        <v>100</v>
      </c>
      <c r="G284" s="4"/>
      <c r="H284" s="4" t="s">
        <v>266</v>
      </c>
      <c r="I284" s="5">
        <f t="shared" si="270"/>
        <v>90</v>
      </c>
      <c r="J284" s="5"/>
      <c r="K284" s="4" t="str">
        <f t="shared" si="249"/>
        <v>M22 - incell c/aro    = R$ 90,00</v>
      </c>
      <c r="M284" s="4" t="str">
        <f t="shared" si="250"/>
        <v>M22 - incell c/aro    = R$ 95,00</v>
      </c>
      <c r="O284" s="4" t="str">
        <f t="shared" si="251"/>
        <v>M22 - incell c/aro    = R$ 85,00</v>
      </c>
      <c r="Q284" s="4" t="str">
        <f t="shared" si="252"/>
        <v>M22 - incell c/aro    = R$ 100,00</v>
      </c>
    </row>
    <row r="285" spans="1:17" ht="15.75" customHeight="1" x14ac:dyDescent="0.3">
      <c r="A285" t="s">
        <v>10422</v>
      </c>
      <c r="B285">
        <f>I129</f>
        <v>75</v>
      </c>
      <c r="C285" t="s">
        <v>12802</v>
      </c>
      <c r="E285" s="85" t="s">
        <v>284</v>
      </c>
      <c r="F285" s="6">
        <v>190</v>
      </c>
      <c r="G285" s="4"/>
      <c r="H285" s="4" t="s">
        <v>268</v>
      </c>
      <c r="I285" s="5">
        <f t="shared" si="270"/>
        <v>150</v>
      </c>
      <c r="J285" s="5"/>
      <c r="K285" s="4" t="str">
        <f t="shared" si="249"/>
        <v>M22 - original         = R$ 150,00</v>
      </c>
      <c r="M285" s="4" t="str">
        <f t="shared" si="250"/>
        <v>M22 - original         = R$ 155,00</v>
      </c>
      <c r="O285" s="4" t="str">
        <f t="shared" si="251"/>
        <v>M22 - original         = R$ 145,00</v>
      </c>
      <c r="Q285" s="4" t="str">
        <f t="shared" si="252"/>
        <v>M22 - original         = R$ 160,00</v>
      </c>
    </row>
    <row r="286" spans="1:17" ht="15.75" customHeight="1" x14ac:dyDescent="0.3">
      <c r="A286" t="s">
        <v>2352</v>
      </c>
      <c r="B286">
        <f>I130</f>
        <v>85</v>
      </c>
      <c r="C286" t="s">
        <v>12803</v>
      </c>
      <c r="E286" s="85" t="s">
        <v>286</v>
      </c>
      <c r="F286" s="6">
        <v>210</v>
      </c>
      <c r="H286" s="4" t="s">
        <v>270</v>
      </c>
      <c r="I286" s="5">
        <f t="shared" si="270"/>
        <v>160</v>
      </c>
      <c r="J286" s="5"/>
      <c r="K286" s="4" t="str">
        <f t="shared" si="249"/>
        <v>M22 - original c/aro  = R$ 160,00</v>
      </c>
      <c r="M286" s="4" t="str">
        <f t="shared" si="250"/>
        <v>M22 - original c/aro  = R$ 165,00</v>
      </c>
      <c r="O286" s="4" t="str">
        <f t="shared" si="251"/>
        <v>M22 - original c/aro  = R$ 155,00</v>
      </c>
      <c r="Q286" s="4" t="str">
        <f t="shared" si="252"/>
        <v>M22 - original c/aro  = R$ 170,00</v>
      </c>
    </row>
    <row r="287" spans="1:17" ht="15.75" customHeight="1" x14ac:dyDescent="0.3">
      <c r="A287" t="s">
        <v>2513</v>
      </c>
      <c r="B287">
        <f>I130</f>
        <v>85</v>
      </c>
      <c r="C287" t="s">
        <v>12803</v>
      </c>
      <c r="E287" s="85" t="s">
        <v>290</v>
      </c>
      <c r="F287" s="6">
        <v>50</v>
      </c>
      <c r="H287" s="4" t="s">
        <v>11353</v>
      </c>
      <c r="I287" s="5">
        <f t="shared" si="270"/>
        <v>205</v>
      </c>
      <c r="J287" s="5"/>
      <c r="K287" s="4" t="str">
        <f t="shared" si="249"/>
        <v>M22 c/aro Nac Diamonds = 205,00</v>
      </c>
      <c r="M287" s="4" t="str">
        <f t="shared" si="250"/>
        <v>M22 c/aro Nac Diamonds = 210,00</v>
      </c>
      <c r="O287" s="4" t="str">
        <f t="shared" si="251"/>
        <v>M22 c/aro Nac Diamonds = 200,00</v>
      </c>
      <c r="Q287" s="4" t="str">
        <f t="shared" si="252"/>
        <v>M22 c/aro Nac Diamonds = 215,00</v>
      </c>
    </row>
    <row r="288" spans="1:17" ht="15.75" customHeight="1" x14ac:dyDescent="0.3">
      <c r="A288" t="s">
        <v>11456</v>
      </c>
      <c r="B288">
        <f>I131</f>
        <v>95</v>
      </c>
      <c r="E288" s="85" t="s">
        <v>292</v>
      </c>
      <c r="F288" s="6">
        <v>55</v>
      </c>
      <c r="H288" s="4" t="s">
        <v>11102</v>
      </c>
      <c r="I288" s="5">
        <f>F124</f>
        <v>65</v>
      </c>
      <c r="J288" s="5"/>
      <c r="K288" s="4" t="str">
        <f t="shared" si="249"/>
        <v>M23 5G - original  = R$ 65,00</v>
      </c>
      <c r="M288" s="4" t="str">
        <f t="shared" si="250"/>
        <v>M23 5G - original  = R$ 70,00</v>
      </c>
      <c r="O288" s="4" t="str">
        <f t="shared" si="251"/>
        <v>M23 5G - original  = R$ 60,00</v>
      </c>
      <c r="Q288" s="4" t="str">
        <f t="shared" si="252"/>
        <v>M23 5G - original  = R$ 75,00</v>
      </c>
    </row>
    <row r="289" spans="1:17" ht="15.75" customHeight="1" x14ac:dyDescent="0.3">
      <c r="A289" t="s">
        <v>11457</v>
      </c>
      <c r="B289">
        <f>I131</f>
        <v>95</v>
      </c>
      <c r="E289" s="85" t="s">
        <v>294</v>
      </c>
      <c r="F289" s="6">
        <v>100</v>
      </c>
      <c r="H289" s="4" t="s">
        <v>11356</v>
      </c>
      <c r="I289" s="5">
        <f>F259</f>
        <v>100</v>
      </c>
      <c r="J289" s="5"/>
      <c r="K289" s="4" t="str">
        <f>CONCATENATE(H289,I289,",00")</f>
        <v>M23 5G c/aro Nacional = R$ 100,00</v>
      </c>
      <c r="M289" s="4" t="str">
        <f>CONCATENATE(H289,I289+5,",00")</f>
        <v>M23 5G c/aro Nacional = R$ 105,00</v>
      </c>
      <c r="O289" s="4" t="str">
        <f>CONCATENATE(H289,I289-5,",00")</f>
        <v>M23 5G c/aro Nacional = R$ 95,00</v>
      </c>
      <c r="Q289" s="4" t="str">
        <f>CONCATENATE(H289,I289+10,",00")</f>
        <v>M23 5G c/aro Nacional = R$ 110,00</v>
      </c>
    </row>
    <row r="290" spans="1:17" ht="15.75" customHeight="1" x14ac:dyDescent="0.3">
      <c r="A290" t="s">
        <v>11458</v>
      </c>
      <c r="B290">
        <f>I131</f>
        <v>95</v>
      </c>
      <c r="E290" s="86" t="s">
        <v>296</v>
      </c>
      <c r="F290" s="16">
        <v>60</v>
      </c>
      <c r="H290" s="4" t="s">
        <v>11357</v>
      </c>
      <c r="I290" s="5">
        <f>F260</f>
        <v>110</v>
      </c>
      <c r="J290" s="5"/>
      <c r="K290" s="4" t="str">
        <f>CONCATENATE(H290,I290,",00")</f>
        <v>M23 5G c/aro Nac Diamonds = 110,00</v>
      </c>
      <c r="M290" s="4" t="str">
        <f>CONCATENATE(H290,I290+5,",00")</f>
        <v>M23 5G c/aro Nac Diamonds = 115,00</v>
      </c>
      <c r="O290" s="4" t="str">
        <f>CONCATENATE(H290,I290-5,",00")</f>
        <v>M23 5G c/aro Nac Diamonds = 105,00</v>
      </c>
      <c r="Q290" s="4" t="str">
        <f>CONCATENATE(H290,I290+10,",00")</f>
        <v>M23 5G c/aro Nac Diamonds = 120,00</v>
      </c>
    </row>
    <row r="291" spans="1:17" ht="15.75" customHeight="1" x14ac:dyDescent="0.3">
      <c r="A291" t="s">
        <v>11459</v>
      </c>
      <c r="B291">
        <f>I131</f>
        <v>95</v>
      </c>
      <c r="E291" s="85" t="s">
        <v>298</v>
      </c>
      <c r="F291" s="6">
        <v>60</v>
      </c>
      <c r="H291" s="4" t="s">
        <v>275</v>
      </c>
      <c r="I291" s="5">
        <f>F261</f>
        <v>90</v>
      </c>
      <c r="J291" s="5"/>
      <c r="K291" s="4" t="str">
        <f>CONCATENATE(H291,I291,",00")</f>
        <v>M32 - incell c/aro     = R$ 90,00</v>
      </c>
      <c r="M291" s="4" t="str">
        <f>CONCATENATE(H291,I291+5,",00")</f>
        <v>M32 - incell c/aro     = R$ 95,00</v>
      </c>
      <c r="O291" s="4" t="str">
        <f>CONCATENATE(H291,I291-5,",00")</f>
        <v>M32 - incell c/aro     = R$ 85,00</v>
      </c>
      <c r="Q291" s="4" t="str">
        <f>CONCATENATE(H291,I291+10,",00")</f>
        <v>M32 - incell c/aro     = R$ 100,00</v>
      </c>
    </row>
    <row r="292" spans="1:17" ht="15.75" customHeight="1" x14ac:dyDescent="0.3">
      <c r="A292" t="s">
        <v>5077</v>
      </c>
      <c r="B292">
        <f>I132</f>
        <v>65</v>
      </c>
      <c r="C292" t="s">
        <v>12804</v>
      </c>
      <c r="E292" s="85" t="s">
        <v>300</v>
      </c>
      <c r="F292" s="6">
        <v>55</v>
      </c>
      <c r="H292" s="4" t="s">
        <v>276</v>
      </c>
      <c r="I292" s="5">
        <f>F262</f>
        <v>160</v>
      </c>
      <c r="J292" s="5"/>
      <c r="K292" s="4" t="str">
        <f>CONCATENATE(H292,I292,",00")</f>
        <v>M32 - original c/aro  = R$ 160,00</v>
      </c>
      <c r="M292" s="4" t="str">
        <f>CONCATENATE(H292,I292+5,",00")</f>
        <v>M32 - original c/aro  = R$ 165,00</v>
      </c>
      <c r="O292" s="4" t="str">
        <f>CONCATENATE(H292,I292-5,",00")</f>
        <v>M32 - original c/aro  = R$ 155,00</v>
      </c>
      <c r="Q292" s="4" t="str">
        <f>CONCATENATE(H292,I292+10,",00")</f>
        <v>M32 - original c/aro  = R$ 170,00</v>
      </c>
    </row>
    <row r="293" spans="1:17" ht="15.75" customHeight="1" x14ac:dyDescent="0.3">
      <c r="A293" t="s">
        <v>2046</v>
      </c>
      <c r="B293">
        <f>I132</f>
        <v>65</v>
      </c>
      <c r="C293" t="s">
        <v>12804</v>
      </c>
      <c r="E293" s="85" t="s">
        <v>302</v>
      </c>
      <c r="F293" s="6">
        <v>60</v>
      </c>
      <c r="H293" s="4" t="s">
        <v>12494</v>
      </c>
      <c r="I293" s="5">
        <f>F263</f>
        <v>190</v>
      </c>
      <c r="J293" s="5"/>
      <c r="K293" s="4" t="str">
        <f t="shared" ref="K293" si="271">CONCATENATE(H293,I293,",00")</f>
        <v>M32 c/aro Nac Diamonds = 190,00</v>
      </c>
      <c r="M293" s="4" t="str">
        <f t="shared" ref="M293" si="272">CONCATENATE(H293,I293+5,",00")</f>
        <v>M32 c/aro Nac Diamonds = 195,00</v>
      </c>
      <c r="O293" s="4" t="str">
        <f t="shared" ref="O293" si="273">CONCATENATE(H293,I293-5,",00")</f>
        <v>M32 c/aro Nac Diamonds = 185,00</v>
      </c>
      <c r="Q293" s="4" t="str">
        <f t="shared" ref="Q293" si="274">CONCATENATE(H293,I293+10,",00")</f>
        <v>M32 c/aro Nac Diamonds = 200,00</v>
      </c>
    </row>
    <row r="294" spans="1:17" ht="15.75" customHeight="1" x14ac:dyDescent="0.3">
      <c r="A294" t="s">
        <v>1882</v>
      </c>
      <c r="B294">
        <f>I133</f>
        <v>75</v>
      </c>
      <c r="C294" t="s">
        <v>12805</v>
      </c>
      <c r="E294" s="85" t="s">
        <v>304</v>
      </c>
      <c r="F294" s="6">
        <v>65</v>
      </c>
      <c r="H294" s="4" t="s">
        <v>974</v>
      </c>
      <c r="I294" s="5">
        <f>F129</f>
        <v>75</v>
      </c>
      <c r="J294" s="5"/>
      <c r="K294" s="4" t="str">
        <f t="shared" ref="K294" si="275">CONCATENATE(H294,I294,",00")</f>
        <v>M34 - incell      = R$ 75,00</v>
      </c>
      <c r="M294" s="4" t="str">
        <f t="shared" ref="M294" si="276">CONCATENATE(H294,I294+5,",00")</f>
        <v>M34 - incell      = R$ 80,00</v>
      </c>
      <c r="O294" s="4" t="str">
        <f t="shared" ref="O294" si="277">CONCATENATE(H294,I294-5,",00")</f>
        <v>M34 - incell      = R$ 70,00</v>
      </c>
      <c r="Q294" s="4" t="str">
        <f t="shared" ref="Q294" si="278">CONCATENATE(H294,I294+10,",00")</f>
        <v>M34 - incell      = R$ 85,00</v>
      </c>
    </row>
    <row r="295" spans="1:17" ht="15.75" customHeight="1" x14ac:dyDescent="0.3">
      <c r="A295" t="s">
        <v>10423</v>
      </c>
      <c r="B295">
        <f>I133</f>
        <v>75</v>
      </c>
      <c r="C295" t="s">
        <v>12805</v>
      </c>
      <c r="E295" s="85" t="s">
        <v>306</v>
      </c>
      <c r="F295" s="6">
        <v>115</v>
      </c>
      <c r="H295" s="4" t="s">
        <v>278</v>
      </c>
      <c r="I295" s="5">
        <f>F264</f>
        <v>100</v>
      </c>
      <c r="J295" s="5"/>
      <c r="K295" s="4" t="str">
        <f>CONCATENATE(H295,I295,",00")</f>
        <v>M34 - incell c/aro     = R$ 100,00</v>
      </c>
      <c r="M295" s="4" t="str">
        <f>CONCATENATE(H295,I295+5,",00")</f>
        <v>M34 - incell c/aro     = R$ 105,00</v>
      </c>
      <c r="O295" s="4" t="str">
        <f>CONCATENATE(H295,I295-5,",00")</f>
        <v>M34 - incell c/aro     = R$ 95,00</v>
      </c>
      <c r="Q295" s="4" t="str">
        <f>CONCATENATE(H295,I295+10,",00")</f>
        <v>M34 - incell c/aro     = R$ 110,00</v>
      </c>
    </row>
    <row r="296" spans="1:17" ht="15.75" customHeight="1" x14ac:dyDescent="0.3">
      <c r="A296" t="s">
        <v>2353</v>
      </c>
      <c r="B296">
        <f>I134</f>
        <v>85</v>
      </c>
      <c r="C296" t="s">
        <v>12806</v>
      </c>
      <c r="E296" s="85" t="s">
        <v>308</v>
      </c>
      <c r="F296" s="6">
        <v>60</v>
      </c>
      <c r="H296" s="4" t="s">
        <v>10998</v>
      </c>
      <c r="I296" s="5">
        <f>F131</f>
        <v>160</v>
      </c>
      <c r="J296" s="5"/>
      <c r="K296" s="4" t="str">
        <f t="shared" ref="K296" si="279">CONCATENATE(H296,I296,",00")</f>
        <v>M34 - original  = R$ 160,00</v>
      </c>
      <c r="M296" s="4" t="str">
        <f t="shared" ref="M296" si="280">CONCATENATE(H296,I296+5,",00")</f>
        <v>M34 - original  = R$ 165,00</v>
      </c>
      <c r="O296" s="4" t="str">
        <f t="shared" ref="O296" si="281">CONCATENATE(H296,I296-5,",00")</f>
        <v>M34 - original  = R$ 155,00</v>
      </c>
      <c r="Q296" s="4" t="str">
        <f t="shared" ref="Q296" si="282">CONCATENATE(H296,I296+10,",00")</f>
        <v>M34 - original  = R$ 170,00</v>
      </c>
    </row>
    <row r="297" spans="1:17" ht="15.75" customHeight="1" x14ac:dyDescent="0.3">
      <c r="A297" t="s">
        <v>2514</v>
      </c>
      <c r="B297">
        <f>I134</f>
        <v>85</v>
      </c>
      <c r="C297" t="s">
        <v>12806</v>
      </c>
      <c r="E297" s="85" t="s">
        <v>309</v>
      </c>
      <c r="F297" s="6">
        <v>155</v>
      </c>
      <c r="H297" s="4" t="s">
        <v>280</v>
      </c>
      <c r="I297" s="5">
        <f t="shared" ref="I297:J316" si="283">F265</f>
        <v>180</v>
      </c>
      <c r="J297" s="5"/>
      <c r="K297" s="4" t="str">
        <f>CONCATENATE(H297,I297,",00")</f>
        <v>M34 - original c/aro  = R$ 180,00</v>
      </c>
      <c r="M297" s="4" t="str">
        <f>CONCATENATE(H297,I297+5,",00")</f>
        <v>M34 - original c/aro  = R$ 185,00</v>
      </c>
      <c r="O297" s="4" t="str">
        <f>CONCATENATE(H297,I297-5,",00")</f>
        <v>M34 - original c/aro  = R$ 175,00</v>
      </c>
      <c r="Q297" s="4" t="str">
        <f>CONCATENATE(H297,I297+10,",00")</f>
        <v>M34 - original c/aro  = R$ 190,00</v>
      </c>
    </row>
    <row r="298" spans="1:17" ht="15.75" customHeight="1" x14ac:dyDescent="0.3">
      <c r="A298" t="s">
        <v>11460</v>
      </c>
      <c r="B298">
        <f>I135</f>
        <v>95</v>
      </c>
      <c r="E298" s="85" t="s">
        <v>310</v>
      </c>
      <c r="F298" s="6">
        <v>60</v>
      </c>
      <c r="H298" s="4" t="s">
        <v>1853</v>
      </c>
      <c r="I298" s="5">
        <f t="shared" si="283"/>
        <v>290</v>
      </c>
      <c r="J298" s="5"/>
      <c r="K298" s="4" t="str">
        <f t="shared" ref="K298" si="284">CONCATENATE(H298,I298,",00")</f>
        <v>M34 c/aro Nacional = R$ 290,00</v>
      </c>
      <c r="M298" s="4" t="str">
        <f t="shared" ref="M298" si="285">CONCATENATE(H298,I298+5,",00")</f>
        <v>M34 c/aro Nacional = R$ 295,00</v>
      </c>
      <c r="O298" s="4" t="str">
        <f t="shared" ref="O298" si="286">CONCATENATE(H298,I298-5,",00")</f>
        <v>M34 c/aro Nacional = R$ 285,00</v>
      </c>
      <c r="Q298" s="4" t="str">
        <f t="shared" ref="Q298" si="287">CONCATENATE(H298,I298+10,",00")</f>
        <v>M34 c/aro Nacional = R$ 300,00</v>
      </c>
    </row>
    <row r="299" spans="1:17" ht="15.75" customHeight="1" x14ac:dyDescent="0.3">
      <c r="A299" t="s">
        <v>11461</v>
      </c>
      <c r="B299">
        <f>I135</f>
        <v>95</v>
      </c>
      <c r="E299" s="85" t="s">
        <v>312</v>
      </c>
      <c r="F299" s="6">
        <v>115</v>
      </c>
      <c r="H299" s="4" t="s">
        <v>11372</v>
      </c>
      <c r="I299" s="5">
        <f t="shared" si="283"/>
        <v>295</v>
      </c>
      <c r="J299" s="5"/>
      <c r="K299" s="4" t="str">
        <f t="shared" ref="K299" si="288">CONCATENATE(H299,I299,",00")</f>
        <v>M34 c/aro Nac Diamonds = 295,00</v>
      </c>
      <c r="M299" s="4" t="str">
        <f t="shared" ref="M299" si="289">CONCATENATE(H299,I299+5,",00")</f>
        <v>M34 c/aro Nac Diamonds = 300,00</v>
      </c>
      <c r="O299" s="4" t="str">
        <f t="shared" ref="O299" si="290">CONCATENATE(H299,I299-5,",00")</f>
        <v>M34 c/aro Nac Diamonds = 290,00</v>
      </c>
      <c r="Q299" s="4" t="str">
        <f t="shared" ref="Q299" si="291">CONCATENATE(H299,I299+10,",00")</f>
        <v>M34 c/aro Nac Diamonds = 305,00</v>
      </c>
    </row>
    <row r="300" spans="1:17" ht="15.75" customHeight="1" x14ac:dyDescent="0.3">
      <c r="A300" t="s">
        <v>11462</v>
      </c>
      <c r="B300">
        <f>I135</f>
        <v>95</v>
      </c>
      <c r="E300" s="85" t="s">
        <v>314</v>
      </c>
      <c r="F300" s="6">
        <v>60</v>
      </c>
      <c r="H300" s="4" t="s">
        <v>11170</v>
      </c>
      <c r="I300" s="5">
        <f t="shared" si="283"/>
        <v>80</v>
      </c>
      <c r="J300" s="5"/>
      <c r="K300" s="4" t="str">
        <f t="shared" ref="K300:K314" si="292">CONCATENATE(H300,I300,",00")</f>
        <v>M51 - incell c/aro = R$ 80,00</v>
      </c>
      <c r="M300" s="4" t="str">
        <f t="shared" ref="M300:M314" si="293">CONCATENATE(H300,I300+5,",00")</f>
        <v>M51 - incell c/aro = R$ 85,00</v>
      </c>
      <c r="O300" s="4" t="str">
        <f t="shared" ref="O300:O314" si="294">CONCATENATE(H300,I300-5,",00")</f>
        <v>M51 - incell c/aro = R$ 75,00</v>
      </c>
      <c r="Q300" s="4" t="str">
        <f t="shared" ref="Q300:Q314" si="295">CONCATENATE(H300,I300+10,",00")</f>
        <v>M51 - incell c/aro = R$ 90,00</v>
      </c>
    </row>
    <row r="301" spans="1:17" ht="15.75" customHeight="1" x14ac:dyDescent="0.3">
      <c r="A301" t="s">
        <v>11463</v>
      </c>
      <c r="B301">
        <f>I135</f>
        <v>95</v>
      </c>
      <c r="E301" s="85" t="s">
        <v>316</v>
      </c>
      <c r="F301" s="6">
        <v>65</v>
      </c>
      <c r="H301" s="4" t="s">
        <v>282</v>
      </c>
      <c r="I301" s="5">
        <f t="shared" si="283"/>
        <v>160</v>
      </c>
      <c r="J301" s="5"/>
      <c r="K301" s="4" t="str">
        <f t="shared" si="292"/>
        <v>M51 original  = R$ 160,00</v>
      </c>
      <c r="M301" s="4" t="str">
        <f t="shared" si="293"/>
        <v>M51 original  = R$ 165,00</v>
      </c>
      <c r="O301" s="4" t="str">
        <f t="shared" si="294"/>
        <v>M51 original  = R$ 155,00</v>
      </c>
      <c r="Q301" s="4" t="str">
        <f t="shared" si="295"/>
        <v>M51 original  = R$ 170,00</v>
      </c>
    </row>
    <row r="302" spans="1:17" ht="15.75" customHeight="1" x14ac:dyDescent="0.3">
      <c r="A302" t="s">
        <v>2808</v>
      </c>
      <c r="B302">
        <f>I136</f>
        <v>75</v>
      </c>
      <c r="C302" t="s">
        <v>12807</v>
      </c>
      <c r="E302" s="85" t="s">
        <v>318</v>
      </c>
      <c r="F302" s="6">
        <v>60</v>
      </c>
      <c r="H302" s="4" t="s">
        <v>283</v>
      </c>
      <c r="I302" s="5">
        <f t="shared" si="283"/>
        <v>200</v>
      </c>
      <c r="J302" s="5"/>
      <c r="K302" s="4" t="str">
        <f t="shared" si="292"/>
        <v>M51 c/aro-orig (T/P)=R$ 200,00</v>
      </c>
      <c r="M302" s="4" t="str">
        <f t="shared" si="293"/>
        <v>M51 c/aro-orig (T/P)=R$ 205,00</v>
      </c>
      <c r="O302" s="4" t="str">
        <f t="shared" si="294"/>
        <v>M51 c/aro-orig (T/P)=R$ 195,00</v>
      </c>
      <c r="Q302" s="4" t="str">
        <f t="shared" si="295"/>
        <v>M51 c/aro-orig (T/P)=R$ 210,00</v>
      </c>
    </row>
    <row r="303" spans="1:17" ht="15.75" customHeight="1" x14ac:dyDescent="0.3">
      <c r="A303" t="s">
        <v>2249</v>
      </c>
      <c r="B303">
        <f>I136</f>
        <v>75</v>
      </c>
      <c r="C303" t="s">
        <v>12807</v>
      </c>
      <c r="E303" s="85" t="s">
        <v>320</v>
      </c>
      <c r="F303" s="6">
        <v>115</v>
      </c>
      <c r="H303" s="4" t="s">
        <v>285</v>
      </c>
      <c r="I303" s="5">
        <f t="shared" si="283"/>
        <v>270</v>
      </c>
      <c r="J303" s="5"/>
      <c r="K303" s="4" t="str">
        <f t="shared" si="292"/>
        <v>M51 c/aro-orig (T/G)=R$ 270,00</v>
      </c>
      <c r="M303" s="4" t="str">
        <f t="shared" si="293"/>
        <v>M51 c/aro-orig (T/G)=R$ 275,00</v>
      </c>
      <c r="O303" s="4" t="str">
        <f t="shared" si="294"/>
        <v>M51 c/aro-orig (T/G)=R$ 265,00</v>
      </c>
      <c r="Q303" s="4" t="str">
        <f t="shared" si="295"/>
        <v>M51 c/aro-orig (T/G)=R$ 280,00</v>
      </c>
    </row>
    <row r="304" spans="1:17" ht="15.75" customHeight="1" x14ac:dyDescent="0.3">
      <c r="A304" t="s">
        <v>2294</v>
      </c>
      <c r="B304">
        <f>I137</f>
        <v>85</v>
      </c>
      <c r="C304" t="s">
        <v>12810</v>
      </c>
      <c r="E304" s="85" t="s">
        <v>322</v>
      </c>
      <c r="F304" s="6">
        <v>70</v>
      </c>
      <c r="H304" s="4" t="s">
        <v>287</v>
      </c>
      <c r="I304" s="5">
        <f t="shared" si="283"/>
        <v>75</v>
      </c>
      <c r="J304" s="5"/>
      <c r="K304" s="4" t="str">
        <f t="shared" si="292"/>
        <v>M52 - incell     = R$ 75,00</v>
      </c>
      <c r="M304" s="4" t="str">
        <f t="shared" si="293"/>
        <v>M52 - incell     = R$ 80,00</v>
      </c>
      <c r="O304" s="4" t="str">
        <f t="shared" si="294"/>
        <v>M52 - incell     = R$ 70,00</v>
      </c>
      <c r="Q304" s="4" t="str">
        <f t="shared" si="295"/>
        <v>M52 - incell     = R$ 85,00</v>
      </c>
    </row>
    <row r="305" spans="1:17" ht="15.75" customHeight="1" x14ac:dyDescent="0.3">
      <c r="A305" t="s">
        <v>2762</v>
      </c>
      <c r="B305">
        <f>I137</f>
        <v>85</v>
      </c>
      <c r="C305" t="s">
        <v>12810</v>
      </c>
      <c r="E305" s="85" t="s">
        <v>324</v>
      </c>
      <c r="F305" s="6">
        <v>115</v>
      </c>
      <c r="H305" s="4" t="s">
        <v>288</v>
      </c>
      <c r="I305" s="5">
        <f t="shared" si="283"/>
        <v>80</v>
      </c>
      <c r="J305" s="5"/>
      <c r="K305" s="4" t="str">
        <f t="shared" si="292"/>
        <v>M52 - incell c/aro     = R$ 80,00</v>
      </c>
      <c r="M305" s="4" t="str">
        <f t="shared" si="293"/>
        <v>M52 - incell c/aro     = R$ 85,00</v>
      </c>
      <c r="O305" s="4" t="str">
        <f t="shared" si="294"/>
        <v>M52 - incell c/aro     = R$ 75,00</v>
      </c>
      <c r="Q305" s="4" t="str">
        <f t="shared" si="295"/>
        <v>M52 - incell c/aro     = R$ 90,00</v>
      </c>
    </row>
    <row r="306" spans="1:17" ht="15.75" customHeight="1" x14ac:dyDescent="0.3">
      <c r="A306" t="s">
        <v>10966</v>
      </c>
      <c r="B306">
        <f>I138</f>
        <v>160</v>
      </c>
      <c r="C306" t="s">
        <v>12809</v>
      </c>
      <c r="E306" s="85" t="s">
        <v>326</v>
      </c>
      <c r="F306" s="6">
        <v>65</v>
      </c>
      <c r="H306" s="4" t="s">
        <v>289</v>
      </c>
      <c r="I306" s="5">
        <f t="shared" si="283"/>
        <v>150</v>
      </c>
      <c r="J306" s="5"/>
      <c r="K306" s="4" t="str">
        <f t="shared" si="292"/>
        <v>M52 c/aro-orig (T/P)=R$ 150,00</v>
      </c>
      <c r="M306" s="4" t="str">
        <f t="shared" si="293"/>
        <v>M52 c/aro-orig (T/P)=R$ 155,00</v>
      </c>
      <c r="O306" s="4" t="str">
        <f t="shared" si="294"/>
        <v>M52 c/aro-orig (T/P)=R$ 145,00</v>
      </c>
      <c r="Q306" s="4" t="str">
        <f t="shared" si="295"/>
        <v>M52 c/aro-orig (T/P)=R$ 160,00</v>
      </c>
    </row>
    <row r="307" spans="1:17" ht="15.75" customHeight="1" x14ac:dyDescent="0.3">
      <c r="A307" t="s">
        <v>10967</v>
      </c>
      <c r="B307">
        <f>I138</f>
        <v>160</v>
      </c>
      <c r="C307" t="s">
        <v>12809</v>
      </c>
      <c r="E307" s="85" t="s">
        <v>328</v>
      </c>
      <c r="F307" s="6">
        <v>120</v>
      </c>
      <c r="H307" s="4" t="s">
        <v>291</v>
      </c>
      <c r="I307" s="5">
        <f t="shared" si="283"/>
        <v>190</v>
      </c>
      <c r="J307" s="5"/>
      <c r="K307" s="4" t="str">
        <f t="shared" si="292"/>
        <v>M52 c/aro-orig (T/G)=R$ 190,00</v>
      </c>
      <c r="M307" s="4" t="str">
        <f t="shared" si="293"/>
        <v>M52 c/aro-orig (T/G)=R$ 195,00</v>
      </c>
      <c r="O307" s="4" t="str">
        <f t="shared" si="294"/>
        <v>M52 c/aro-orig (T/G)=R$ 185,00</v>
      </c>
      <c r="Q307" s="4" t="str">
        <f t="shared" si="295"/>
        <v>M52 c/aro-orig (T/G)=R$ 200,00</v>
      </c>
    </row>
    <row r="308" spans="1:17" ht="15.75" customHeight="1" x14ac:dyDescent="0.3">
      <c r="A308" t="s">
        <v>10968</v>
      </c>
      <c r="B308">
        <f>I138</f>
        <v>160</v>
      </c>
      <c r="C308" s="19" t="s">
        <v>12809</v>
      </c>
      <c r="E308" s="85" t="s">
        <v>330</v>
      </c>
      <c r="F308" s="6">
        <v>60</v>
      </c>
      <c r="H308" s="4" t="s">
        <v>293</v>
      </c>
      <c r="I308" s="5">
        <f t="shared" si="283"/>
        <v>230</v>
      </c>
      <c r="J308" s="5"/>
      <c r="K308" s="4" t="str">
        <f t="shared" si="292"/>
        <v>M52 c/aro Nacional = R$ 230,00</v>
      </c>
      <c r="M308" s="4" t="str">
        <f t="shared" si="293"/>
        <v>M52 c/aro Nacional = R$ 235,00</v>
      </c>
      <c r="O308" s="4" t="str">
        <f t="shared" si="294"/>
        <v>M52 c/aro Nacional = R$ 225,00</v>
      </c>
      <c r="Q308" s="4" t="str">
        <f t="shared" si="295"/>
        <v>M52 c/aro Nacional = R$ 240,00</v>
      </c>
    </row>
    <row r="309" spans="1:17" ht="15.75" customHeight="1" x14ac:dyDescent="0.3">
      <c r="A309" t="s">
        <v>10969</v>
      </c>
      <c r="B309">
        <f>I138</f>
        <v>160</v>
      </c>
      <c r="C309" s="19" t="s">
        <v>12809</v>
      </c>
      <c r="E309" s="85" t="s">
        <v>332</v>
      </c>
      <c r="F309" s="6">
        <v>165</v>
      </c>
      <c r="H309" s="4" t="s">
        <v>11375</v>
      </c>
      <c r="I309" s="5">
        <f t="shared" si="283"/>
        <v>240</v>
      </c>
      <c r="J309" s="5"/>
      <c r="K309" s="4" t="str">
        <f t="shared" si="292"/>
        <v>M52 c/aro Nac Diamonds = 240,00</v>
      </c>
      <c r="M309" s="4" t="str">
        <f t="shared" si="293"/>
        <v>M52 c/aro Nac Diamonds = 245,00</v>
      </c>
      <c r="O309" s="4" t="str">
        <f t="shared" si="294"/>
        <v>M52 c/aro Nac Diamonds = 235,00</v>
      </c>
      <c r="Q309" s="4" t="str">
        <f t="shared" si="295"/>
        <v>M52 c/aro Nac Diamonds = 250,00</v>
      </c>
    </row>
    <row r="310" spans="1:17" ht="15.75" customHeight="1" x14ac:dyDescent="0.3">
      <c r="A310" s="20" t="s">
        <v>2886</v>
      </c>
      <c r="B310">
        <f>I139</f>
        <v>170</v>
      </c>
      <c r="C310" s="19" t="s">
        <v>12808</v>
      </c>
      <c r="E310" s="18"/>
      <c r="F310" s="16"/>
      <c r="H310" s="4" t="s">
        <v>295</v>
      </c>
      <c r="I310" s="5">
        <f t="shared" si="283"/>
        <v>95</v>
      </c>
      <c r="J310" s="5"/>
      <c r="K310" s="4" t="str">
        <f t="shared" si="292"/>
        <v>M53 - incell c/aro     = R$ 95,00</v>
      </c>
      <c r="M310" s="4" t="str">
        <f t="shared" si="293"/>
        <v>M53 - incell c/aro     = R$ 100,00</v>
      </c>
      <c r="O310" s="4" t="str">
        <f t="shared" si="294"/>
        <v>M53 - incell c/aro     = R$ 90,00</v>
      </c>
      <c r="Q310" s="4" t="str">
        <f t="shared" si="295"/>
        <v>M53 - incell c/aro     = R$ 105,00</v>
      </c>
    </row>
    <row r="311" spans="1:17" ht="15.75" customHeight="1" x14ac:dyDescent="0.3">
      <c r="A311" s="51" t="s">
        <v>2885</v>
      </c>
      <c r="B311">
        <f>I139</f>
        <v>170</v>
      </c>
      <c r="C311" t="s">
        <v>12808</v>
      </c>
      <c r="E311" s="18"/>
      <c r="F311" s="16"/>
      <c r="H311" s="4" t="s">
        <v>297</v>
      </c>
      <c r="I311" s="5">
        <f t="shared" si="283"/>
        <v>210</v>
      </c>
      <c r="J311" s="5"/>
      <c r="K311" s="4" t="str">
        <f t="shared" si="292"/>
        <v>M53 - orig c/aro  = R$ 210,00</v>
      </c>
      <c r="M311" s="4" t="str">
        <f t="shared" si="293"/>
        <v>M53 - orig c/aro  = R$ 215,00</v>
      </c>
      <c r="O311" s="4" t="str">
        <f t="shared" si="294"/>
        <v>M53 - orig c/aro  = R$ 205,00</v>
      </c>
      <c r="Q311" s="4" t="str">
        <f t="shared" si="295"/>
        <v>M53 - orig c/aro  = R$ 220,00</v>
      </c>
    </row>
    <row r="312" spans="1:17" ht="15.75" customHeight="1" x14ac:dyDescent="0.3">
      <c r="A312" t="s">
        <v>2614</v>
      </c>
      <c r="B312">
        <f>I139</f>
        <v>170</v>
      </c>
      <c r="C312" t="s">
        <v>12808</v>
      </c>
      <c r="E312" s="18"/>
      <c r="F312" s="16"/>
      <c r="H312" s="4" t="s">
        <v>299</v>
      </c>
      <c r="I312" s="5">
        <f t="shared" si="283"/>
        <v>270</v>
      </c>
      <c r="J312" s="5"/>
      <c r="K312" s="4" t="str">
        <f t="shared" si="292"/>
        <v>M53 c/aro Nacional = R$ 270,00</v>
      </c>
      <c r="M312" s="4" t="str">
        <f t="shared" si="293"/>
        <v>M53 c/aro Nacional = R$ 275,00</v>
      </c>
      <c r="O312" s="4" t="str">
        <f t="shared" si="294"/>
        <v>M53 c/aro Nacional = R$ 265,00</v>
      </c>
      <c r="Q312" s="4" t="str">
        <f t="shared" si="295"/>
        <v>M53 c/aro Nacional = R$ 280,00</v>
      </c>
    </row>
    <row r="313" spans="1:17" ht="15.75" customHeight="1" x14ac:dyDescent="0.3">
      <c r="A313" t="s">
        <v>1883</v>
      </c>
      <c r="B313">
        <f>I139</f>
        <v>170</v>
      </c>
      <c r="C313" t="s">
        <v>12808</v>
      </c>
      <c r="E313" s="18"/>
      <c r="F313" s="16"/>
      <c r="H313" s="4" t="s">
        <v>11378</v>
      </c>
      <c r="I313" s="5">
        <f t="shared" si="283"/>
        <v>280</v>
      </c>
      <c r="J313" s="5"/>
      <c r="K313" s="4" t="str">
        <f t="shared" si="292"/>
        <v>M53 c/aro Nac Diamonds = 280,00</v>
      </c>
      <c r="M313" s="4" t="str">
        <f t="shared" si="293"/>
        <v>M53 c/aro Nac Diamonds = 285,00</v>
      </c>
      <c r="O313" s="4" t="str">
        <f t="shared" si="294"/>
        <v>M53 c/aro Nac Diamonds = 275,00</v>
      </c>
      <c r="Q313" s="4" t="str">
        <f t="shared" si="295"/>
        <v>M53 c/aro Nac Diamonds = 290,00</v>
      </c>
    </row>
    <row r="314" spans="1:17" ht="15.75" customHeight="1" x14ac:dyDescent="0.3">
      <c r="A314" t="s">
        <v>12191</v>
      </c>
      <c r="B314">
        <f>I140</f>
        <v>300</v>
      </c>
      <c r="E314" s="18"/>
      <c r="F314" s="16"/>
      <c r="H314" s="4" t="s">
        <v>11999</v>
      </c>
      <c r="I314" s="5">
        <f t="shared" si="283"/>
        <v>120</v>
      </c>
      <c r="J314" s="5"/>
      <c r="K314" s="4" t="str">
        <f t="shared" si="292"/>
        <v>M54 - incell c/aro     = R$ 120,00</v>
      </c>
      <c r="M314" s="4" t="str">
        <f t="shared" si="293"/>
        <v>M54 - incell c/aro     = R$ 125,00</v>
      </c>
      <c r="O314" s="4" t="str">
        <f t="shared" si="294"/>
        <v>M54 - incell c/aro     = R$ 115,00</v>
      </c>
      <c r="Q314" s="4" t="str">
        <f t="shared" si="295"/>
        <v>M54 - incell c/aro     = R$ 130,00</v>
      </c>
    </row>
    <row r="315" spans="1:17" ht="15.75" customHeight="1" x14ac:dyDescent="0.3">
      <c r="A315" t="s">
        <v>12192</v>
      </c>
      <c r="B315">
        <f>I140</f>
        <v>300</v>
      </c>
      <c r="E315" s="18"/>
      <c r="F315" s="16"/>
      <c r="H315" s="4" t="s">
        <v>12000</v>
      </c>
      <c r="I315" s="5">
        <f t="shared" si="283"/>
        <v>220</v>
      </c>
      <c r="J315" s="5"/>
      <c r="K315" s="4" t="str">
        <f>CONCATENATE(H315,I315,",00")</f>
        <v>M54 - orig c/aro  = R$ 220,00</v>
      </c>
      <c r="M315" s="4" t="str">
        <f>CONCATENATE(H315,I315+5,",00")</f>
        <v>M54 - orig c/aro  = R$ 225,00</v>
      </c>
      <c r="O315" s="4" t="str">
        <f>CONCATENATE(H315,I315-5,",00")</f>
        <v>M54 - orig c/aro  = R$ 215,00</v>
      </c>
      <c r="Q315" s="4" t="str">
        <f>CONCATENATE(H315,I315+10,",00")</f>
        <v>M54 - orig c/aro  = R$ 230,00</v>
      </c>
    </row>
    <row r="316" spans="1:17" ht="15.75" customHeight="1" x14ac:dyDescent="0.3">
      <c r="A316" t="s">
        <v>12193</v>
      </c>
      <c r="B316">
        <f>I141</f>
        <v>310</v>
      </c>
      <c r="E316" s="7"/>
      <c r="F316" s="6"/>
      <c r="H316" s="4" t="s">
        <v>301</v>
      </c>
      <c r="I316" s="5">
        <f t="shared" si="283"/>
        <v>100</v>
      </c>
      <c r="J316" s="5"/>
      <c r="K316" s="4" t="str">
        <f>CONCATENATE(H316,I316,",00")</f>
        <v>M62 - incell c/aro     = R$ 100,00</v>
      </c>
      <c r="M316" s="4" t="str">
        <f>CONCATENATE(H316,I316+5,",00")</f>
        <v>M62 - incell c/aro     = R$ 105,00</v>
      </c>
      <c r="O316" s="4" t="str">
        <f>CONCATENATE(H316,I316-5,",00")</f>
        <v>M62 - incell c/aro     = R$ 95,00</v>
      </c>
      <c r="Q316" s="4" t="str">
        <f>CONCATENATE(H316,I316+10,",00")</f>
        <v>M62 - incell c/aro     = R$ 110,00</v>
      </c>
    </row>
    <row r="317" spans="1:17" ht="15.75" customHeight="1" x14ac:dyDescent="0.3">
      <c r="A317" t="s">
        <v>12194</v>
      </c>
      <c r="B317">
        <f>I141</f>
        <v>310</v>
      </c>
      <c r="E317" s="85" t="s">
        <v>11392</v>
      </c>
      <c r="F317" s="6">
        <v>830</v>
      </c>
      <c r="H317" s="4" t="s">
        <v>303</v>
      </c>
      <c r="I317" s="5">
        <f>F201</f>
        <v>130</v>
      </c>
      <c r="J317" s="5"/>
      <c r="K317" s="4" t="str">
        <f>CONCATENATE(H317,I317,",00")</f>
        <v>M62 - original           = R$ 130,00</v>
      </c>
      <c r="M317" s="4" t="str">
        <f>CONCATENATE(H317,I317+5,",00")</f>
        <v>M62 - original           = R$ 135,00</v>
      </c>
      <c r="O317" s="4" t="str">
        <f>CONCATENATE(H317,I317-5,",00")</f>
        <v>M62 - original           = R$ 125,00</v>
      </c>
      <c r="Q317" s="4" t="str">
        <f>CONCATENATE(H317,I317+10,",00")</f>
        <v>M62 - original           = R$ 140,00</v>
      </c>
    </row>
    <row r="318" spans="1:17" ht="15.75" customHeight="1" x14ac:dyDescent="0.3">
      <c r="A318" t="s">
        <v>2250</v>
      </c>
      <c r="B318">
        <f>I142</f>
        <v>75</v>
      </c>
      <c r="C318" t="s">
        <v>12811</v>
      </c>
      <c r="E318" s="85" t="s">
        <v>11393</v>
      </c>
      <c r="F318" s="6">
        <v>920</v>
      </c>
      <c r="H318" s="4" t="s">
        <v>305</v>
      </c>
      <c r="I318" s="5">
        <f>F285</f>
        <v>190</v>
      </c>
      <c r="J318" s="5"/>
      <c r="K318" s="4" t="str">
        <f>CONCATENATE(H318,I318,",00")</f>
        <v>M62 c/aro-orig (T/P)=R$ 190,00</v>
      </c>
      <c r="M318" s="4" t="str">
        <f>CONCATENATE(H318,I318+5,",00")</f>
        <v>M62 c/aro-orig (T/P)=R$ 195,00</v>
      </c>
      <c r="O318" s="4" t="str">
        <f>CONCATENATE(H318,I318-5,",00")</f>
        <v>M62 c/aro-orig (T/P)=R$ 185,00</v>
      </c>
      <c r="Q318" s="4" t="str">
        <f>CONCATENATE(H318,I318+10,",00")</f>
        <v>M62 c/aro-orig (T/P)=R$ 200,00</v>
      </c>
    </row>
    <row r="319" spans="1:17" ht="15.75" customHeight="1" x14ac:dyDescent="0.3">
      <c r="A319" t="s">
        <v>2809</v>
      </c>
      <c r="B319">
        <f>I142</f>
        <v>75</v>
      </c>
      <c r="C319" t="s">
        <v>12811</v>
      </c>
      <c r="E319" s="85" t="s">
        <v>11394</v>
      </c>
      <c r="F319" s="6">
        <v>720</v>
      </c>
      <c r="H319" s="4" t="s">
        <v>307</v>
      </c>
      <c r="I319" s="5">
        <f>F286</f>
        <v>210</v>
      </c>
      <c r="J319" s="5"/>
      <c r="K319" s="4" t="str">
        <f>CONCATENATE(H319,I319,",00")</f>
        <v>M62 c/aro-orig (T/G)=R$ 210,00</v>
      </c>
      <c r="M319" s="4" t="str">
        <f>CONCATENATE(H319,I319+5,",00")</f>
        <v>M62 c/aro-orig (T/G)=R$ 215,00</v>
      </c>
      <c r="O319" s="4" t="str">
        <f>CONCATENATE(H319,I319-5,",00")</f>
        <v>M62 c/aro-orig (T/G)=R$ 205,00</v>
      </c>
      <c r="Q319" s="4" t="str">
        <f>CONCATENATE(H319,I319+10,",00")</f>
        <v>M62 c/aro-orig (T/G)=R$ 220,00</v>
      </c>
    </row>
    <row r="320" spans="1:17" ht="15.75" customHeight="1" x14ac:dyDescent="0.3">
      <c r="A320" t="s">
        <v>2295</v>
      </c>
      <c r="B320">
        <f>I143</f>
        <v>90</v>
      </c>
      <c r="C320" t="s">
        <v>12813</v>
      </c>
      <c r="E320" s="85" t="s">
        <v>338</v>
      </c>
      <c r="F320" s="6">
        <v>240</v>
      </c>
      <c r="H320" s="4" t="s">
        <v>231</v>
      </c>
      <c r="I320" s="5"/>
      <c r="J320" s="5"/>
    </row>
    <row r="321" spans="1:17" ht="15.75" customHeight="1" x14ac:dyDescent="0.3">
      <c r="A321" t="s">
        <v>2763</v>
      </c>
      <c r="B321">
        <f>I143</f>
        <v>90</v>
      </c>
      <c r="C321" t="s">
        <v>12813</v>
      </c>
      <c r="E321" s="85" t="s">
        <v>11400</v>
      </c>
      <c r="F321" s="6">
        <v>260</v>
      </c>
      <c r="H321" s="4" t="s">
        <v>311</v>
      </c>
      <c r="I321" s="5">
        <f t="shared" ref="I321:J331" si="296">F287</f>
        <v>50</v>
      </c>
      <c r="J321" s="5"/>
      <c r="K321" s="4" t="str">
        <f t="shared" ref="K321:K345" si="297">CONCATENATE(H321,I321,",00")</f>
        <v>J3 - incell premium       = R$ 50,00</v>
      </c>
      <c r="M321" s="4" t="str">
        <f t="shared" ref="M321:M345" si="298">CONCATENATE(H321,I321+5,",00")</f>
        <v>J3 - incell premium       = R$ 55,00</v>
      </c>
      <c r="O321" s="4" t="str">
        <f t="shared" ref="O321:O345" si="299">CONCATENATE(H321,I321-5,",00")</f>
        <v>J3 - incell premium       = R$ 45,00</v>
      </c>
      <c r="Q321" s="4" t="str">
        <f t="shared" ref="Q321:Q345" si="300">CONCATENATE(H321,I321+10,",00")</f>
        <v>J3 - incell premium       = R$ 60,00</v>
      </c>
    </row>
    <row r="322" spans="1:17" ht="15.75" customHeight="1" x14ac:dyDescent="0.3">
      <c r="A322" t="s">
        <v>10973</v>
      </c>
      <c r="B322">
        <f>I144</f>
        <v>160</v>
      </c>
      <c r="C322" t="s">
        <v>12812</v>
      </c>
      <c r="E322" s="85" t="s">
        <v>11395</v>
      </c>
      <c r="F322" s="6">
        <v>720</v>
      </c>
      <c r="H322" s="4" t="s">
        <v>313</v>
      </c>
      <c r="I322" s="5">
        <f t="shared" si="296"/>
        <v>55</v>
      </c>
      <c r="J322" s="5"/>
      <c r="K322" s="4" t="str">
        <f t="shared" si="297"/>
        <v>J4 - incell premium       = R$ 55,00</v>
      </c>
      <c r="M322" s="4" t="str">
        <f t="shared" si="298"/>
        <v>J4 - incell premium       = R$ 60,00</v>
      </c>
      <c r="O322" s="4" t="str">
        <f t="shared" si="299"/>
        <v>J4 - incell premium       = R$ 50,00</v>
      </c>
      <c r="Q322" s="4" t="str">
        <f t="shared" si="300"/>
        <v>J4 - incell premium       = R$ 65,00</v>
      </c>
    </row>
    <row r="323" spans="1:17" ht="15.75" customHeight="1" x14ac:dyDescent="0.3">
      <c r="A323" t="s">
        <v>10974</v>
      </c>
      <c r="B323">
        <f>I144</f>
        <v>160</v>
      </c>
      <c r="C323" t="s">
        <v>12812</v>
      </c>
      <c r="E323" s="85" t="s">
        <v>11396</v>
      </c>
      <c r="F323" s="16">
        <v>950</v>
      </c>
      <c r="H323" s="4" t="s">
        <v>315</v>
      </c>
      <c r="I323" s="5">
        <f t="shared" si="296"/>
        <v>100</v>
      </c>
      <c r="J323" s="5"/>
      <c r="K323" s="4" t="str">
        <f t="shared" si="297"/>
        <v>J4 - original      = R$ 100,00</v>
      </c>
      <c r="M323" s="4" t="str">
        <f t="shared" si="298"/>
        <v>J4 - original      = R$ 105,00</v>
      </c>
      <c r="O323" s="4" t="str">
        <f t="shared" si="299"/>
        <v>J4 - original      = R$ 95,00</v>
      </c>
      <c r="Q323" s="4" t="str">
        <f t="shared" si="300"/>
        <v>J4 - original      = R$ 110,00</v>
      </c>
    </row>
    <row r="324" spans="1:17" ht="15.75" customHeight="1" x14ac:dyDescent="0.3">
      <c r="A324" t="s">
        <v>10975</v>
      </c>
      <c r="B324">
        <f>I144</f>
        <v>160</v>
      </c>
      <c r="C324" t="s">
        <v>12812</v>
      </c>
      <c r="E324" s="85" t="s">
        <v>11397</v>
      </c>
      <c r="F324" s="6">
        <v>660</v>
      </c>
      <c r="H324" s="4" t="s">
        <v>317</v>
      </c>
      <c r="I324" s="5">
        <f t="shared" si="296"/>
        <v>60</v>
      </c>
      <c r="J324" s="5"/>
      <c r="K324" s="4" t="str">
        <f t="shared" si="297"/>
        <v>J4 Plus - original           = R$ 60,00</v>
      </c>
      <c r="M324" s="4" t="str">
        <f t="shared" si="298"/>
        <v>J4 Plus - original           = R$ 65,00</v>
      </c>
      <c r="O324" s="4" t="str">
        <f t="shared" si="299"/>
        <v>J4 Plus - original           = R$ 55,00</v>
      </c>
      <c r="Q324" s="4" t="str">
        <f t="shared" si="300"/>
        <v>J4 Plus - original           = R$ 70,00</v>
      </c>
    </row>
    <row r="325" spans="1:17" ht="15.75" customHeight="1" x14ac:dyDescent="0.3">
      <c r="A325" t="s">
        <v>10976</v>
      </c>
      <c r="B325">
        <f>I144</f>
        <v>160</v>
      </c>
      <c r="C325" t="s">
        <v>12812</v>
      </c>
      <c r="E325" s="85" t="s">
        <v>10621</v>
      </c>
      <c r="F325" s="16">
        <v>440</v>
      </c>
      <c r="H325" s="4" t="s">
        <v>319</v>
      </c>
      <c r="I325" s="5">
        <f t="shared" si="296"/>
        <v>60</v>
      </c>
      <c r="J325" s="5"/>
      <c r="K325" s="4" t="str">
        <f t="shared" si="297"/>
        <v>J5 - incell premium       = R$ 60,00</v>
      </c>
      <c r="M325" s="4" t="str">
        <f t="shared" si="298"/>
        <v>J5 - incell premium       = R$ 65,00</v>
      </c>
      <c r="O325" s="4" t="str">
        <f t="shared" si="299"/>
        <v>J5 - incell premium       = R$ 55,00</v>
      </c>
      <c r="Q325" s="4" t="str">
        <f t="shared" si="300"/>
        <v>J5 - incell premium       = R$ 70,00</v>
      </c>
    </row>
    <row r="326" spans="1:17" ht="15.75" customHeight="1" x14ac:dyDescent="0.3">
      <c r="A326" s="51" t="s">
        <v>10977</v>
      </c>
      <c r="B326">
        <f>I145</f>
        <v>170</v>
      </c>
      <c r="C326" t="s">
        <v>12814</v>
      </c>
      <c r="E326" s="85" t="s">
        <v>11401</v>
      </c>
      <c r="F326" s="16">
        <v>610</v>
      </c>
      <c r="H326" s="4" t="s">
        <v>321</v>
      </c>
      <c r="I326" s="5">
        <f t="shared" si="296"/>
        <v>55</v>
      </c>
      <c r="J326" s="5"/>
      <c r="K326" s="4" t="str">
        <f t="shared" si="297"/>
        <v>J5 Prime           = R$ 55,00</v>
      </c>
      <c r="M326" s="4" t="str">
        <f t="shared" si="298"/>
        <v>J5 Prime           = R$ 60,00</v>
      </c>
      <c r="O326" s="4" t="str">
        <f t="shared" si="299"/>
        <v>J5 Prime           = R$ 50,00</v>
      </c>
      <c r="Q326" s="4" t="str">
        <f t="shared" si="300"/>
        <v>J5 Prime           = R$ 65,00</v>
      </c>
    </row>
    <row r="327" spans="1:17" ht="15.75" customHeight="1" x14ac:dyDescent="0.3">
      <c r="A327" s="51" t="s">
        <v>10978</v>
      </c>
      <c r="B327">
        <f>I145</f>
        <v>170</v>
      </c>
      <c r="C327" t="s">
        <v>12814</v>
      </c>
      <c r="E327" s="85" t="s">
        <v>11398</v>
      </c>
      <c r="F327" s="6">
        <v>670</v>
      </c>
      <c r="H327" s="4" t="s">
        <v>323</v>
      </c>
      <c r="I327" s="5">
        <f t="shared" si="296"/>
        <v>60</v>
      </c>
      <c r="J327" s="5"/>
      <c r="K327" s="4" t="str">
        <f t="shared" si="297"/>
        <v>J5 Metal - incell            = R$ 60,00</v>
      </c>
      <c r="M327" s="4" t="str">
        <f t="shared" si="298"/>
        <v>J5 Metal - incell            = R$ 65,00</v>
      </c>
      <c r="O327" s="4" t="str">
        <f t="shared" si="299"/>
        <v>J5 Metal - incell            = R$ 55,00</v>
      </c>
      <c r="Q327" s="4" t="str">
        <f t="shared" si="300"/>
        <v>J5 Metal - incell            = R$ 70,00</v>
      </c>
    </row>
    <row r="328" spans="1:17" ht="15.75" customHeight="1" x14ac:dyDescent="0.3">
      <c r="A328" t="s">
        <v>10979</v>
      </c>
      <c r="B328">
        <f>I145</f>
        <v>170</v>
      </c>
      <c r="C328" t="s">
        <v>12814</v>
      </c>
      <c r="E328" s="85" t="s">
        <v>11399</v>
      </c>
      <c r="F328" s="6">
        <v>720</v>
      </c>
      <c r="H328" s="4" t="s">
        <v>325</v>
      </c>
      <c r="I328" s="5">
        <f t="shared" si="296"/>
        <v>65</v>
      </c>
      <c r="J328" s="5"/>
      <c r="K328" s="4" t="str">
        <f t="shared" si="297"/>
        <v>J5 Pro - incell premium = R$ 65,00</v>
      </c>
      <c r="M328" s="4" t="str">
        <f t="shared" si="298"/>
        <v>J5 Pro - incell premium = R$ 70,00</v>
      </c>
      <c r="O328" s="4" t="str">
        <f t="shared" si="299"/>
        <v>J5 Pro - incell premium = R$ 60,00</v>
      </c>
      <c r="Q328" s="4" t="str">
        <f t="shared" si="300"/>
        <v>J5 Pro - incell premium = R$ 75,00</v>
      </c>
    </row>
    <row r="329" spans="1:17" ht="15.75" customHeight="1" x14ac:dyDescent="0.3">
      <c r="A329" t="s">
        <v>10980</v>
      </c>
      <c r="B329">
        <f>I145</f>
        <v>170</v>
      </c>
      <c r="C329" t="s">
        <v>12814</v>
      </c>
      <c r="E329" s="85" t="s">
        <v>13174</v>
      </c>
      <c r="F329" s="16">
        <v>750</v>
      </c>
      <c r="H329" s="4" t="s">
        <v>327</v>
      </c>
      <c r="I329" s="5">
        <f t="shared" si="296"/>
        <v>115</v>
      </c>
      <c r="J329" s="5"/>
      <c r="K329" s="4" t="str">
        <f t="shared" si="297"/>
        <v>J5 Pro - original            = R$ 115,00</v>
      </c>
      <c r="M329" s="4" t="str">
        <f t="shared" si="298"/>
        <v>J5 Pro - original            = R$ 120,00</v>
      </c>
      <c r="O329" s="4" t="str">
        <f t="shared" si="299"/>
        <v>J5 Pro - original            = R$ 110,00</v>
      </c>
      <c r="Q329" s="4" t="str">
        <f t="shared" si="300"/>
        <v>J5 Pro - original            = R$ 125,00</v>
      </c>
    </row>
    <row r="330" spans="1:17" ht="15.75" customHeight="1" x14ac:dyDescent="0.3">
      <c r="A330" t="s">
        <v>12827</v>
      </c>
      <c r="B330">
        <f>I146</f>
        <v>220</v>
      </c>
      <c r="E330" s="85" t="s">
        <v>11251</v>
      </c>
      <c r="F330" s="16">
        <v>400</v>
      </c>
      <c r="H330" s="4" t="s">
        <v>329</v>
      </c>
      <c r="I330" s="5">
        <f t="shared" si="296"/>
        <v>60</v>
      </c>
      <c r="J330" s="5"/>
      <c r="K330" s="4" t="str">
        <f t="shared" si="297"/>
        <v>J6 - incell premium       = R$ 60,00</v>
      </c>
      <c r="M330" s="4" t="str">
        <f t="shared" si="298"/>
        <v>J6 - incell premium       = R$ 65,00</v>
      </c>
      <c r="O330" s="4" t="str">
        <f t="shared" si="299"/>
        <v>J6 - incell premium       = R$ 55,00</v>
      </c>
      <c r="Q330" s="4" t="str">
        <f t="shared" si="300"/>
        <v>J6 - incell premium       = R$ 70,00</v>
      </c>
    </row>
    <row r="331" spans="1:17" ht="15.75" customHeight="1" x14ac:dyDescent="0.3">
      <c r="A331" t="s">
        <v>12828</v>
      </c>
      <c r="B331">
        <f>I146</f>
        <v>220</v>
      </c>
      <c r="E331" s="85" t="s">
        <v>11403</v>
      </c>
      <c r="F331" s="16">
        <v>590</v>
      </c>
      <c r="H331" s="4" t="s">
        <v>331</v>
      </c>
      <c r="I331" s="5">
        <f t="shared" si="296"/>
        <v>155</v>
      </c>
      <c r="J331" s="5"/>
      <c r="K331" s="4" t="str">
        <f t="shared" si="297"/>
        <v>J6 - original     = R$ 155,00</v>
      </c>
      <c r="M331" s="4" t="str">
        <f t="shared" si="298"/>
        <v>J6 - original     = R$ 160,00</v>
      </c>
      <c r="O331" s="4" t="str">
        <f t="shared" si="299"/>
        <v>J6 - original     = R$ 150,00</v>
      </c>
      <c r="Q331" s="4" t="str">
        <f t="shared" si="300"/>
        <v>J6 - original     = R$ 165,00</v>
      </c>
    </row>
    <row r="332" spans="1:17" ht="15.75" customHeight="1" x14ac:dyDescent="0.3">
      <c r="A332" t="s">
        <v>11200</v>
      </c>
      <c r="B332">
        <f>I147</f>
        <v>120</v>
      </c>
      <c r="C332" t="s">
        <v>12829</v>
      </c>
      <c r="E332" s="85" t="s">
        <v>12195</v>
      </c>
      <c r="F332" s="16">
        <v>770</v>
      </c>
      <c r="H332" s="4" t="s">
        <v>333</v>
      </c>
      <c r="I332" s="5">
        <f>F290</f>
        <v>60</v>
      </c>
      <c r="J332" s="5"/>
      <c r="K332" s="4" t="str">
        <f t="shared" si="297"/>
        <v>J6 Plus - original          = R$ 60,00</v>
      </c>
      <c r="M332" s="4" t="str">
        <f t="shared" si="298"/>
        <v>J6 Plus - original          = R$ 65,00</v>
      </c>
      <c r="O332" s="4" t="str">
        <f t="shared" si="299"/>
        <v>J6 Plus - original          = R$ 55,00</v>
      </c>
      <c r="Q332" s="4" t="str">
        <f t="shared" si="300"/>
        <v>J6 Plus - original          = R$ 70,00</v>
      </c>
    </row>
    <row r="333" spans="1:17" ht="15.75" customHeight="1" x14ac:dyDescent="0.3">
      <c r="A333" t="s">
        <v>11201</v>
      </c>
      <c r="B333">
        <f>I147</f>
        <v>120</v>
      </c>
      <c r="C333" t="s">
        <v>12829</v>
      </c>
      <c r="E333" s="85" t="s">
        <v>11252</v>
      </c>
      <c r="F333" s="16">
        <v>370</v>
      </c>
      <c r="H333" s="4" t="s">
        <v>334</v>
      </c>
      <c r="I333" s="5">
        <f t="shared" ref="I333:J344" si="301">F298</f>
        <v>60</v>
      </c>
      <c r="J333" s="5"/>
      <c r="K333" s="4" t="str">
        <f t="shared" si="297"/>
        <v>J700 - incell premium  = R$ 60,00</v>
      </c>
      <c r="M333" s="4" t="str">
        <f t="shared" si="298"/>
        <v>J700 - incell premium  = R$ 65,00</v>
      </c>
      <c r="O333" s="4" t="str">
        <f t="shared" si="299"/>
        <v>J700 - incell premium  = R$ 55,00</v>
      </c>
      <c r="Q333" s="4" t="str">
        <f t="shared" si="300"/>
        <v>J700 - incell premium  = R$ 70,00</v>
      </c>
    </row>
    <row r="334" spans="1:17" ht="15.75" customHeight="1" x14ac:dyDescent="0.3">
      <c r="A334" t="s">
        <v>11192</v>
      </c>
      <c r="B334">
        <f>I148</f>
        <v>205</v>
      </c>
      <c r="C334" t="s">
        <v>12830</v>
      </c>
      <c r="E334" s="85" t="s">
        <v>11404</v>
      </c>
      <c r="F334" s="16">
        <v>390</v>
      </c>
      <c r="H334" s="4" t="s">
        <v>335</v>
      </c>
      <c r="I334" s="5">
        <f t="shared" si="301"/>
        <v>115</v>
      </c>
      <c r="J334" s="5"/>
      <c r="K334" s="4" t="str">
        <f t="shared" si="297"/>
        <v>J700 - original  = R$ 115,00</v>
      </c>
      <c r="M334" s="4" t="str">
        <f t="shared" si="298"/>
        <v>J700 - original  = R$ 120,00</v>
      </c>
      <c r="O334" s="4" t="str">
        <f t="shared" si="299"/>
        <v>J700 - original  = R$ 110,00</v>
      </c>
      <c r="Q334" s="4" t="str">
        <f t="shared" si="300"/>
        <v>J700 - original  = R$ 125,00</v>
      </c>
    </row>
    <row r="335" spans="1:17" ht="15.75" customHeight="1" x14ac:dyDescent="0.3">
      <c r="A335" t="s">
        <v>11193</v>
      </c>
      <c r="B335">
        <f>I148</f>
        <v>205</v>
      </c>
      <c r="C335" t="s">
        <v>12830</v>
      </c>
      <c r="E335" s="93" t="s">
        <v>12608</v>
      </c>
      <c r="F335" s="16">
        <v>1495</v>
      </c>
      <c r="H335" s="4" t="s">
        <v>336</v>
      </c>
      <c r="I335" s="5">
        <f t="shared" si="301"/>
        <v>60</v>
      </c>
      <c r="J335" s="5"/>
      <c r="K335" s="4" t="str">
        <f t="shared" si="297"/>
        <v>J7 Prime            = R$ 60,00</v>
      </c>
      <c r="M335" s="4" t="str">
        <f t="shared" si="298"/>
        <v>J7 Prime            = R$ 65,00</v>
      </c>
      <c r="O335" s="4" t="str">
        <f t="shared" si="299"/>
        <v>J7 Prime            = R$ 55,00</v>
      </c>
      <c r="Q335" s="4" t="str">
        <f t="shared" si="300"/>
        <v>J7 Prime            = R$ 70,00</v>
      </c>
    </row>
    <row r="336" spans="1:17" ht="15.75" customHeight="1" x14ac:dyDescent="0.3">
      <c r="A336" t="s">
        <v>11194</v>
      </c>
      <c r="B336">
        <f>I148</f>
        <v>205</v>
      </c>
      <c r="C336" t="s">
        <v>12830</v>
      </c>
      <c r="E336" s="93" t="s">
        <v>11379</v>
      </c>
      <c r="F336" s="11">
        <v>790</v>
      </c>
      <c r="H336" s="4" t="s">
        <v>337</v>
      </c>
      <c r="I336" s="5">
        <f t="shared" si="301"/>
        <v>65</v>
      </c>
      <c r="J336" s="5"/>
      <c r="K336" s="4" t="str">
        <f t="shared" si="297"/>
        <v>J7 Prime 2         = R$ 65,00</v>
      </c>
      <c r="M336" s="4" t="str">
        <f t="shared" si="298"/>
        <v>J7 Prime 2         = R$ 70,00</v>
      </c>
      <c r="O336" s="4" t="str">
        <f t="shared" si="299"/>
        <v>J7 Prime 2         = R$ 60,00</v>
      </c>
      <c r="Q336" s="4" t="str">
        <f t="shared" si="300"/>
        <v>J7 Prime 2         = R$ 75,00</v>
      </c>
    </row>
    <row r="337" spans="1:17" ht="15.75" customHeight="1" x14ac:dyDescent="0.3">
      <c r="A337" t="s">
        <v>11195</v>
      </c>
      <c r="B337">
        <f>I148</f>
        <v>205</v>
      </c>
      <c r="C337" t="s">
        <v>12830</v>
      </c>
      <c r="E337" s="4"/>
      <c r="F337" s="12"/>
      <c r="H337" s="4" t="s">
        <v>339</v>
      </c>
      <c r="I337" s="5">
        <f t="shared" si="301"/>
        <v>60</v>
      </c>
      <c r="J337" s="5"/>
      <c r="K337" s="4" t="str">
        <f t="shared" si="297"/>
        <v>J7 Neo - incell premium= R$ 60,00</v>
      </c>
      <c r="M337" s="4" t="str">
        <f t="shared" si="298"/>
        <v>J7 Neo - incell premium= R$ 65,00</v>
      </c>
      <c r="O337" s="4" t="str">
        <f t="shared" si="299"/>
        <v>J7 Neo - incell premium= R$ 55,00</v>
      </c>
      <c r="Q337" s="4" t="str">
        <f t="shared" si="300"/>
        <v>J7 Neo - incell premium= R$ 70,00</v>
      </c>
    </row>
    <row r="338" spans="1:17" ht="15.75" customHeight="1" x14ac:dyDescent="0.3">
      <c r="A338" s="56" t="s">
        <v>11196</v>
      </c>
      <c r="B338">
        <f>I149</f>
        <v>240</v>
      </c>
      <c r="C338" t="s">
        <v>12832</v>
      </c>
      <c r="E338" s="4"/>
      <c r="F338" s="12"/>
      <c r="H338" s="4" t="s">
        <v>340</v>
      </c>
      <c r="I338" s="5">
        <f t="shared" si="301"/>
        <v>115</v>
      </c>
      <c r="J338" s="5"/>
      <c r="K338" s="4" t="str">
        <f t="shared" si="297"/>
        <v>J7 Neo - original           = R$ 115,00</v>
      </c>
      <c r="M338" s="4" t="str">
        <f t="shared" si="298"/>
        <v>J7 Neo - original           = R$ 120,00</v>
      </c>
      <c r="O338" s="4" t="str">
        <f t="shared" si="299"/>
        <v>J7 Neo - original           = R$ 110,00</v>
      </c>
      <c r="Q338" s="4" t="str">
        <f t="shared" si="300"/>
        <v>J7 Neo - original           = R$ 125,00</v>
      </c>
    </row>
    <row r="339" spans="1:17" ht="15.75" customHeight="1" x14ac:dyDescent="0.3">
      <c r="A339" s="56" t="s">
        <v>11197</v>
      </c>
      <c r="B339">
        <f>I149</f>
        <v>240</v>
      </c>
      <c r="C339" t="s">
        <v>12832</v>
      </c>
      <c r="E339" s="4"/>
      <c r="F339" s="12"/>
      <c r="H339" s="4" t="s">
        <v>341</v>
      </c>
      <c r="I339" s="5">
        <f t="shared" si="301"/>
        <v>70</v>
      </c>
      <c r="J339" s="5"/>
      <c r="K339" s="4" t="str">
        <f t="shared" si="297"/>
        <v>J7 Metal-incell premium= 70,00</v>
      </c>
      <c r="M339" s="4" t="str">
        <f t="shared" si="298"/>
        <v>J7 Metal-incell premium= 75,00</v>
      </c>
      <c r="O339" s="4" t="str">
        <f t="shared" si="299"/>
        <v>J7 Metal-incell premium= 65,00</v>
      </c>
      <c r="Q339" s="4" t="str">
        <f t="shared" si="300"/>
        <v>J7 Metal-incell premium= 80,00</v>
      </c>
    </row>
    <row r="340" spans="1:17" ht="15.75" customHeight="1" x14ac:dyDescent="0.3">
      <c r="A340" t="s">
        <v>11198</v>
      </c>
      <c r="B340">
        <f>I149</f>
        <v>240</v>
      </c>
      <c r="C340" t="s">
        <v>12832</v>
      </c>
      <c r="E340" s="4"/>
      <c r="F340" s="12"/>
      <c r="H340" s="4" t="s">
        <v>342</v>
      </c>
      <c r="I340" s="5">
        <f t="shared" si="301"/>
        <v>115</v>
      </c>
      <c r="J340" s="5"/>
      <c r="K340" s="4" t="str">
        <f t="shared" si="297"/>
        <v>J7 Metal - original        = R$ 115,00</v>
      </c>
      <c r="M340" s="4" t="str">
        <f t="shared" si="298"/>
        <v>J7 Metal - original        = R$ 120,00</v>
      </c>
      <c r="O340" s="4" t="str">
        <f t="shared" si="299"/>
        <v>J7 Metal - original        = R$ 110,00</v>
      </c>
      <c r="Q340" s="4" t="str">
        <f t="shared" si="300"/>
        <v>J7 Metal - original        = R$ 125,00</v>
      </c>
    </row>
    <row r="341" spans="1:17" ht="15.75" customHeight="1" x14ac:dyDescent="0.3">
      <c r="A341" t="s">
        <v>11199</v>
      </c>
      <c r="B341">
        <f>I149</f>
        <v>240</v>
      </c>
      <c r="C341" t="s">
        <v>12832</v>
      </c>
      <c r="E341" s="4"/>
      <c r="F341" s="12"/>
      <c r="H341" s="4" t="s">
        <v>343</v>
      </c>
      <c r="I341" s="5">
        <f t="shared" si="301"/>
        <v>65</v>
      </c>
      <c r="J341" s="5"/>
      <c r="K341" s="4" t="str">
        <f t="shared" si="297"/>
        <v>J7 Pro - incell premium=R$ 65,00</v>
      </c>
      <c r="M341" s="4" t="str">
        <f t="shared" si="298"/>
        <v>J7 Pro - incell premium=R$ 70,00</v>
      </c>
      <c r="O341" s="4" t="str">
        <f t="shared" si="299"/>
        <v>J7 Pro - incell premium=R$ 60,00</v>
      </c>
      <c r="Q341" s="4" t="str">
        <f t="shared" si="300"/>
        <v>J7 Pro - incell premium=R$ 75,00</v>
      </c>
    </row>
    <row r="342" spans="1:17" ht="15.75" customHeight="1" x14ac:dyDescent="0.3">
      <c r="A342" t="s">
        <v>2472</v>
      </c>
      <c r="B342">
        <f>I151</f>
        <v>70</v>
      </c>
      <c r="C342" t="s">
        <v>12833</v>
      </c>
      <c r="E342" s="4"/>
      <c r="F342" s="12"/>
      <c r="H342" s="4" t="s">
        <v>344</v>
      </c>
      <c r="I342" s="5">
        <f t="shared" si="301"/>
        <v>120</v>
      </c>
      <c r="J342" s="5"/>
      <c r="K342" s="4" t="str">
        <f t="shared" si="297"/>
        <v>J7 Pro - original           = R$ 120,00</v>
      </c>
      <c r="M342" s="4" t="str">
        <f t="shared" si="298"/>
        <v>J7 Pro - original           = R$ 125,00</v>
      </c>
      <c r="O342" s="4" t="str">
        <f t="shared" si="299"/>
        <v>J7 Pro - original           = R$ 115,00</v>
      </c>
      <c r="Q342" s="4" t="str">
        <f t="shared" si="300"/>
        <v>J7 Pro - original           = R$ 130,00</v>
      </c>
    </row>
    <row r="343" spans="1:17" ht="15.75" customHeight="1" x14ac:dyDescent="0.3">
      <c r="A343" t="s">
        <v>1884</v>
      </c>
      <c r="B343">
        <f>I153</f>
        <v>140</v>
      </c>
      <c r="C343" t="s">
        <v>12834</v>
      </c>
      <c r="E343" s="4"/>
      <c r="F343" s="12"/>
      <c r="H343" s="4" t="s">
        <v>345</v>
      </c>
      <c r="I343" s="5">
        <f t="shared" si="301"/>
        <v>60</v>
      </c>
      <c r="J343" s="5"/>
      <c r="K343" s="4" t="str">
        <f t="shared" si="297"/>
        <v>J8 - incell        = R$ 60,00</v>
      </c>
      <c r="M343" s="4" t="str">
        <f t="shared" si="298"/>
        <v>J8 - incell        = R$ 65,00</v>
      </c>
      <c r="O343" s="4" t="str">
        <f t="shared" si="299"/>
        <v>J8 - incell        = R$ 55,00</v>
      </c>
      <c r="Q343" s="4" t="str">
        <f t="shared" si="300"/>
        <v>J8 - incell        = R$ 70,00</v>
      </c>
    </row>
    <row r="344" spans="1:17" ht="15.75" customHeight="1" x14ac:dyDescent="0.3">
      <c r="A344" s="20" t="s">
        <v>2887</v>
      </c>
      <c r="B344">
        <f>I153</f>
        <v>140</v>
      </c>
      <c r="C344" t="s">
        <v>12834</v>
      </c>
      <c r="E344" s="4"/>
      <c r="F344" s="12"/>
      <c r="H344" s="4" t="s">
        <v>346</v>
      </c>
      <c r="I344" s="5">
        <f t="shared" si="301"/>
        <v>165</v>
      </c>
      <c r="J344" s="5"/>
      <c r="K344" s="4" t="str">
        <f t="shared" si="297"/>
        <v>J8 - original    = R$ 165,00</v>
      </c>
      <c r="M344" s="4" t="str">
        <f t="shared" si="298"/>
        <v>J8 - original    = R$ 170,00</v>
      </c>
      <c r="O344" s="4" t="str">
        <f t="shared" si="299"/>
        <v>J8 - original    = R$ 160,00</v>
      </c>
      <c r="Q344" s="4" t="str">
        <f t="shared" si="300"/>
        <v>J8 - original    = R$ 175,00</v>
      </c>
    </row>
    <row r="345" spans="1:17" ht="15.75" customHeight="1" x14ac:dyDescent="0.3">
      <c r="A345" s="20" t="s">
        <v>2888</v>
      </c>
      <c r="B345">
        <f>I153</f>
        <v>140</v>
      </c>
      <c r="C345" t="s">
        <v>12834</v>
      </c>
      <c r="E345" s="4"/>
      <c r="F345" s="12"/>
      <c r="H345" s="4" t="s">
        <v>347</v>
      </c>
      <c r="I345" s="5">
        <f>F309</f>
        <v>165</v>
      </c>
      <c r="J345" s="5"/>
      <c r="K345" s="4" t="str">
        <f t="shared" si="297"/>
        <v>J8 Plus - original         = R$ 165,00</v>
      </c>
      <c r="M345" s="4" t="str">
        <f t="shared" si="298"/>
        <v>J8 Plus - original         = R$ 170,00</v>
      </c>
      <c r="O345" s="4" t="str">
        <f t="shared" si="299"/>
        <v>J8 Plus - original         = R$ 160,00</v>
      </c>
      <c r="Q345" s="4" t="str">
        <f t="shared" si="300"/>
        <v>J8 Plus - original         = R$ 175,00</v>
      </c>
    </row>
    <row r="346" spans="1:17" ht="15.75" customHeight="1" x14ac:dyDescent="0.3">
      <c r="A346" t="s">
        <v>3057</v>
      </c>
      <c r="B346">
        <f>I152</f>
        <v>140</v>
      </c>
      <c r="C346" t="s">
        <v>12835</v>
      </c>
      <c r="E346" s="4"/>
      <c r="F346" s="12"/>
      <c r="H346" s="4"/>
      <c r="I346" s="5"/>
      <c r="J346" s="5"/>
    </row>
    <row r="347" spans="1:17" ht="15.75" customHeight="1" x14ac:dyDescent="0.3">
      <c r="A347" s="20" t="s">
        <v>2890</v>
      </c>
      <c r="B347">
        <f>I152</f>
        <v>140</v>
      </c>
      <c r="C347" t="s">
        <v>12835</v>
      </c>
      <c r="F347" s="12"/>
      <c r="H347" s="4" t="s">
        <v>11380</v>
      </c>
      <c r="I347" s="5">
        <f t="shared" ref="I347:J366" si="302">F317</f>
        <v>830</v>
      </c>
      <c r="J347" s="5"/>
      <c r="K347" s="4" t="str">
        <f t="shared" ref="K347:K366" si="303">CONCATENATE(H347,I347,",00")</f>
        <v>Galaxy S10 c/aro Nac Diamonds = 830,00</v>
      </c>
      <c r="M347" s="4" t="str">
        <f t="shared" ref="M347:M366" si="304">CONCATENATE(H347,I347+5,",00")</f>
        <v>Galaxy S10 c/aro Nac Diamonds = 835,00</v>
      </c>
      <c r="O347" s="4" t="str">
        <f t="shared" ref="O347:O366" si="305">CONCATENATE(H347,I347-5,",00")</f>
        <v>Galaxy S10 c/aro Nac Diamonds = 825,00</v>
      </c>
      <c r="Q347" s="4" t="str">
        <f t="shared" ref="Q347:Q366" si="306">CONCATENATE(H347,I347+10,",00")</f>
        <v>Galaxy S10 c/aro Nac Diamonds = 840,00</v>
      </c>
    </row>
    <row r="348" spans="1:17" ht="15.75" customHeight="1" x14ac:dyDescent="0.3">
      <c r="A348" t="s">
        <v>13170</v>
      </c>
      <c r="B348">
        <f>I154</f>
        <v>160</v>
      </c>
      <c r="F348" s="12"/>
      <c r="H348" s="4" t="s">
        <v>11381</v>
      </c>
      <c r="I348" s="5">
        <f t="shared" si="302"/>
        <v>920</v>
      </c>
      <c r="J348" s="5"/>
      <c r="K348" s="4" t="str">
        <f t="shared" si="303"/>
        <v>Galaxy S10 Plus c/aro Nac Diamonds = 920,00</v>
      </c>
      <c r="M348" s="4" t="str">
        <f t="shared" si="304"/>
        <v>Galaxy S10 Plus c/aro Nac Diamonds = 925,00</v>
      </c>
      <c r="O348" s="4" t="str">
        <f t="shared" si="305"/>
        <v>Galaxy S10 Plus c/aro Nac Diamonds = 915,00</v>
      </c>
      <c r="Q348" s="4" t="str">
        <f t="shared" si="306"/>
        <v>Galaxy S10 Plus c/aro Nac Diamonds = 930,00</v>
      </c>
    </row>
    <row r="349" spans="1:17" ht="15.75" customHeight="1" x14ac:dyDescent="0.3">
      <c r="A349" t="s">
        <v>13171</v>
      </c>
      <c r="B349">
        <f>B348</f>
        <v>160</v>
      </c>
      <c r="E349" s="115" t="s">
        <v>348</v>
      </c>
      <c r="F349" s="116"/>
      <c r="H349" s="4" t="s">
        <v>11382</v>
      </c>
      <c r="I349" s="5">
        <f t="shared" si="302"/>
        <v>720</v>
      </c>
      <c r="J349" s="5"/>
      <c r="K349" s="4" t="str">
        <f t="shared" si="303"/>
        <v>Galaxy S20 c/aro Nac Diamonds = 720,00</v>
      </c>
      <c r="M349" s="4" t="str">
        <f t="shared" si="304"/>
        <v>Galaxy S20 c/aro Nac Diamonds = 725,00</v>
      </c>
      <c r="O349" s="4" t="str">
        <f t="shared" si="305"/>
        <v>Galaxy S20 c/aro Nac Diamonds = 715,00</v>
      </c>
      <c r="Q349" s="4" t="str">
        <f t="shared" si="306"/>
        <v>Galaxy S20 c/aro Nac Diamonds = 730,00</v>
      </c>
    </row>
    <row r="350" spans="1:17" ht="15.75" customHeight="1" x14ac:dyDescent="0.3">
      <c r="A350" t="s">
        <v>2477</v>
      </c>
      <c r="B350">
        <f>I156</f>
        <v>70</v>
      </c>
      <c r="C350" t="s">
        <v>12836</v>
      </c>
      <c r="E350" s="102" t="s">
        <v>349</v>
      </c>
      <c r="F350" s="6">
        <v>55</v>
      </c>
      <c r="H350" s="4" t="s">
        <v>11391</v>
      </c>
      <c r="I350" s="5">
        <f t="shared" si="302"/>
        <v>240</v>
      </c>
      <c r="J350" s="5"/>
      <c r="K350" s="4" t="str">
        <f t="shared" ref="K350" si="307">CONCATENATE(H350,I350,",00")</f>
        <v>Galaxy S20 FE c/aro = R$  240,00</v>
      </c>
      <c r="M350" s="4" t="str">
        <f t="shared" ref="M350" si="308">CONCATENATE(H350,I350+5,",00")</f>
        <v>Galaxy S20 FE c/aro = R$  245,00</v>
      </c>
      <c r="O350" s="4" t="str">
        <f t="shared" ref="O350" si="309">CONCATENATE(H350,I350-5,",00")</f>
        <v>Galaxy S20 FE c/aro = R$  235,00</v>
      </c>
      <c r="Q350" s="4" t="str">
        <f t="shared" ref="Q350" si="310">CONCATENATE(H350,I350+10,",00")</f>
        <v>Galaxy S20 FE c/aro = R$  250,00</v>
      </c>
    </row>
    <row r="351" spans="1:17" ht="15.75" customHeight="1" x14ac:dyDescent="0.3">
      <c r="A351" t="s">
        <v>1885</v>
      </c>
      <c r="B351">
        <f>I158</f>
        <v>145</v>
      </c>
      <c r="C351" t="s">
        <v>12837</v>
      </c>
      <c r="E351" s="103" t="s">
        <v>402</v>
      </c>
      <c r="F351" s="13">
        <v>70</v>
      </c>
      <c r="H351" s="4" t="s">
        <v>11383</v>
      </c>
      <c r="I351" s="5">
        <f t="shared" si="302"/>
        <v>260</v>
      </c>
      <c r="J351" s="5"/>
      <c r="K351" s="4" t="str">
        <f t="shared" si="303"/>
        <v>Galaxy S20 FE c/aro Nac Diamonds = 260,00</v>
      </c>
      <c r="M351" s="4" t="str">
        <f t="shared" si="304"/>
        <v>Galaxy S20 FE c/aro Nac Diamonds = 265,00</v>
      </c>
      <c r="O351" s="4" t="str">
        <f t="shared" si="305"/>
        <v>Galaxy S20 FE c/aro Nac Diamonds = 255,00</v>
      </c>
      <c r="Q351" s="4" t="str">
        <f t="shared" si="306"/>
        <v>Galaxy S20 FE c/aro Nac Diamonds = 270,00</v>
      </c>
    </row>
    <row r="352" spans="1:17" ht="15.75" customHeight="1" x14ac:dyDescent="0.3">
      <c r="A352" s="20" t="s">
        <v>2893</v>
      </c>
      <c r="B352">
        <f>I158</f>
        <v>145</v>
      </c>
      <c r="C352" t="s">
        <v>12837</v>
      </c>
      <c r="E352" s="102" t="s">
        <v>351</v>
      </c>
      <c r="F352" s="6">
        <v>55</v>
      </c>
      <c r="H352" s="4" t="s">
        <v>11384</v>
      </c>
      <c r="I352" s="5">
        <f t="shared" si="302"/>
        <v>720</v>
      </c>
      <c r="J352" s="5"/>
      <c r="K352" s="4" t="str">
        <f t="shared" si="303"/>
        <v>Galaxy S20 Plus c/aro Nac Diamonds = 720,00</v>
      </c>
      <c r="M352" s="4" t="str">
        <f t="shared" si="304"/>
        <v>Galaxy S20 Plus c/aro Nac Diamonds = 725,00</v>
      </c>
      <c r="O352" s="4" t="str">
        <f t="shared" si="305"/>
        <v>Galaxy S20 Plus c/aro Nac Diamonds = 715,00</v>
      </c>
      <c r="Q352" s="4" t="str">
        <f t="shared" si="306"/>
        <v>Galaxy S20 Plus c/aro Nac Diamonds = 730,00</v>
      </c>
    </row>
    <row r="353" spans="1:17" ht="15.75" customHeight="1" x14ac:dyDescent="0.3">
      <c r="A353" s="20" t="s">
        <v>2892</v>
      </c>
      <c r="B353">
        <f>I158</f>
        <v>145</v>
      </c>
      <c r="C353" t="s">
        <v>12837</v>
      </c>
      <c r="E353" s="102" t="s">
        <v>350</v>
      </c>
      <c r="F353" s="6">
        <v>55</v>
      </c>
      <c r="H353" s="4" t="s">
        <v>11385</v>
      </c>
      <c r="I353" s="5">
        <f t="shared" si="302"/>
        <v>950</v>
      </c>
      <c r="J353" s="5"/>
      <c r="K353" s="4" t="str">
        <f t="shared" ref="K353" si="311">CONCATENATE(H353,I353,",00")</f>
        <v>Galaxy S20 Ultra c/aro Nac Diamonds = 950,00</v>
      </c>
      <c r="M353" s="4" t="str">
        <f t="shared" ref="M353" si="312">CONCATENATE(H353,I353+5,",00")</f>
        <v>Galaxy S20 Ultra c/aro Nac Diamonds = 955,00</v>
      </c>
      <c r="O353" s="4" t="str">
        <f t="shared" ref="O353" si="313">CONCATENATE(H353,I353-5,",00")</f>
        <v>Galaxy S20 Ultra c/aro Nac Diamonds = 945,00</v>
      </c>
      <c r="Q353" s="4" t="str">
        <f t="shared" ref="Q353" si="314">CONCATENATE(H353,I353+10,",00")</f>
        <v>Galaxy S20 Ultra c/aro Nac Diamonds = 960,00</v>
      </c>
    </row>
    <row r="354" spans="1:17" ht="15.75" customHeight="1" x14ac:dyDescent="0.3">
      <c r="A354" t="s">
        <v>2251</v>
      </c>
      <c r="B354">
        <f>I155</f>
        <v>65</v>
      </c>
      <c r="C354" t="s">
        <v>12838</v>
      </c>
      <c r="E354" s="102" t="s">
        <v>404</v>
      </c>
      <c r="F354" s="6">
        <v>75</v>
      </c>
      <c r="H354" s="4" t="s">
        <v>11386</v>
      </c>
      <c r="I354" s="5">
        <f t="shared" si="302"/>
        <v>660</v>
      </c>
      <c r="J354" s="5"/>
      <c r="K354" s="4" t="str">
        <f t="shared" si="303"/>
        <v>Galaxy S21 c/aro Nac Diamonds = 660,00</v>
      </c>
      <c r="M354" s="4" t="str">
        <f t="shared" si="304"/>
        <v>Galaxy S21 c/aro Nac Diamonds = 665,00</v>
      </c>
      <c r="O354" s="4" t="str">
        <f t="shared" si="305"/>
        <v>Galaxy S21 c/aro Nac Diamonds = 655,00</v>
      </c>
      <c r="Q354" s="4" t="str">
        <f t="shared" si="306"/>
        <v>Galaxy S21 c/aro Nac Diamonds = 670,00</v>
      </c>
    </row>
    <row r="355" spans="1:17" ht="15.75" customHeight="1" x14ac:dyDescent="0.3">
      <c r="A355" t="s">
        <v>2048</v>
      </c>
      <c r="B355">
        <f>I157</f>
        <v>140</v>
      </c>
      <c r="C355" t="s">
        <v>12839</v>
      </c>
      <c r="E355" s="102" t="s">
        <v>352</v>
      </c>
      <c r="F355" s="6">
        <v>60</v>
      </c>
      <c r="H355" s="4" t="s">
        <v>10622</v>
      </c>
      <c r="I355" s="5">
        <f t="shared" si="302"/>
        <v>440</v>
      </c>
      <c r="J355" s="5"/>
      <c r="K355" s="4" t="str">
        <f t="shared" si="303"/>
        <v>Galaxy S21 FE c/aro    = R$ 440,00</v>
      </c>
      <c r="M355" s="4" t="str">
        <f t="shared" si="304"/>
        <v>Galaxy S21 FE c/aro    = R$ 445,00</v>
      </c>
      <c r="O355" s="4" t="str">
        <f t="shared" si="305"/>
        <v>Galaxy S21 FE c/aro    = R$ 435,00</v>
      </c>
      <c r="Q355" s="4" t="str">
        <f t="shared" si="306"/>
        <v>Galaxy S21 FE c/aro    = R$ 450,00</v>
      </c>
    </row>
    <row r="356" spans="1:17" ht="15.75" customHeight="1" x14ac:dyDescent="0.3">
      <c r="A356" s="20" t="s">
        <v>2894</v>
      </c>
      <c r="B356">
        <f>I157</f>
        <v>140</v>
      </c>
      <c r="C356" t="s">
        <v>12839</v>
      </c>
      <c r="E356" s="102" t="s">
        <v>407</v>
      </c>
      <c r="F356" s="6">
        <v>75</v>
      </c>
      <c r="H356" s="4" t="s">
        <v>11402</v>
      </c>
      <c r="I356" s="5">
        <f t="shared" si="302"/>
        <v>610</v>
      </c>
      <c r="J356" s="5"/>
      <c r="K356" s="4" t="str">
        <f t="shared" ref="K356" si="315">CONCATENATE(H356,I356,",00")</f>
        <v>Galaxy S21 FE c/aro Nac Diamonds = 610,00</v>
      </c>
      <c r="M356" s="4" t="str">
        <f t="shared" ref="M356" si="316">CONCATENATE(H356,I356+5,",00")</f>
        <v>Galaxy S21 FE c/aro Nac Diamonds = 615,00</v>
      </c>
      <c r="O356" s="4" t="str">
        <f t="shared" ref="O356" si="317">CONCATENATE(H356,I356-5,",00")</f>
        <v>Galaxy S21 FE c/aro Nac Diamonds = 605,00</v>
      </c>
      <c r="Q356" s="4" t="str">
        <f t="shared" ref="Q356" si="318">CONCATENATE(H356,I356+10,",00")</f>
        <v>Galaxy S21 FE c/aro Nac Diamonds = 620,00</v>
      </c>
    </row>
    <row r="357" spans="1:17" ht="15.75" customHeight="1" x14ac:dyDescent="0.3">
      <c r="A357" s="20" t="s">
        <v>2895</v>
      </c>
      <c r="B357">
        <f>I157</f>
        <v>140</v>
      </c>
      <c r="C357" t="s">
        <v>12839</v>
      </c>
      <c r="E357" s="102" t="s">
        <v>353</v>
      </c>
      <c r="F357" s="6">
        <v>60</v>
      </c>
      <c r="H357" s="4" t="s">
        <v>11387</v>
      </c>
      <c r="I357" s="5">
        <f t="shared" si="302"/>
        <v>670</v>
      </c>
      <c r="J357" s="5"/>
      <c r="K357" s="4" t="str">
        <f t="shared" si="303"/>
        <v>Galaxy S21 Plus c/aro Nac Diamonds = 670,00</v>
      </c>
      <c r="M357" s="4" t="str">
        <f t="shared" si="304"/>
        <v>Galaxy S21 Plus c/aro Nac Diamonds = 675,00</v>
      </c>
      <c r="O357" s="4" t="str">
        <f t="shared" si="305"/>
        <v>Galaxy S21 Plus c/aro Nac Diamonds = 665,00</v>
      </c>
      <c r="Q357" s="4" t="str">
        <f t="shared" si="306"/>
        <v>Galaxy S21 Plus c/aro Nac Diamonds = 680,00</v>
      </c>
    </row>
    <row r="358" spans="1:17" ht="15.75" customHeight="1" x14ac:dyDescent="0.3">
      <c r="A358" t="s">
        <v>2047</v>
      </c>
      <c r="B358">
        <f>I152</f>
        <v>140</v>
      </c>
      <c r="C358" t="s">
        <v>12835</v>
      </c>
      <c r="E358" s="102" t="s">
        <v>409</v>
      </c>
      <c r="F358" s="6">
        <v>75</v>
      </c>
      <c r="H358" s="4" t="s">
        <v>11388</v>
      </c>
      <c r="I358" s="5">
        <f t="shared" si="302"/>
        <v>720</v>
      </c>
      <c r="J358" s="5"/>
      <c r="K358" s="4" t="str">
        <f t="shared" si="303"/>
        <v>Galaxy S21 Ultra c/aro Nac Diamonds = 720,00</v>
      </c>
      <c r="M358" s="4" t="str">
        <f t="shared" si="304"/>
        <v>Galaxy S21 Ultra c/aro Nac Diamonds = 725,00</v>
      </c>
      <c r="O358" s="4" t="str">
        <f t="shared" si="305"/>
        <v>Galaxy S21 Ultra c/aro Nac Diamonds = 715,00</v>
      </c>
      <c r="Q358" s="4" t="str">
        <f t="shared" si="306"/>
        <v>Galaxy S21 Ultra c/aro Nac Diamonds = 730,00</v>
      </c>
    </row>
    <row r="359" spans="1:17" ht="15.75" customHeight="1" x14ac:dyDescent="0.3">
      <c r="A359" s="20" t="s">
        <v>2889</v>
      </c>
      <c r="B359">
        <f>I152</f>
        <v>140</v>
      </c>
      <c r="C359" t="s">
        <v>12835</v>
      </c>
      <c r="E359" s="102" t="s">
        <v>354</v>
      </c>
      <c r="F359" s="6">
        <v>65</v>
      </c>
      <c r="H359" s="4" t="s">
        <v>13175</v>
      </c>
      <c r="I359" s="5">
        <f t="shared" si="302"/>
        <v>750</v>
      </c>
      <c r="J359" s="5"/>
      <c r="K359" s="4" t="str">
        <f t="shared" si="303"/>
        <v>Galaxy S22 Ultra c/aro Nac Diamonds = 750,00</v>
      </c>
      <c r="M359" s="4" t="str">
        <f t="shared" si="304"/>
        <v>Galaxy S22 Ultra c/aro Nac Diamonds = 755,00</v>
      </c>
      <c r="O359" s="4" t="str">
        <f t="shared" si="305"/>
        <v>Galaxy S22 Ultra c/aro Nac Diamonds = 745,00</v>
      </c>
      <c r="Q359" s="4" t="str">
        <f t="shared" si="306"/>
        <v>Galaxy S22 Ultra c/aro Nac Diamonds = 760,00</v>
      </c>
    </row>
    <row r="360" spans="1:17" ht="15.75" customHeight="1" x14ac:dyDescent="0.3">
      <c r="A360" t="s">
        <v>2481</v>
      </c>
      <c r="B360">
        <f>I159</f>
        <v>75</v>
      </c>
      <c r="C360" t="s">
        <v>12840</v>
      </c>
      <c r="E360" s="102" t="s">
        <v>411</v>
      </c>
      <c r="F360" s="6">
        <v>80</v>
      </c>
      <c r="H360" s="4" t="s">
        <v>11253</v>
      </c>
      <c r="I360" s="5">
        <f t="shared" si="302"/>
        <v>400</v>
      </c>
      <c r="J360" s="5"/>
      <c r="K360" s="4" t="str">
        <f t="shared" ref="K360" si="319">CONCATENATE(H360,I360,",00")</f>
        <v>Galaxy S23 FE c/aro    = R$ 400,00</v>
      </c>
      <c r="M360" s="4" t="str">
        <f t="shared" ref="M360" si="320">CONCATENATE(H360,I360+5,",00")</f>
        <v>Galaxy S23 FE c/aro    = R$ 405,00</v>
      </c>
      <c r="O360" s="4" t="str">
        <f t="shared" ref="O360" si="321">CONCATENATE(H360,I360-5,",00")</f>
        <v>Galaxy S23 FE c/aro    = R$ 395,00</v>
      </c>
      <c r="Q360" s="4" t="str">
        <f t="shared" ref="Q360" si="322">CONCATENATE(H360,I360+10,",00")</f>
        <v>Galaxy S23 FE c/aro    = R$ 410,00</v>
      </c>
    </row>
    <row r="361" spans="1:17" ht="15.75" customHeight="1" x14ac:dyDescent="0.3">
      <c r="A361" t="s">
        <v>1886</v>
      </c>
      <c r="B361">
        <f>I160</f>
        <v>145</v>
      </c>
      <c r="C361" t="s">
        <v>12841</v>
      </c>
      <c r="E361" s="102" t="s">
        <v>356</v>
      </c>
      <c r="F361" s="6">
        <v>60</v>
      </c>
      <c r="H361" s="4" t="s">
        <v>11389</v>
      </c>
      <c r="I361" s="5">
        <f t="shared" si="302"/>
        <v>590</v>
      </c>
      <c r="J361" s="5"/>
      <c r="K361" s="4" t="str">
        <f t="shared" si="303"/>
        <v>Galaxy S23 FE c/aro Nac Diamonds = 590,00</v>
      </c>
      <c r="M361" s="4" t="str">
        <f t="shared" si="304"/>
        <v>Galaxy S23 FE c/aro Nac Diamonds = 595,00</v>
      </c>
      <c r="O361" s="4" t="str">
        <f t="shared" si="305"/>
        <v>Galaxy S23 FE c/aro Nac Diamonds = 585,00</v>
      </c>
      <c r="Q361" s="4" t="str">
        <f t="shared" si="306"/>
        <v>Galaxy S23 FE c/aro Nac Diamonds = 600,00</v>
      </c>
    </row>
    <row r="362" spans="1:17" ht="15.75" customHeight="1" x14ac:dyDescent="0.3">
      <c r="A362" s="20" t="s">
        <v>2896</v>
      </c>
      <c r="B362">
        <f>I160</f>
        <v>145</v>
      </c>
      <c r="C362" t="s">
        <v>12841</v>
      </c>
      <c r="E362" s="102" t="s">
        <v>412</v>
      </c>
      <c r="F362" s="6">
        <v>80</v>
      </c>
      <c r="H362" s="4" t="s">
        <v>12196</v>
      </c>
      <c r="I362" s="5">
        <f t="shared" si="302"/>
        <v>770</v>
      </c>
      <c r="J362" s="5"/>
      <c r="K362" s="4" t="str">
        <f t="shared" ref="K362" si="323">CONCATENATE(H362,I362,",00")</f>
        <v>Galaxy S23 Ultra c/aro Nac Diamonds = 770,00</v>
      </c>
      <c r="M362" s="4" t="str">
        <f t="shared" ref="M362" si="324">CONCATENATE(H362,I362+5,",00")</f>
        <v>Galaxy S23 Ultra c/aro Nac Diamonds = 775,00</v>
      </c>
      <c r="O362" s="4" t="str">
        <f t="shared" ref="O362" si="325">CONCATENATE(H362,I362-5,",00")</f>
        <v>Galaxy S23 Ultra c/aro Nac Diamonds = 765,00</v>
      </c>
      <c r="Q362" s="4" t="str">
        <f t="shared" ref="Q362" si="326">CONCATENATE(H362,I362+10,",00")</f>
        <v>Galaxy S23 Ultra c/aro Nac Diamonds = 780,00</v>
      </c>
    </row>
    <row r="363" spans="1:17" ht="15.75" customHeight="1" x14ac:dyDescent="0.3">
      <c r="A363" s="20" t="s">
        <v>2897</v>
      </c>
      <c r="B363">
        <f>I160</f>
        <v>145</v>
      </c>
      <c r="C363" t="s">
        <v>12841</v>
      </c>
      <c r="E363" s="102" t="s">
        <v>357</v>
      </c>
      <c r="F363" s="6">
        <v>70</v>
      </c>
      <c r="H363" s="4" t="s">
        <v>11254</v>
      </c>
      <c r="I363" s="5">
        <f t="shared" si="302"/>
        <v>370</v>
      </c>
      <c r="J363" s="5"/>
      <c r="K363" s="4" t="str">
        <f t="shared" si="303"/>
        <v>Galaxy S24 FE c/aro    = R$ 370,00</v>
      </c>
      <c r="M363" s="4" t="str">
        <f t="shared" si="304"/>
        <v>Galaxy S24 FE c/aro    = R$ 375,00</v>
      </c>
      <c r="O363" s="4" t="str">
        <f t="shared" si="305"/>
        <v>Galaxy S24 FE c/aro    = R$ 365,00</v>
      </c>
      <c r="Q363" s="4" t="str">
        <f t="shared" si="306"/>
        <v>Galaxy S24 FE c/aro    = R$ 380,00</v>
      </c>
    </row>
    <row r="364" spans="1:17" ht="15.75" customHeight="1" x14ac:dyDescent="0.3">
      <c r="A364" s="25" t="s">
        <v>5073</v>
      </c>
      <c r="B364">
        <f>I161</f>
        <v>80</v>
      </c>
      <c r="C364" t="s">
        <v>12842</v>
      </c>
      <c r="E364" s="102" t="s">
        <v>413</v>
      </c>
      <c r="F364" s="6">
        <v>85</v>
      </c>
      <c r="H364" s="4" t="s">
        <v>11405</v>
      </c>
      <c r="I364" s="5">
        <f t="shared" si="302"/>
        <v>390</v>
      </c>
      <c r="J364" s="5"/>
      <c r="K364" s="4" t="str">
        <f t="shared" ref="K364:K365" si="327">CONCATENATE(H364,I364,",00")</f>
        <v>Galaxy S24 FE c/aro Nac Diamonds = 390,00</v>
      </c>
      <c r="M364" s="4" t="str">
        <f t="shared" ref="M364:M365" si="328">CONCATENATE(H364,I364+5,",00")</f>
        <v>Galaxy S24 FE c/aro Nac Diamonds = 395,00</v>
      </c>
      <c r="O364" s="4" t="str">
        <f t="shared" ref="O364:O365" si="329">CONCATENATE(H364,I364-5,",00")</f>
        <v>Galaxy S24 FE c/aro Nac Diamonds = 385,00</v>
      </c>
      <c r="Q364" s="4" t="str">
        <f t="shared" ref="Q364:Q365" si="330">CONCATENATE(H364,I364+10,",00")</f>
        <v>Galaxy S24 FE c/aro Nac Diamonds = 400,00</v>
      </c>
    </row>
    <row r="365" spans="1:17" ht="15.75" customHeight="1" x14ac:dyDescent="0.3">
      <c r="A365" s="20" t="s">
        <v>2484</v>
      </c>
      <c r="B365">
        <f>I161</f>
        <v>80</v>
      </c>
      <c r="C365" t="s">
        <v>12842</v>
      </c>
      <c r="E365" s="102" t="s">
        <v>358</v>
      </c>
      <c r="F365" s="6">
        <v>75</v>
      </c>
      <c r="H365" s="4" t="s">
        <v>12609</v>
      </c>
      <c r="I365" s="5">
        <f t="shared" si="302"/>
        <v>1495</v>
      </c>
      <c r="J365" s="5"/>
      <c r="K365" s="4" t="str">
        <f t="shared" si="327"/>
        <v>Note 10 Plus c/aro Nac (Tela/G) = 1495,00</v>
      </c>
      <c r="M365" s="4" t="str">
        <f t="shared" si="328"/>
        <v>Note 10 Plus c/aro Nac (Tela/G) = 1500,00</v>
      </c>
      <c r="O365" s="4" t="str">
        <f t="shared" si="329"/>
        <v>Note 10 Plus c/aro Nac (Tela/G) = 1490,00</v>
      </c>
      <c r="Q365" s="4" t="str">
        <f t="shared" si="330"/>
        <v>Note 10 Plus c/aro Nac (Tela/G) = 1505,00</v>
      </c>
    </row>
    <row r="366" spans="1:17" ht="15.75" customHeight="1" x14ac:dyDescent="0.3">
      <c r="A366" t="s">
        <v>5080</v>
      </c>
      <c r="B366">
        <f>I162</f>
        <v>155</v>
      </c>
      <c r="C366" t="s">
        <v>12841</v>
      </c>
      <c r="E366" s="102" t="s">
        <v>13348</v>
      </c>
      <c r="F366" s="16">
        <v>105</v>
      </c>
      <c r="H366" s="4" t="s">
        <v>11390</v>
      </c>
      <c r="I366" s="5">
        <f t="shared" si="302"/>
        <v>790</v>
      </c>
      <c r="J366" s="5"/>
      <c r="K366" s="4" t="str">
        <f t="shared" si="303"/>
        <v>Note 10 Plus c/aro Nac Diamonds (Tela/P)=790,00</v>
      </c>
      <c r="M366" s="4" t="str">
        <f t="shared" si="304"/>
        <v>Note 10 Plus c/aro Nac Diamonds (Tela/P)=795,00</v>
      </c>
      <c r="O366" s="4" t="str">
        <f t="shared" si="305"/>
        <v>Note 10 Plus c/aro Nac Diamonds (Tela/P)=785,00</v>
      </c>
      <c r="Q366" s="4" t="str">
        <f t="shared" si="306"/>
        <v>Note 10 Plus c/aro Nac Diamonds (Tela/P)=800,00</v>
      </c>
    </row>
    <row r="367" spans="1:17" ht="15.75" customHeight="1" x14ac:dyDescent="0.3">
      <c r="A367" t="s">
        <v>1887</v>
      </c>
      <c r="B367">
        <f>I162</f>
        <v>155</v>
      </c>
      <c r="C367" t="s">
        <v>12841</v>
      </c>
      <c r="E367" s="102" t="s">
        <v>3368</v>
      </c>
      <c r="F367" s="6">
        <v>160</v>
      </c>
      <c r="I367" s="5"/>
      <c r="J367" s="5"/>
    </row>
    <row r="368" spans="1:17" ht="15.75" customHeight="1" x14ac:dyDescent="0.3">
      <c r="A368" s="20" t="s">
        <v>2898</v>
      </c>
      <c r="B368">
        <f>I162</f>
        <v>155</v>
      </c>
      <c r="C368" t="s">
        <v>12841</v>
      </c>
      <c r="E368" s="102" t="s">
        <v>360</v>
      </c>
      <c r="F368" s="6">
        <v>80</v>
      </c>
      <c r="H368" s="4" t="s">
        <v>355</v>
      </c>
      <c r="I368" s="5"/>
      <c r="J368" s="5"/>
      <c r="K368" s="4" t="s">
        <v>355</v>
      </c>
      <c r="M368" s="4" t="s">
        <v>355</v>
      </c>
      <c r="O368" s="4" t="s">
        <v>355</v>
      </c>
      <c r="Q368" s="4" t="s">
        <v>355</v>
      </c>
    </row>
    <row r="369" spans="1:17" ht="15.75" customHeight="1" x14ac:dyDescent="0.3">
      <c r="A369" s="20" t="s">
        <v>2899</v>
      </c>
      <c r="B369">
        <f>I162</f>
        <v>155</v>
      </c>
      <c r="C369" t="s">
        <v>12841</v>
      </c>
      <c r="E369" s="102" t="s">
        <v>13310</v>
      </c>
      <c r="F369" s="16">
        <v>110</v>
      </c>
      <c r="H369" s="4" t="s">
        <v>359</v>
      </c>
      <c r="I369" s="5">
        <f t="shared" ref="I369:J386" si="331">F350</f>
        <v>55</v>
      </c>
      <c r="J369" s="5"/>
      <c r="K369" s="4" t="str">
        <f t="shared" ref="K369:K468" si="332">CONCATENATE(H369,I369,",00")</f>
        <v>iPhone 6   = R$ 55,00</v>
      </c>
      <c r="M369" s="4" t="str">
        <f t="shared" ref="M369:M468" si="333">CONCATENATE(H369,I369+5,",00")</f>
        <v>iPhone 6   = R$ 60,00</v>
      </c>
      <c r="O369" s="4" t="str">
        <f t="shared" ref="O369:O468" si="334">CONCATENATE(H369,I369-5,",00")</f>
        <v>iPhone 6   = R$ 50,00</v>
      </c>
      <c r="Q369" s="4" t="str">
        <f t="shared" ref="Q369:Q468" si="335">CONCATENATE(H369,I369+10,",00")</f>
        <v>iPhone 6   = R$ 65,00</v>
      </c>
    </row>
    <row r="370" spans="1:17" ht="15.75" customHeight="1" x14ac:dyDescent="0.3">
      <c r="A370" t="s">
        <v>11096</v>
      </c>
      <c r="B370">
        <f>I162</f>
        <v>155</v>
      </c>
      <c r="C370" t="s">
        <v>12841</v>
      </c>
      <c r="E370" s="102" t="s">
        <v>3369</v>
      </c>
      <c r="F370" s="6">
        <v>160</v>
      </c>
      <c r="H370" s="4" t="s">
        <v>414</v>
      </c>
      <c r="I370" s="5">
        <f t="shared" si="331"/>
        <v>70</v>
      </c>
      <c r="J370" s="5"/>
      <c r="K370" s="4" t="str">
        <f t="shared" ref="K370:K383" si="336">CONCATENATE(H370,I370,",00")</f>
        <v>iPhone 6 VIVID    = R$ 70,00</v>
      </c>
      <c r="M370" s="4" t="str">
        <f t="shared" ref="M370:M383" si="337">CONCATENATE(H370,I370+5,",00")</f>
        <v>iPhone 6 VIVID    = R$ 75,00</v>
      </c>
      <c r="O370" s="4" t="str">
        <f t="shared" ref="O370:O383" si="338">CONCATENATE(H370,I370-5,",00")</f>
        <v>iPhone 6 VIVID    = R$ 65,00</v>
      </c>
      <c r="Q370" s="4" t="str">
        <f t="shared" ref="Q370:Q383" si="339">CONCATENATE(H370,I370+10,",00")</f>
        <v>iPhone 6 VIVID    = R$ 80,00</v>
      </c>
    </row>
    <row r="371" spans="1:17" ht="15.75" customHeight="1" x14ac:dyDescent="0.3">
      <c r="A371" t="s">
        <v>11097</v>
      </c>
      <c r="B371">
        <f>I162</f>
        <v>155</v>
      </c>
      <c r="C371" t="s">
        <v>12841</v>
      </c>
      <c r="E371" s="102" t="s">
        <v>362</v>
      </c>
      <c r="F371" s="6">
        <v>100</v>
      </c>
      <c r="H371" s="4" t="s">
        <v>363</v>
      </c>
      <c r="I371" s="5">
        <f t="shared" si="331"/>
        <v>55</v>
      </c>
      <c r="J371" s="5"/>
      <c r="K371" s="4" t="str">
        <f t="shared" si="336"/>
        <v>iPhone 6 Plus         = R$ 55,00</v>
      </c>
      <c r="M371" s="4" t="str">
        <f t="shared" si="337"/>
        <v>iPhone 6 Plus         = R$ 60,00</v>
      </c>
      <c r="O371" s="4" t="str">
        <f t="shared" si="338"/>
        <v>iPhone 6 Plus         = R$ 50,00</v>
      </c>
      <c r="Q371" s="4" t="str">
        <f t="shared" si="339"/>
        <v>iPhone 6 Plus         = R$ 65,00</v>
      </c>
    </row>
    <row r="372" spans="1:17" ht="15.75" customHeight="1" x14ac:dyDescent="0.3">
      <c r="A372" s="53" t="s">
        <v>11104</v>
      </c>
      <c r="B372">
        <f>I162</f>
        <v>155</v>
      </c>
      <c r="C372" t="s">
        <v>12841</v>
      </c>
      <c r="E372" s="102" t="s">
        <v>13311</v>
      </c>
      <c r="F372" s="16">
        <v>125</v>
      </c>
      <c r="H372" s="4" t="s">
        <v>361</v>
      </c>
      <c r="I372" s="5">
        <f t="shared" si="331"/>
        <v>55</v>
      </c>
      <c r="J372" s="5"/>
      <c r="K372" s="4" t="str">
        <f t="shared" si="336"/>
        <v>iPhone 6s  = R$ 55,00</v>
      </c>
      <c r="M372" s="4" t="str">
        <f t="shared" si="337"/>
        <v>iPhone 6s  = R$ 60,00</v>
      </c>
      <c r="O372" s="4" t="str">
        <f t="shared" si="338"/>
        <v>iPhone 6s  = R$ 50,00</v>
      </c>
      <c r="Q372" s="4" t="str">
        <f t="shared" si="339"/>
        <v>iPhone 6s  = R$ 65,00</v>
      </c>
    </row>
    <row r="373" spans="1:17" ht="15.75" customHeight="1" x14ac:dyDescent="0.3">
      <c r="A373" s="53" t="s">
        <v>11105</v>
      </c>
      <c r="B373">
        <f>I162</f>
        <v>155</v>
      </c>
      <c r="C373" t="s">
        <v>12841</v>
      </c>
      <c r="E373" s="102" t="s">
        <v>364</v>
      </c>
      <c r="F373" s="6">
        <v>210</v>
      </c>
      <c r="H373" s="4" t="s">
        <v>415</v>
      </c>
      <c r="I373" s="5">
        <f t="shared" si="331"/>
        <v>75</v>
      </c>
      <c r="J373" s="5"/>
      <c r="K373" s="4" t="str">
        <f t="shared" si="336"/>
        <v>iPhone 6s VIVID     = R$ 75,00</v>
      </c>
      <c r="M373" s="4" t="str">
        <f t="shared" si="337"/>
        <v>iPhone 6s VIVID     = R$ 80,00</v>
      </c>
      <c r="O373" s="4" t="str">
        <f t="shared" si="338"/>
        <v>iPhone 6s VIVID     = R$ 70,00</v>
      </c>
      <c r="Q373" s="4" t="str">
        <f t="shared" si="339"/>
        <v>iPhone 6s VIVID     = R$ 85,00</v>
      </c>
    </row>
    <row r="374" spans="1:17" ht="15.75" customHeight="1" x14ac:dyDescent="0.3">
      <c r="A374" t="s">
        <v>12366</v>
      </c>
      <c r="B374">
        <f>I163</f>
        <v>175</v>
      </c>
      <c r="E374" s="102" t="s">
        <v>13162</v>
      </c>
      <c r="F374" s="6">
        <v>110</v>
      </c>
      <c r="H374" s="4" t="s">
        <v>365</v>
      </c>
      <c r="I374" s="5">
        <f t="shared" si="331"/>
        <v>60</v>
      </c>
      <c r="J374" s="5"/>
      <c r="K374" s="4" t="str">
        <f t="shared" si="336"/>
        <v>iPhone 6s Plus        = R$ 60,00</v>
      </c>
      <c r="M374" s="4" t="str">
        <f t="shared" si="337"/>
        <v>iPhone 6s Plus        = R$ 65,00</v>
      </c>
      <c r="O374" s="4" t="str">
        <f t="shared" si="338"/>
        <v>iPhone 6s Plus        = R$ 55,00</v>
      </c>
      <c r="Q374" s="4" t="str">
        <f t="shared" si="339"/>
        <v>iPhone 6s Plus        = R$ 70,00</v>
      </c>
    </row>
    <row r="375" spans="1:17" ht="15.75" customHeight="1" x14ac:dyDescent="0.3">
      <c r="A375" t="s">
        <v>12367</v>
      </c>
      <c r="B375">
        <f>I163</f>
        <v>175</v>
      </c>
      <c r="E375" s="102" t="s">
        <v>13163</v>
      </c>
      <c r="F375" s="6">
        <v>110</v>
      </c>
      <c r="H375" s="4" t="s">
        <v>416</v>
      </c>
      <c r="I375" s="5">
        <f t="shared" si="331"/>
        <v>75</v>
      </c>
      <c r="J375" s="5"/>
      <c r="K375" s="4" t="str">
        <f t="shared" si="336"/>
        <v>iPhone 6s Plus VIVID = R$ 75,00</v>
      </c>
      <c r="M375" s="4" t="str">
        <f t="shared" si="337"/>
        <v>iPhone 6s Plus VIVID = R$ 80,00</v>
      </c>
      <c r="O375" s="4" t="str">
        <f t="shared" si="338"/>
        <v>iPhone 6s Plus VIVID = R$ 70,00</v>
      </c>
      <c r="Q375" s="4" t="str">
        <f t="shared" si="339"/>
        <v>iPhone 6s Plus VIVID = R$ 85,00</v>
      </c>
    </row>
    <row r="376" spans="1:17" ht="15.75" customHeight="1" x14ac:dyDescent="0.3">
      <c r="A376" t="s">
        <v>12368</v>
      </c>
      <c r="B376">
        <f>I163</f>
        <v>175</v>
      </c>
      <c r="E376" s="102" t="s">
        <v>367</v>
      </c>
      <c r="F376" s="6">
        <v>95</v>
      </c>
      <c r="H376" s="4" t="s">
        <v>366</v>
      </c>
      <c r="I376" s="5">
        <f t="shared" si="331"/>
        <v>60</v>
      </c>
      <c r="J376" s="5"/>
      <c r="K376" s="4" t="str">
        <f t="shared" si="336"/>
        <v>iPhone 7      = R$ 60,00</v>
      </c>
      <c r="M376" s="4" t="str">
        <f t="shared" si="337"/>
        <v>iPhone 7      = R$ 65,00</v>
      </c>
      <c r="O376" s="4" t="str">
        <f t="shared" si="338"/>
        <v>iPhone 7      = R$ 55,00</v>
      </c>
      <c r="Q376" s="4" t="str">
        <f t="shared" si="339"/>
        <v>iPhone 7      = R$ 70,00</v>
      </c>
    </row>
    <row r="377" spans="1:17" ht="15.75" customHeight="1" x14ac:dyDescent="0.3">
      <c r="A377" t="s">
        <v>12369</v>
      </c>
      <c r="B377">
        <f>I163</f>
        <v>175</v>
      </c>
      <c r="E377" s="102" t="s">
        <v>13312</v>
      </c>
      <c r="F377" s="16">
        <v>125</v>
      </c>
      <c r="H377" s="4" t="s">
        <v>417</v>
      </c>
      <c r="I377" s="5">
        <f t="shared" si="331"/>
        <v>75</v>
      </c>
      <c r="J377" s="5"/>
      <c r="K377" s="4" t="str">
        <f t="shared" si="336"/>
        <v>iPhone 7 VIVID          = R$ 75,00</v>
      </c>
      <c r="M377" s="4" t="str">
        <f t="shared" si="337"/>
        <v>iPhone 7 VIVID          = R$ 80,00</v>
      </c>
      <c r="O377" s="4" t="str">
        <f t="shared" si="338"/>
        <v>iPhone 7 VIVID          = R$ 70,00</v>
      </c>
      <c r="Q377" s="4" t="str">
        <f t="shared" si="339"/>
        <v>iPhone 7 VIVID          = R$ 85,00</v>
      </c>
    </row>
    <row r="378" spans="1:17" ht="15.75" customHeight="1" x14ac:dyDescent="0.3">
      <c r="A378" t="s">
        <v>2049</v>
      </c>
      <c r="B378">
        <f>I164</f>
        <v>60</v>
      </c>
      <c r="C378" t="s">
        <v>12632</v>
      </c>
      <c r="E378" s="102" t="s">
        <v>370</v>
      </c>
      <c r="F378" s="6">
        <v>190</v>
      </c>
      <c r="H378" s="4" t="s">
        <v>368</v>
      </c>
      <c r="I378" s="5">
        <f t="shared" si="331"/>
        <v>65</v>
      </c>
      <c r="J378" s="5"/>
      <c r="K378" s="4" t="str">
        <f t="shared" si="336"/>
        <v>iPhone 7 Plus            = R$ 65,00</v>
      </c>
      <c r="M378" s="4" t="str">
        <f t="shared" si="337"/>
        <v>iPhone 7 Plus            = R$ 70,00</v>
      </c>
      <c r="O378" s="4" t="str">
        <f t="shared" si="338"/>
        <v>iPhone 7 Plus            = R$ 60,00</v>
      </c>
      <c r="Q378" s="4" t="str">
        <f t="shared" si="339"/>
        <v>iPhone 7 Plus            = R$ 75,00</v>
      </c>
    </row>
    <row r="379" spans="1:17" ht="15.75" customHeight="1" x14ac:dyDescent="0.3">
      <c r="A379" t="s">
        <v>1888</v>
      </c>
      <c r="B379">
        <f>I165</f>
        <v>85</v>
      </c>
      <c r="C379" t="s">
        <v>12844</v>
      </c>
      <c r="E379" s="102" t="s">
        <v>372</v>
      </c>
      <c r="F379" s="6">
        <v>100</v>
      </c>
      <c r="H379" s="4" t="s">
        <v>418</v>
      </c>
      <c r="I379" s="5">
        <f t="shared" si="331"/>
        <v>80</v>
      </c>
      <c r="J379" s="5"/>
      <c r="K379" s="4" t="str">
        <f t="shared" si="336"/>
        <v>iPhone 7 Plus VIVID      = R$ 80,00</v>
      </c>
      <c r="M379" s="4" t="str">
        <f t="shared" si="337"/>
        <v>iPhone 7 Plus VIVID      = R$ 85,00</v>
      </c>
      <c r="O379" s="4" t="str">
        <f t="shared" si="338"/>
        <v>iPhone 7 Plus VIVID      = R$ 75,00</v>
      </c>
      <c r="Q379" s="4" t="str">
        <f t="shared" si="339"/>
        <v>iPhone 7 Plus VIVID      = R$ 90,00</v>
      </c>
    </row>
    <row r="380" spans="1:17" ht="15.75" customHeight="1" x14ac:dyDescent="0.3">
      <c r="A380" t="s">
        <v>2354</v>
      </c>
      <c r="B380">
        <f>I166</f>
        <v>90</v>
      </c>
      <c r="C380" t="s">
        <v>12843</v>
      </c>
      <c r="E380" s="102" t="s">
        <v>13313</v>
      </c>
      <c r="F380" s="16">
        <v>130</v>
      </c>
      <c r="H380" s="4" t="s">
        <v>369</v>
      </c>
      <c r="I380" s="5">
        <f t="shared" si="331"/>
        <v>60</v>
      </c>
      <c r="J380" s="5"/>
      <c r="K380" s="4" t="str">
        <f t="shared" si="336"/>
        <v>iPhone 8/SE 2ª G      = R$ 60,00</v>
      </c>
      <c r="M380" s="4" t="str">
        <f t="shared" si="337"/>
        <v>iPhone 8/SE 2ª G      = R$ 65,00</v>
      </c>
      <c r="O380" s="4" t="str">
        <f t="shared" si="338"/>
        <v>iPhone 8/SE 2ª G      = R$ 55,00</v>
      </c>
      <c r="Q380" s="4" t="str">
        <f t="shared" si="339"/>
        <v>iPhone 8/SE 2ª G      = R$ 70,00</v>
      </c>
    </row>
    <row r="381" spans="1:17" ht="15.75" customHeight="1" x14ac:dyDescent="0.3">
      <c r="A381" t="s">
        <v>2515</v>
      </c>
      <c r="B381">
        <f>I166</f>
        <v>90</v>
      </c>
      <c r="C381" t="s">
        <v>12843</v>
      </c>
      <c r="E381" s="102" t="s">
        <v>375</v>
      </c>
      <c r="F381" s="6">
        <v>235</v>
      </c>
      <c r="H381" s="4" t="s">
        <v>419</v>
      </c>
      <c r="I381" s="5">
        <f t="shared" si="331"/>
        <v>80</v>
      </c>
      <c r="J381" s="5"/>
      <c r="K381" s="4" t="str">
        <f t="shared" si="336"/>
        <v>iPhone 8/SE 2ª G VIVID=R$ 80,00</v>
      </c>
      <c r="M381" s="4" t="str">
        <f t="shared" si="337"/>
        <v>iPhone 8/SE 2ª G VIVID=R$ 85,00</v>
      </c>
      <c r="O381" s="4" t="str">
        <f t="shared" si="338"/>
        <v>iPhone 8/SE 2ª G VIVID=R$ 75,00</v>
      </c>
      <c r="Q381" s="4" t="str">
        <f t="shared" si="339"/>
        <v>iPhone 8/SE 2ª G VIVID=R$ 90,00</v>
      </c>
    </row>
    <row r="382" spans="1:17" ht="15.75" customHeight="1" x14ac:dyDescent="0.3">
      <c r="A382" t="s">
        <v>11464</v>
      </c>
      <c r="B382">
        <f>I167</f>
        <v>100</v>
      </c>
      <c r="E382" s="102" t="s">
        <v>378</v>
      </c>
      <c r="F382" s="6">
        <v>105</v>
      </c>
      <c r="H382" s="4" t="s">
        <v>371</v>
      </c>
      <c r="I382" s="5">
        <f t="shared" si="331"/>
        <v>70</v>
      </c>
      <c r="J382" s="5"/>
      <c r="K382" s="4" t="str">
        <f t="shared" si="336"/>
        <v>iPhone 8 Plus             = R$ 70,00</v>
      </c>
      <c r="M382" s="4" t="str">
        <f t="shared" si="337"/>
        <v>iPhone 8 Plus             = R$ 75,00</v>
      </c>
      <c r="O382" s="4" t="str">
        <f t="shared" si="338"/>
        <v>iPhone 8 Plus             = R$ 65,00</v>
      </c>
      <c r="Q382" s="4" t="str">
        <f t="shared" si="339"/>
        <v>iPhone 8 Plus             = R$ 80,00</v>
      </c>
    </row>
    <row r="383" spans="1:17" ht="15.75" customHeight="1" x14ac:dyDescent="0.3">
      <c r="A383" t="s">
        <v>11465</v>
      </c>
      <c r="B383">
        <f>I167</f>
        <v>100</v>
      </c>
      <c r="E383" s="102" t="s">
        <v>13349</v>
      </c>
      <c r="F383" s="16">
        <v>130</v>
      </c>
      <c r="H383" s="4" t="s">
        <v>420</v>
      </c>
      <c r="I383" s="5">
        <f t="shared" si="331"/>
        <v>85</v>
      </c>
      <c r="J383" s="5"/>
      <c r="K383" s="4" t="str">
        <f t="shared" si="336"/>
        <v>iPhone 8 Plus VIVID     = R$ 85,00</v>
      </c>
      <c r="M383" s="4" t="str">
        <f t="shared" si="337"/>
        <v>iPhone 8 Plus VIVID     = R$ 90,00</v>
      </c>
      <c r="O383" s="4" t="str">
        <f t="shared" si="338"/>
        <v>iPhone 8 Plus VIVID     = R$ 80,00</v>
      </c>
      <c r="Q383" s="4" t="str">
        <f t="shared" si="339"/>
        <v>iPhone 8 Plus VIVID     = R$ 95,00</v>
      </c>
    </row>
    <row r="384" spans="1:17" ht="15.75" customHeight="1" x14ac:dyDescent="0.3">
      <c r="A384" t="s">
        <v>11466</v>
      </c>
      <c r="B384">
        <f>I167</f>
        <v>100</v>
      </c>
      <c r="E384" s="102" t="s">
        <v>379</v>
      </c>
      <c r="F384" s="6">
        <v>240</v>
      </c>
      <c r="H384" s="4" t="s">
        <v>373</v>
      </c>
      <c r="I384" s="5">
        <f t="shared" si="331"/>
        <v>75</v>
      </c>
      <c r="J384" s="5"/>
      <c r="K384" s="4" t="str">
        <f t="shared" si="332"/>
        <v>iPhone X - incell        = R$ 75,00</v>
      </c>
      <c r="M384" s="4" t="str">
        <f t="shared" si="333"/>
        <v>iPhone X - incell        = R$ 80,00</v>
      </c>
      <c r="O384" s="4" t="str">
        <f t="shared" si="334"/>
        <v>iPhone X - incell        = R$ 70,00</v>
      </c>
      <c r="Q384" s="4" t="str">
        <f t="shared" si="335"/>
        <v>iPhone X - incell        = R$ 85,00</v>
      </c>
    </row>
    <row r="385" spans="1:17" ht="15.75" customHeight="1" x14ac:dyDescent="0.3">
      <c r="A385" t="s">
        <v>11467</v>
      </c>
      <c r="B385">
        <f>I167</f>
        <v>100</v>
      </c>
      <c r="E385" s="102" t="s">
        <v>13350</v>
      </c>
      <c r="F385" s="16">
        <v>260</v>
      </c>
      <c r="H385" s="4" t="s">
        <v>13373</v>
      </c>
      <c r="I385" s="5">
        <f t="shared" si="331"/>
        <v>105</v>
      </c>
      <c r="J385" s="5"/>
      <c r="K385" s="4" t="str">
        <f>CONCATENATE(H385,I385,",00")</f>
        <v>iPhone X - incell (JK) = R$ 105,00</v>
      </c>
      <c r="M385" s="4" t="str">
        <f>CONCATENATE(H385,I385+5,",00")</f>
        <v>iPhone X - incell (JK) = R$ 110,00</v>
      </c>
      <c r="O385" s="4" t="str">
        <f>CONCATENATE(H385,I385-5,",00")</f>
        <v>iPhone X - incell (JK) = R$ 100,00</v>
      </c>
      <c r="Q385" s="4" t="str">
        <f>CONCATENATE(H385,I385+10,",00")</f>
        <v>iPhone X - incell (JK) = R$ 115,00</v>
      </c>
    </row>
    <row r="386" spans="1:17" ht="15.75" customHeight="1" x14ac:dyDescent="0.3">
      <c r="A386" t="s">
        <v>2296</v>
      </c>
      <c r="B386">
        <f>I169</f>
        <v>110</v>
      </c>
      <c r="C386" t="s">
        <v>12845</v>
      </c>
      <c r="E386" s="102" t="s">
        <v>13406</v>
      </c>
      <c r="F386" s="16">
        <v>340</v>
      </c>
      <c r="H386" s="4" t="s">
        <v>421</v>
      </c>
      <c r="I386" s="5">
        <f t="shared" si="331"/>
        <v>160</v>
      </c>
      <c r="J386" s="5"/>
      <c r="K386" s="4" t="str">
        <f>CONCATENATE(H386,I386,",00")</f>
        <v>iPhone X OLED VIVID   = R$ 160,00</v>
      </c>
      <c r="M386" s="4" t="str">
        <f>CONCATENATE(H386,I386+5,",00")</f>
        <v>iPhone X OLED VIVID   = R$ 165,00</v>
      </c>
      <c r="O386" s="4" t="str">
        <f>CONCATENATE(H386,I386-5,",00")</f>
        <v>iPhone X OLED VIVID   = R$ 155,00</v>
      </c>
      <c r="Q386" s="4" t="str">
        <f>CONCATENATE(H386,I386+10,",00")</f>
        <v>iPhone X OLED VIVID   = R$ 170,00</v>
      </c>
    </row>
    <row r="387" spans="1:17" ht="15.75" customHeight="1" x14ac:dyDescent="0.3">
      <c r="A387" t="s">
        <v>12850</v>
      </c>
      <c r="B387">
        <f>I170</f>
        <v>175</v>
      </c>
      <c r="C387" t="s">
        <v>12853</v>
      </c>
      <c r="E387" s="102" t="s">
        <v>380</v>
      </c>
      <c r="F387" s="6">
        <v>120</v>
      </c>
      <c r="H387" s="4" t="s">
        <v>374</v>
      </c>
      <c r="I387" s="5">
        <f t="shared" ref="I387:J404" si="340">F368</f>
        <v>80</v>
      </c>
      <c r="J387" s="5"/>
      <c r="K387" s="4" t="str">
        <f t="shared" si="332"/>
        <v>iPhone XS - incell        = R$ 80,00</v>
      </c>
      <c r="M387" s="4" t="str">
        <f t="shared" si="333"/>
        <v>iPhone XS - incell        = R$ 85,00</v>
      </c>
      <c r="O387" s="4" t="str">
        <f t="shared" si="334"/>
        <v>iPhone XS - incell        = R$ 75,00</v>
      </c>
      <c r="Q387" s="4" t="str">
        <f t="shared" si="335"/>
        <v>iPhone XS - incell        = R$ 90,00</v>
      </c>
    </row>
    <row r="388" spans="1:17" ht="15.75" customHeight="1" x14ac:dyDescent="0.3">
      <c r="A388" t="s">
        <v>12851</v>
      </c>
      <c r="B388">
        <f>I170</f>
        <v>175</v>
      </c>
      <c r="C388" t="s">
        <v>12853</v>
      </c>
      <c r="E388" s="102" t="s">
        <v>13351</v>
      </c>
      <c r="F388" s="16">
        <v>190</v>
      </c>
      <c r="H388" s="4" t="s">
        <v>13374</v>
      </c>
      <c r="I388" s="5">
        <f t="shared" si="340"/>
        <v>110</v>
      </c>
      <c r="J388" s="5"/>
      <c r="K388" s="4" t="str">
        <f t="shared" si="332"/>
        <v>iPhone XS - incell (JK) = R$ 110,00</v>
      </c>
      <c r="M388" s="4" t="str">
        <f t="shared" si="333"/>
        <v>iPhone XS - incell (JK) = R$ 115,00</v>
      </c>
      <c r="O388" s="4" t="str">
        <f t="shared" si="334"/>
        <v>iPhone XS - incell (JK) = R$ 105,00</v>
      </c>
      <c r="Q388" s="4" t="str">
        <f t="shared" si="335"/>
        <v>iPhone XS - incell (JK) = R$ 120,00</v>
      </c>
    </row>
    <row r="389" spans="1:17" ht="15.75" customHeight="1" x14ac:dyDescent="0.3">
      <c r="A389" t="s">
        <v>1889</v>
      </c>
      <c r="B389">
        <f>I171</f>
        <v>185</v>
      </c>
      <c r="C389" t="s">
        <v>12846</v>
      </c>
      <c r="E389" s="102" t="s">
        <v>382</v>
      </c>
      <c r="F389" s="6">
        <v>350</v>
      </c>
      <c r="H389" s="4" t="s">
        <v>423</v>
      </c>
      <c r="I389" s="5">
        <f t="shared" si="340"/>
        <v>160</v>
      </c>
      <c r="J389" s="5"/>
      <c r="K389" s="4" t="str">
        <f t="shared" ref="K389" si="341">CONCATENATE(H389,I389,",00")</f>
        <v>iPhone XS OLED VIVID= R$ 160,00</v>
      </c>
      <c r="M389" s="4" t="str">
        <f t="shared" ref="M389" si="342">CONCATENATE(H389,I389+5,",00")</f>
        <v>iPhone XS OLED VIVID= R$ 165,00</v>
      </c>
      <c r="O389" s="4" t="str">
        <f t="shared" ref="O389" si="343">CONCATENATE(H389,I389-5,",00")</f>
        <v>iPhone XS OLED VIVID= R$ 155,00</v>
      </c>
      <c r="Q389" s="4" t="str">
        <f t="shared" ref="Q389" si="344">CONCATENATE(H389,I389+10,",00")</f>
        <v>iPhone XS OLED VIVID= R$ 170,00</v>
      </c>
    </row>
    <row r="390" spans="1:17" ht="15.75" customHeight="1" x14ac:dyDescent="0.3">
      <c r="A390" s="26" t="s">
        <v>2901</v>
      </c>
      <c r="B390">
        <f>I171</f>
        <v>185</v>
      </c>
      <c r="C390" t="s">
        <v>12846</v>
      </c>
      <c r="E390" s="102" t="s">
        <v>13405</v>
      </c>
      <c r="F390" s="16">
        <v>460</v>
      </c>
      <c r="H390" s="4" t="s">
        <v>376</v>
      </c>
      <c r="I390" s="5">
        <f t="shared" si="340"/>
        <v>100</v>
      </c>
      <c r="J390" s="5"/>
      <c r="K390" s="4" t="str">
        <f t="shared" si="332"/>
        <v>iPhone XS Max incell = R$ 100,00</v>
      </c>
      <c r="M390" s="4" t="str">
        <f t="shared" si="333"/>
        <v>iPhone XS Max incell = R$ 105,00</v>
      </c>
      <c r="O390" s="4" t="str">
        <f t="shared" si="334"/>
        <v>iPhone XS Max incell = R$ 95,00</v>
      </c>
      <c r="Q390" s="4" t="str">
        <f t="shared" si="335"/>
        <v>iPhone XS Max incell = R$ 110,00</v>
      </c>
    </row>
    <row r="391" spans="1:17" ht="15.75" customHeight="1" x14ac:dyDescent="0.3">
      <c r="A391" s="20" t="s">
        <v>2900</v>
      </c>
      <c r="B391">
        <f>I171</f>
        <v>185</v>
      </c>
      <c r="C391" t="s">
        <v>12846</v>
      </c>
      <c r="E391" s="102" t="s">
        <v>384</v>
      </c>
      <c r="F391" s="6">
        <v>130</v>
      </c>
      <c r="H391" s="4" t="s">
        <v>13375</v>
      </c>
      <c r="I391" s="5">
        <f t="shared" si="340"/>
        <v>125</v>
      </c>
      <c r="J391" s="5"/>
      <c r="K391" s="4" t="str">
        <f t="shared" ref="K391" si="345">CONCATENATE(H391,I391,",00")</f>
        <v>iPhone XS Max incell (JK) = R$ 125,00</v>
      </c>
      <c r="M391" s="4" t="str">
        <f t="shared" ref="M391" si="346">CONCATENATE(H391,I391+5,",00")</f>
        <v>iPhone XS Max incell (JK) = R$ 130,00</v>
      </c>
      <c r="O391" s="4" t="str">
        <f t="shared" ref="O391" si="347">CONCATENATE(H391,I391-5,",00")</f>
        <v>iPhone XS Max incell (JK) = R$ 120,00</v>
      </c>
      <c r="Q391" s="4" t="str">
        <f t="shared" ref="Q391" si="348">CONCATENATE(H391,I391+10,",00")</f>
        <v>iPhone XS Max incell (JK) = R$ 135,00</v>
      </c>
    </row>
    <row r="392" spans="1:17" ht="15.75" customHeight="1" x14ac:dyDescent="0.3">
      <c r="A392" t="s">
        <v>2355</v>
      </c>
      <c r="B392">
        <f>I172</f>
        <v>205</v>
      </c>
      <c r="C392" t="s">
        <v>12847</v>
      </c>
      <c r="E392" s="102" t="s">
        <v>13352</v>
      </c>
      <c r="F392" s="16">
        <v>160</v>
      </c>
      <c r="H392" s="4" t="s">
        <v>377</v>
      </c>
      <c r="I392" s="5">
        <f t="shared" si="340"/>
        <v>210</v>
      </c>
      <c r="J392" s="5"/>
      <c r="K392" s="4" t="str">
        <f t="shared" si="332"/>
        <v>iPhone XS Max OLED = R$ 210,00</v>
      </c>
      <c r="M392" s="4" t="str">
        <f t="shared" si="333"/>
        <v>iPhone XS Max OLED = R$ 215,00</v>
      </c>
      <c r="O392" s="4" t="str">
        <f t="shared" si="334"/>
        <v>iPhone XS Max OLED = R$ 205,00</v>
      </c>
      <c r="Q392" s="4" t="str">
        <f t="shared" si="335"/>
        <v>iPhone XS Max OLED = R$ 220,00</v>
      </c>
    </row>
    <row r="393" spans="1:17" ht="15.75" customHeight="1" x14ac:dyDescent="0.3">
      <c r="A393" t="s">
        <v>2516</v>
      </c>
      <c r="B393">
        <f>I172</f>
        <v>205</v>
      </c>
      <c r="C393" t="s">
        <v>12847</v>
      </c>
      <c r="E393" s="102" t="s">
        <v>386</v>
      </c>
      <c r="F393" s="6">
        <v>285</v>
      </c>
      <c r="H393" s="4" t="s">
        <v>11587</v>
      </c>
      <c r="I393" s="5">
        <f t="shared" si="340"/>
        <v>110</v>
      </c>
      <c r="J393" s="5"/>
      <c r="K393" s="4" t="str">
        <f t="shared" ref="K393" si="349">CONCATENATE(H393,I393,",00")</f>
        <v>iPhone XR (JK) = R$ 110,00</v>
      </c>
      <c r="M393" s="4" t="str">
        <f t="shared" ref="M393" si="350">CONCATENATE(H393,I393+5,",00")</f>
        <v>iPhone XR (JK) = R$ 115,00</v>
      </c>
      <c r="O393" s="4" t="str">
        <f t="shared" ref="O393" si="351">CONCATENATE(H393,I393-5,",00")</f>
        <v>iPhone XR (JK) = R$ 105,00</v>
      </c>
      <c r="Q393" s="4" t="str">
        <f t="shared" ref="Q393" si="352">CONCATENATE(H393,I393+10,",00")</f>
        <v>iPhone XR (JK) = R$ 120,00</v>
      </c>
    </row>
    <row r="394" spans="1:17" ht="15.75" customHeight="1" x14ac:dyDescent="0.3">
      <c r="A394" t="s">
        <v>11468</v>
      </c>
      <c r="B394">
        <f>I173</f>
        <v>215</v>
      </c>
      <c r="E394" s="102" t="s">
        <v>13353</v>
      </c>
      <c r="F394" s="16">
        <v>305</v>
      </c>
      <c r="H394" s="4" t="s">
        <v>11586</v>
      </c>
      <c r="I394" s="5">
        <f t="shared" si="340"/>
        <v>110</v>
      </c>
      <c r="J394" s="5"/>
      <c r="K394" s="4" t="str">
        <f t="shared" si="332"/>
        <v>iPhone 11 (JK)(ci)   = R$ 110,00</v>
      </c>
      <c r="M394" s="4" t="str">
        <f t="shared" si="333"/>
        <v>iPhone 11 (JK)(ci)   = R$ 115,00</v>
      </c>
      <c r="O394" s="4" t="str">
        <f t="shared" si="334"/>
        <v>iPhone 11 (JK)(ci)   = R$ 105,00</v>
      </c>
      <c r="Q394" s="4" t="str">
        <f t="shared" si="335"/>
        <v>iPhone 11 (JK)(ci)   = R$ 120,00</v>
      </c>
    </row>
    <row r="395" spans="1:17" ht="15.75" customHeight="1" x14ac:dyDescent="0.3">
      <c r="A395" t="s">
        <v>11469</v>
      </c>
      <c r="B395">
        <f>I173</f>
        <v>215</v>
      </c>
      <c r="E395" s="102" t="s">
        <v>13407</v>
      </c>
      <c r="F395" s="16">
        <v>420</v>
      </c>
      <c r="H395" s="4" t="s">
        <v>13185</v>
      </c>
      <c r="I395" s="5">
        <f t="shared" si="340"/>
        <v>95</v>
      </c>
      <c r="J395" s="5"/>
      <c r="K395" s="4" t="str">
        <f t="shared" si="332"/>
        <v>iPhone 11 Pro incell (ci) = R$ 95,00</v>
      </c>
      <c r="M395" s="4" t="str">
        <f t="shared" si="333"/>
        <v>iPhone 11 Pro incell (ci) = R$ 100,00</v>
      </c>
      <c r="O395" s="4" t="str">
        <f t="shared" si="334"/>
        <v>iPhone 11 Pro incell (ci) = R$ 90,00</v>
      </c>
      <c r="Q395" s="4" t="str">
        <f t="shared" si="335"/>
        <v>iPhone 11 Pro incell (ci) = R$ 105,00</v>
      </c>
    </row>
    <row r="396" spans="1:17" ht="15.75" customHeight="1" x14ac:dyDescent="0.3">
      <c r="A396" t="s">
        <v>2252</v>
      </c>
      <c r="B396">
        <f>I168</f>
        <v>85</v>
      </c>
      <c r="C396" t="s">
        <v>12852</v>
      </c>
      <c r="E396" s="102" t="s">
        <v>387</v>
      </c>
      <c r="F396" s="6">
        <v>140</v>
      </c>
      <c r="H396" s="4" t="s">
        <v>13376</v>
      </c>
      <c r="I396" s="5">
        <f t="shared" si="340"/>
        <v>125</v>
      </c>
      <c r="J396" s="5"/>
      <c r="K396" s="4" t="str">
        <f t="shared" ref="K396" si="353">CONCATENATE(H396,I396,",00")</f>
        <v>iPhone 11 Pro incell (ci)(JK) = 125,00</v>
      </c>
      <c r="M396" s="4" t="str">
        <f t="shared" ref="M396" si="354">CONCATENATE(H396,I396+5,",00")</f>
        <v>iPhone 11 Pro incell (ci)(JK) = 130,00</v>
      </c>
      <c r="O396" s="4" t="str">
        <f t="shared" ref="O396" si="355">CONCATENATE(H396,I396-5,",00")</f>
        <v>iPhone 11 Pro incell (ci)(JK) = 120,00</v>
      </c>
      <c r="Q396" s="4" t="str">
        <f t="shared" ref="Q396" si="356">CONCATENATE(H396,I396+10,",00")</f>
        <v>iPhone 11 Pro incell (ci)(JK) = 135,00</v>
      </c>
    </row>
    <row r="397" spans="1:17" ht="15.75" customHeight="1" x14ac:dyDescent="0.3">
      <c r="A397" t="s">
        <v>11204</v>
      </c>
      <c r="B397">
        <f>I174</f>
        <v>105</v>
      </c>
      <c r="C397" t="s">
        <v>12854</v>
      </c>
      <c r="E397" s="102" t="s">
        <v>13355</v>
      </c>
      <c r="F397" s="16">
        <v>180</v>
      </c>
      <c r="H397" s="4" t="s">
        <v>381</v>
      </c>
      <c r="I397" s="5">
        <f t="shared" si="340"/>
        <v>190</v>
      </c>
      <c r="J397" s="5"/>
      <c r="K397" s="4" t="str">
        <f t="shared" si="332"/>
        <v>iPhone 11 Pro OLED (ci) = R$ 190,00</v>
      </c>
      <c r="M397" s="4" t="str">
        <f t="shared" si="333"/>
        <v>iPhone 11 Pro OLED (ci) = R$ 195,00</v>
      </c>
      <c r="O397" s="4" t="str">
        <f t="shared" si="334"/>
        <v>iPhone 11 Pro OLED (ci) = R$ 185,00</v>
      </c>
      <c r="Q397" s="4" t="str">
        <f t="shared" si="335"/>
        <v>iPhone 11 Pro OLED (ci) = R$ 200,00</v>
      </c>
    </row>
    <row r="398" spans="1:17" ht="15.75" customHeight="1" x14ac:dyDescent="0.3">
      <c r="A398" t="s">
        <v>11205</v>
      </c>
      <c r="B398">
        <f>I174</f>
        <v>105</v>
      </c>
      <c r="C398" t="s">
        <v>12854</v>
      </c>
      <c r="E398" s="102" t="s">
        <v>388</v>
      </c>
      <c r="F398" s="8">
        <v>345</v>
      </c>
      <c r="H398" s="4" t="s">
        <v>383</v>
      </c>
      <c r="I398" s="5">
        <f t="shared" si="340"/>
        <v>100</v>
      </c>
      <c r="J398" s="5"/>
      <c r="K398" s="4" t="str">
        <f t="shared" si="332"/>
        <v>11 Pro Max - incell (ci) = R$ 100,00</v>
      </c>
      <c r="M398" s="4" t="str">
        <f t="shared" si="333"/>
        <v>11 Pro Max - incell (ci) = R$ 105,00</v>
      </c>
      <c r="O398" s="4" t="str">
        <f t="shared" si="334"/>
        <v>11 Pro Max - incell (ci) = R$ 95,00</v>
      </c>
      <c r="Q398" s="4" t="str">
        <f t="shared" si="335"/>
        <v>11 Pro Max - incell (ci) = R$ 110,00</v>
      </c>
    </row>
    <row r="399" spans="1:17" ht="15.75" customHeight="1" x14ac:dyDescent="0.3">
      <c r="A399" t="s">
        <v>2486</v>
      </c>
      <c r="B399">
        <f>I176</f>
        <v>230</v>
      </c>
      <c r="C399" t="s">
        <v>12855</v>
      </c>
      <c r="E399" s="102" t="s">
        <v>13356</v>
      </c>
      <c r="F399" s="17">
        <v>365</v>
      </c>
      <c r="H399" s="4" t="s">
        <v>13377</v>
      </c>
      <c r="I399" s="5">
        <f t="shared" si="340"/>
        <v>130</v>
      </c>
      <c r="J399" s="5"/>
      <c r="K399" s="4" t="str">
        <f t="shared" ref="K399" si="357">CONCATENATE(H399,I399,",00")</f>
        <v>11 Pro Max - incell (ci)(JK) = 130,00</v>
      </c>
      <c r="M399" s="4" t="str">
        <f t="shared" ref="M399" si="358">CONCATENATE(H399,I399+5,",00")</f>
        <v>11 Pro Max - incell (ci)(JK) = 135,00</v>
      </c>
      <c r="O399" s="4" t="str">
        <f t="shared" ref="O399" si="359">CONCATENATE(H399,I399-5,",00")</f>
        <v>11 Pro Max - incell (ci)(JK) = 125,00</v>
      </c>
      <c r="Q399" s="4" t="str">
        <f t="shared" ref="Q399" si="360">CONCATENATE(H399,I399+10,",00")</f>
        <v>11 Pro Max - incell (ci)(JK) = 140,00</v>
      </c>
    </row>
    <row r="400" spans="1:17" ht="15.75" customHeight="1" x14ac:dyDescent="0.3">
      <c r="A400" s="20" t="s">
        <v>2902</v>
      </c>
      <c r="B400">
        <f>I176</f>
        <v>230</v>
      </c>
      <c r="C400" t="s">
        <v>12855</v>
      </c>
      <c r="E400" s="102" t="s">
        <v>389</v>
      </c>
      <c r="F400" s="8">
        <v>150</v>
      </c>
      <c r="H400" s="4" t="s">
        <v>385</v>
      </c>
      <c r="I400" s="5">
        <f t="shared" si="340"/>
        <v>235</v>
      </c>
      <c r="J400" s="5"/>
      <c r="K400" s="4" t="str">
        <f t="shared" si="332"/>
        <v>iPhone 11 Pro Max OLED (ci)= 235,00</v>
      </c>
      <c r="M400" s="4" t="str">
        <f t="shared" si="333"/>
        <v>iPhone 11 Pro Max OLED (ci)= 240,00</v>
      </c>
      <c r="O400" s="4" t="str">
        <f t="shared" si="334"/>
        <v>iPhone 11 Pro Max OLED (ci)= 230,00</v>
      </c>
      <c r="Q400" s="4" t="str">
        <f t="shared" si="335"/>
        <v>iPhone 11 Pro Max OLED (ci)= 245,00</v>
      </c>
    </row>
    <row r="401" spans="1:17" ht="15.75" customHeight="1" x14ac:dyDescent="0.3">
      <c r="A401" s="20" t="s">
        <v>2903</v>
      </c>
      <c r="B401">
        <f>I176</f>
        <v>230</v>
      </c>
      <c r="C401" t="s">
        <v>12855</v>
      </c>
      <c r="E401" s="102" t="s">
        <v>13354</v>
      </c>
      <c r="F401" s="17">
        <v>200</v>
      </c>
      <c r="H401" s="4" t="s">
        <v>13186</v>
      </c>
      <c r="I401" s="5">
        <f t="shared" si="340"/>
        <v>105</v>
      </c>
      <c r="J401" s="5"/>
      <c r="K401" s="4" t="str">
        <f t="shared" si="332"/>
        <v>iPhone 12/12 Pro incell (ci) = 105,00</v>
      </c>
      <c r="M401" s="4" t="str">
        <f t="shared" si="333"/>
        <v>iPhone 12/12 Pro incell (ci) = 110,00</v>
      </c>
      <c r="O401" s="4" t="str">
        <f t="shared" si="334"/>
        <v>iPhone 12/12 Pro incell (ci) = 100,00</v>
      </c>
      <c r="Q401" s="4" t="str">
        <f t="shared" si="335"/>
        <v>iPhone 12/12 Pro incell (ci) = 115,00</v>
      </c>
    </row>
    <row r="402" spans="1:17" ht="15.75" customHeight="1" x14ac:dyDescent="0.3">
      <c r="A402" t="s">
        <v>2487</v>
      </c>
      <c r="B402">
        <f>I175</f>
        <v>180</v>
      </c>
      <c r="C402" t="s">
        <v>12855</v>
      </c>
      <c r="E402" s="102" t="s">
        <v>390</v>
      </c>
      <c r="F402" s="8">
        <v>340</v>
      </c>
      <c r="H402" s="4" t="s">
        <v>13369</v>
      </c>
      <c r="I402" s="5">
        <f t="shared" si="340"/>
        <v>130</v>
      </c>
      <c r="J402" s="5"/>
      <c r="K402" s="4" t="str">
        <f t="shared" ref="K402" si="361">CONCATENATE(H402,I402,",00")</f>
        <v>iPhone 12/12 Pro incell (ci)(JK)=130,00</v>
      </c>
      <c r="M402" s="4" t="str">
        <f t="shared" ref="M402" si="362">CONCATENATE(H402,I402+5,",00")</f>
        <v>iPhone 12/12 Pro incell (ci)(JK)=135,00</v>
      </c>
      <c r="O402" s="4" t="str">
        <f t="shared" ref="O402" si="363">CONCATENATE(H402,I402-5,",00")</f>
        <v>iPhone 12/12 Pro incell (ci)(JK)=125,00</v>
      </c>
      <c r="Q402" s="4" t="str">
        <f t="shared" ref="Q402" si="364">CONCATENATE(H402,I402+10,",00")</f>
        <v>iPhone 12/12 Pro incell (ci)(JK)=140,00</v>
      </c>
    </row>
    <row r="403" spans="1:17" ht="15.75" customHeight="1" x14ac:dyDescent="0.3">
      <c r="A403" s="20" t="s">
        <v>2904</v>
      </c>
      <c r="B403">
        <f>I175</f>
        <v>180</v>
      </c>
      <c r="C403" t="s">
        <v>12855</v>
      </c>
      <c r="E403" s="102" t="s">
        <v>392</v>
      </c>
      <c r="F403" s="8">
        <v>140</v>
      </c>
      <c r="H403" s="4" t="s">
        <v>13370</v>
      </c>
      <c r="I403" s="5">
        <f t="shared" si="340"/>
        <v>240</v>
      </c>
      <c r="J403" s="5"/>
      <c r="K403" s="4" t="str">
        <f t="shared" si="332"/>
        <v>iPhone 12/12 Pro OLED(ci)= 240,00</v>
      </c>
      <c r="M403" s="4" t="str">
        <f t="shared" si="333"/>
        <v>iPhone 12/12 Pro OLED(ci)= 245,00</v>
      </c>
      <c r="O403" s="4" t="str">
        <f t="shared" si="334"/>
        <v>iPhone 12/12 Pro OLED(ci)= 235,00</v>
      </c>
      <c r="Q403" s="4" t="str">
        <f t="shared" si="335"/>
        <v>iPhone 12/12 Pro OLED(ci)= 250,00</v>
      </c>
    </row>
    <row r="404" spans="1:17" ht="15.75" customHeight="1" x14ac:dyDescent="0.3">
      <c r="A404" s="20" t="s">
        <v>2905</v>
      </c>
      <c r="B404">
        <f>I175</f>
        <v>180</v>
      </c>
      <c r="C404" t="s">
        <v>12855</v>
      </c>
      <c r="E404" s="102" t="s">
        <v>13357</v>
      </c>
      <c r="F404" s="17">
        <v>170</v>
      </c>
      <c r="H404" s="4" t="s">
        <v>13368</v>
      </c>
      <c r="I404" s="5">
        <f t="shared" si="340"/>
        <v>260</v>
      </c>
      <c r="J404" s="5"/>
      <c r="K404" s="4" t="str">
        <f t="shared" ref="K404:K405" si="365">CONCATENATE(H404,I404,",00")</f>
        <v>iPhone 12/12 Pro OLED(ci)(JK)=260,00</v>
      </c>
      <c r="M404" s="4" t="str">
        <f t="shared" ref="M404:M405" si="366">CONCATENATE(H404,I404+5,",00")</f>
        <v>iPhone 12/12 Pro OLED(ci)(JK)=265,00</v>
      </c>
      <c r="O404" s="4" t="str">
        <f t="shared" ref="O404:O405" si="367">CONCATENATE(H404,I404-5,",00")</f>
        <v>iPhone 12/12 Pro OLED(ci)(JK)=255,00</v>
      </c>
      <c r="Q404" s="4" t="str">
        <f t="shared" ref="Q404:Q405" si="368">CONCATENATE(H404,I404+10,",00")</f>
        <v>iPhone 12/12 Pro OLED(ci)(JK)=270,00</v>
      </c>
    </row>
    <row r="405" spans="1:17" ht="15.75" customHeight="1" x14ac:dyDescent="0.3">
      <c r="A405" t="s">
        <v>2356</v>
      </c>
      <c r="B405">
        <f>I177</f>
        <v>250</v>
      </c>
      <c r="C405" t="s">
        <v>12856</v>
      </c>
      <c r="E405" s="102" t="s">
        <v>975</v>
      </c>
      <c r="F405" s="17">
        <v>305</v>
      </c>
      <c r="H405" s="4" t="s">
        <v>13410</v>
      </c>
      <c r="I405" s="5">
        <f>F386</f>
        <v>340</v>
      </c>
      <c r="J405" s="5"/>
      <c r="K405" s="4" t="str">
        <f t="shared" si="365"/>
        <v>iPhone 12/12 Pro OLED (S/M)= 340,00</v>
      </c>
      <c r="M405" s="4" t="str">
        <f t="shared" si="366"/>
        <v>iPhone 12/12 Pro OLED (S/M)= 345,00</v>
      </c>
      <c r="O405" s="4" t="str">
        <f t="shared" si="367"/>
        <v>iPhone 12/12 Pro OLED (S/M)= 335,00</v>
      </c>
      <c r="Q405" s="4" t="str">
        <f t="shared" si="368"/>
        <v>iPhone 12/12 Pro OLED (S/M)= 350,00</v>
      </c>
    </row>
    <row r="406" spans="1:17" ht="15.75" customHeight="1" x14ac:dyDescent="0.3">
      <c r="A406" t="s">
        <v>2517</v>
      </c>
      <c r="B406">
        <f>I177</f>
        <v>250</v>
      </c>
      <c r="C406" t="s">
        <v>12856</v>
      </c>
      <c r="E406" s="102" t="s">
        <v>13358</v>
      </c>
      <c r="F406" s="17">
        <v>325</v>
      </c>
      <c r="H406" s="4" t="s">
        <v>391</v>
      </c>
      <c r="I406" s="5">
        <f t="shared" ref="I406:J408" si="369">F387</f>
        <v>120</v>
      </c>
      <c r="J406" s="5"/>
      <c r="K406" s="4" t="str">
        <f t="shared" si="332"/>
        <v>12 Pro Max Incell (ci) = R$ 120,00</v>
      </c>
      <c r="M406" s="4" t="str">
        <f t="shared" si="333"/>
        <v>12 Pro Max Incell (ci) = R$ 125,00</v>
      </c>
      <c r="O406" s="4" t="str">
        <f t="shared" si="334"/>
        <v>12 Pro Max Incell (ci) = R$ 115,00</v>
      </c>
      <c r="Q406" s="4" t="str">
        <f t="shared" si="335"/>
        <v>12 Pro Max Incell (ci) = R$ 130,00</v>
      </c>
    </row>
    <row r="407" spans="1:17" ht="15.75" customHeight="1" x14ac:dyDescent="0.3">
      <c r="A407" t="s">
        <v>11470</v>
      </c>
      <c r="B407">
        <f>I178</f>
        <v>260</v>
      </c>
      <c r="E407" s="102" t="s">
        <v>13408</v>
      </c>
      <c r="F407" s="17">
        <v>430</v>
      </c>
      <c r="H407" s="4" t="s">
        <v>13378</v>
      </c>
      <c r="I407" s="5">
        <f t="shared" si="369"/>
        <v>190</v>
      </c>
      <c r="J407" s="5"/>
      <c r="K407" s="4" t="str">
        <f t="shared" ref="K407" si="370">CONCATENATE(H407,I407,",00")</f>
        <v>12 Pro Max incell (ci)(JK) = 190,00</v>
      </c>
      <c r="M407" s="4" t="str">
        <f t="shared" ref="M407" si="371">CONCATENATE(H407,I407+5,",00")</f>
        <v>12 Pro Max incell (ci)(JK) = 195,00</v>
      </c>
      <c r="O407" s="4" t="str">
        <f t="shared" ref="O407" si="372">CONCATENATE(H407,I407-5,",00")</f>
        <v>12 Pro Max incell (ci)(JK) = 185,00</v>
      </c>
      <c r="Q407" s="4" t="str">
        <f t="shared" ref="Q407" si="373">CONCATENATE(H407,I407+10,",00")</f>
        <v>12 Pro Max incell (ci)(JK) = 200,00</v>
      </c>
    </row>
    <row r="408" spans="1:17" ht="15.75" customHeight="1" x14ac:dyDescent="0.3">
      <c r="A408" t="s">
        <v>11471</v>
      </c>
      <c r="B408">
        <f>I178</f>
        <v>260</v>
      </c>
      <c r="E408" s="102" t="s">
        <v>394</v>
      </c>
      <c r="F408" s="8">
        <v>150</v>
      </c>
      <c r="H408" s="4" t="s">
        <v>393</v>
      </c>
      <c r="I408" s="5">
        <f t="shared" si="369"/>
        <v>350</v>
      </c>
      <c r="J408" s="5"/>
      <c r="K408" s="4" t="str">
        <f t="shared" si="332"/>
        <v>12 Pro Max OLED (ci) = R$ 350,00</v>
      </c>
      <c r="M408" s="4" t="str">
        <f t="shared" si="333"/>
        <v>12 Pro Max OLED (ci) = R$ 355,00</v>
      </c>
      <c r="O408" s="4" t="str">
        <f t="shared" si="334"/>
        <v>12 Pro Max OLED (ci) = R$ 345,00</v>
      </c>
      <c r="Q408" s="4" t="str">
        <f t="shared" si="335"/>
        <v>12 Pro Max OLED (ci) = R$ 360,00</v>
      </c>
    </row>
    <row r="409" spans="1:17" ht="15.75" customHeight="1" x14ac:dyDescent="0.3">
      <c r="A409" t="s">
        <v>10982</v>
      </c>
      <c r="B409">
        <f>I184</f>
        <v>140</v>
      </c>
      <c r="C409" t="s">
        <v>12857</v>
      </c>
      <c r="E409" s="102" t="s">
        <v>13359</v>
      </c>
      <c r="F409" s="17">
        <v>200</v>
      </c>
      <c r="H409" s="4" t="s">
        <v>13411</v>
      </c>
      <c r="I409" s="5">
        <f t="shared" ref="I409:J417" si="374">F390</f>
        <v>460</v>
      </c>
      <c r="J409" s="5"/>
      <c r="K409" s="4" t="str">
        <f t="shared" ref="K409" si="375">CONCATENATE(H409,I409,",00")</f>
        <v>12 Pro Max OLED (S/M) = R$ 460,00</v>
      </c>
      <c r="M409" s="4" t="str">
        <f t="shared" ref="M409" si="376">CONCATENATE(H409,I409+5,",00")</f>
        <v>12 Pro Max OLED (S/M) = R$ 465,00</v>
      </c>
      <c r="O409" s="4" t="str">
        <f t="shared" ref="O409" si="377">CONCATENATE(H409,I409-5,",00")</f>
        <v>12 Pro Max OLED (S/M) = R$ 455,00</v>
      </c>
      <c r="Q409" s="4" t="str">
        <f t="shared" ref="Q409" si="378">CONCATENATE(H409,I409+10,",00")</f>
        <v>12 Pro Max OLED (S/M) = R$ 470,00</v>
      </c>
    </row>
    <row r="410" spans="1:17" ht="15.75" customHeight="1" x14ac:dyDescent="0.3">
      <c r="A410" t="s">
        <v>10983</v>
      </c>
      <c r="B410">
        <f>I184</f>
        <v>140</v>
      </c>
      <c r="C410" t="s">
        <v>12857</v>
      </c>
      <c r="E410" s="102" t="s">
        <v>395</v>
      </c>
      <c r="F410" s="8">
        <v>535</v>
      </c>
      <c r="H410" s="4" t="s">
        <v>396</v>
      </c>
      <c r="I410" s="5">
        <f t="shared" si="374"/>
        <v>130</v>
      </c>
      <c r="J410" s="5"/>
      <c r="K410" s="4" t="str">
        <f t="shared" si="332"/>
        <v>iPhone 13 incell (ci)   = R$ 130,00</v>
      </c>
      <c r="M410" s="4" t="str">
        <f t="shared" si="333"/>
        <v>iPhone 13 incell (ci)   = R$ 135,00</v>
      </c>
      <c r="O410" s="4" t="str">
        <f t="shared" si="334"/>
        <v>iPhone 13 incell (ci)   = R$ 125,00</v>
      </c>
      <c r="Q410" s="4" t="str">
        <f t="shared" si="335"/>
        <v>iPhone 13 incell (ci)   = R$ 140,00</v>
      </c>
    </row>
    <row r="411" spans="1:17" ht="15.75" customHeight="1" x14ac:dyDescent="0.3">
      <c r="A411" s="61" t="s">
        <v>12008</v>
      </c>
      <c r="B411" t="e">
        <f>I180</f>
        <v>#REF!</v>
      </c>
      <c r="C411" t="s">
        <v>12865</v>
      </c>
      <c r="E411" s="102" t="s">
        <v>13360</v>
      </c>
      <c r="F411" s="17">
        <v>555</v>
      </c>
      <c r="H411" s="4" t="s">
        <v>13372</v>
      </c>
      <c r="I411" s="5">
        <f t="shared" si="374"/>
        <v>160</v>
      </c>
      <c r="J411" s="5"/>
      <c r="K411" s="4" t="str">
        <f t="shared" ref="K411" si="379">CONCATENATE(H411,I411,",00")</f>
        <v>iPhone 13 incell (ci)(JK) = R$ 160,00</v>
      </c>
      <c r="M411" s="4" t="str">
        <f t="shared" ref="M411" si="380">CONCATENATE(H411,I411+5,",00")</f>
        <v>iPhone 13 incell (ci)(JK) = R$ 165,00</v>
      </c>
      <c r="O411" s="4" t="str">
        <f t="shared" ref="O411" si="381">CONCATENATE(H411,I411-5,",00")</f>
        <v>iPhone 13 incell (ci)(JK) = R$ 155,00</v>
      </c>
      <c r="Q411" s="4" t="str">
        <f t="shared" ref="Q411" si="382">CONCATENATE(H411,I411+10,",00")</f>
        <v>iPhone 13 incell (ci)(JK) = R$ 170,00</v>
      </c>
    </row>
    <row r="412" spans="1:17" ht="15.75" customHeight="1" x14ac:dyDescent="0.3">
      <c r="A412" s="105" t="s">
        <v>12009</v>
      </c>
      <c r="B412" t="e">
        <f>I180</f>
        <v>#REF!</v>
      </c>
      <c r="C412" t="s">
        <v>12865</v>
      </c>
      <c r="E412" s="102" t="s">
        <v>397</v>
      </c>
      <c r="F412" s="8">
        <v>160</v>
      </c>
      <c r="H412" s="4" t="s">
        <v>398</v>
      </c>
      <c r="I412" s="5">
        <f t="shared" si="374"/>
        <v>285</v>
      </c>
      <c r="J412" s="5"/>
      <c r="K412" s="4" t="str">
        <f t="shared" si="332"/>
        <v>iPhone 13 OLED (ci) = R$ 285,00</v>
      </c>
      <c r="M412" s="4" t="str">
        <f t="shared" si="333"/>
        <v>iPhone 13 OLED (ci) = R$ 290,00</v>
      </c>
      <c r="O412" s="4" t="str">
        <f t="shared" si="334"/>
        <v>iPhone 13 OLED (ci) = R$ 280,00</v>
      </c>
      <c r="Q412" s="4" t="str">
        <f t="shared" si="335"/>
        <v>iPhone 13 OLED (ci) = R$ 295,00</v>
      </c>
    </row>
    <row r="413" spans="1:17" ht="15.75" customHeight="1" x14ac:dyDescent="0.3">
      <c r="A413" s="61" t="s">
        <v>12010</v>
      </c>
      <c r="B413" t="e">
        <f>I180</f>
        <v>#REF!</v>
      </c>
      <c r="C413" t="s">
        <v>12865</v>
      </c>
      <c r="E413" s="102" t="s">
        <v>13361</v>
      </c>
      <c r="F413" s="17">
        <v>220</v>
      </c>
      <c r="H413" s="4" t="s">
        <v>13371</v>
      </c>
      <c r="I413" s="5">
        <f t="shared" si="374"/>
        <v>305</v>
      </c>
      <c r="J413" s="5"/>
      <c r="K413" s="4" t="str">
        <f t="shared" ref="K413:K414" si="383">CONCATENATE(H413,I413,",00")</f>
        <v>iPhone 13 OLED (ci)(JK) = R$ 305,00</v>
      </c>
      <c r="M413" s="4" t="str">
        <f t="shared" ref="M413:M414" si="384">CONCATENATE(H413,I413+5,",00")</f>
        <v>iPhone 13 OLED (ci)(JK) = R$ 310,00</v>
      </c>
      <c r="O413" s="4" t="str">
        <f t="shared" ref="O413:O414" si="385">CONCATENATE(H413,I413-5,",00")</f>
        <v>iPhone 13 OLED (ci)(JK) = R$ 300,00</v>
      </c>
      <c r="Q413" s="4" t="str">
        <f t="shared" ref="Q413:Q414" si="386">CONCATENATE(H413,I413+10,",00")</f>
        <v>iPhone 13 OLED (ci)(JK) = R$ 315,00</v>
      </c>
    </row>
    <row r="414" spans="1:17" ht="15.75" customHeight="1" x14ac:dyDescent="0.3">
      <c r="A414" s="61" t="s">
        <v>12011</v>
      </c>
      <c r="B414" t="e">
        <f>I180</f>
        <v>#REF!</v>
      </c>
      <c r="C414" t="s">
        <v>12865</v>
      </c>
      <c r="E414" s="102" t="s">
        <v>399</v>
      </c>
      <c r="F414" s="8">
        <v>470</v>
      </c>
      <c r="H414" s="4" t="s">
        <v>13412</v>
      </c>
      <c r="I414" s="5">
        <f t="shared" si="374"/>
        <v>420</v>
      </c>
      <c r="J414" s="5"/>
      <c r="K414" s="4" t="str">
        <f t="shared" si="383"/>
        <v>iPhone 13 OLED (S/M) = R$ 420,00</v>
      </c>
      <c r="M414" s="4" t="str">
        <f t="shared" si="384"/>
        <v>iPhone 13 OLED (S/M) = R$ 425,00</v>
      </c>
      <c r="O414" s="4" t="str">
        <f t="shared" si="385"/>
        <v>iPhone 13 OLED (S/M) = R$ 415,00</v>
      </c>
      <c r="Q414" s="4" t="str">
        <f t="shared" si="386"/>
        <v>iPhone 13 OLED (S/M) = R$ 430,00</v>
      </c>
    </row>
    <row r="415" spans="1:17" ht="15.75" customHeight="1" x14ac:dyDescent="0.3">
      <c r="A415" s="52" t="s">
        <v>11005</v>
      </c>
      <c r="B415">
        <f>I181</f>
        <v>215</v>
      </c>
      <c r="C415" t="s">
        <v>12858</v>
      </c>
      <c r="E415" s="102" t="s">
        <v>13333</v>
      </c>
      <c r="F415" s="17">
        <v>495</v>
      </c>
      <c r="H415" s="4" t="s">
        <v>13380</v>
      </c>
      <c r="I415" s="5">
        <f t="shared" si="374"/>
        <v>140</v>
      </c>
      <c r="J415" s="5"/>
      <c r="K415" s="4" t="str">
        <f t="shared" si="332"/>
        <v>iPhone 13 Pro incell (ci) = R$ 140,00</v>
      </c>
      <c r="M415" s="4" t="str">
        <f t="shared" si="333"/>
        <v>iPhone 13 Pro incell (ci) = R$ 145,00</v>
      </c>
      <c r="O415" s="4" t="str">
        <f t="shared" si="334"/>
        <v>iPhone 13 Pro incell (ci) = R$ 135,00</v>
      </c>
      <c r="Q415" s="4" t="str">
        <f t="shared" si="335"/>
        <v>iPhone 13 Pro incell (ci) = R$ 150,00</v>
      </c>
    </row>
    <row r="416" spans="1:17" ht="15.75" customHeight="1" x14ac:dyDescent="0.3">
      <c r="A416" s="52" t="s">
        <v>11006</v>
      </c>
      <c r="B416">
        <f>I181</f>
        <v>215</v>
      </c>
      <c r="C416" t="s">
        <v>12858</v>
      </c>
      <c r="E416" s="102" t="s">
        <v>13335</v>
      </c>
      <c r="F416" s="17">
        <v>110</v>
      </c>
      <c r="H416" s="4" t="s">
        <v>13379</v>
      </c>
      <c r="I416" s="5">
        <f t="shared" si="374"/>
        <v>180</v>
      </c>
      <c r="J416" s="5"/>
      <c r="K416" s="4" t="str">
        <f t="shared" ref="K416" si="387">CONCATENATE(H416,I416,",00")</f>
        <v>iPhone 13 Pro incell (ci)(JK) = 180,00</v>
      </c>
      <c r="M416" s="4" t="str">
        <f t="shared" ref="M416" si="388">CONCATENATE(H416,I416+5,",00")</f>
        <v>iPhone 13 Pro incell (ci)(JK) = 185,00</v>
      </c>
      <c r="O416" s="4" t="str">
        <f t="shared" ref="O416" si="389">CONCATENATE(H416,I416-5,",00")</f>
        <v>iPhone 13 Pro incell (ci)(JK) = 175,00</v>
      </c>
      <c r="Q416" s="4" t="str">
        <f t="shared" ref="Q416" si="390">CONCATENATE(H416,I416+10,",00")</f>
        <v>iPhone 13 Pro incell (ci)(JK) = 190,00</v>
      </c>
    </row>
    <row r="417" spans="1:17" ht="15.75" customHeight="1" x14ac:dyDescent="0.3">
      <c r="A417" s="52" t="s">
        <v>11007</v>
      </c>
      <c r="B417">
        <f>I181</f>
        <v>215</v>
      </c>
      <c r="C417" t="s">
        <v>12858</v>
      </c>
      <c r="E417" s="102" t="s">
        <v>10424</v>
      </c>
      <c r="F417" s="8">
        <v>185</v>
      </c>
      <c r="H417" s="4" t="s">
        <v>13319</v>
      </c>
      <c r="I417" s="5">
        <f t="shared" si="374"/>
        <v>345</v>
      </c>
      <c r="J417" s="5"/>
      <c r="K417" s="4" t="str">
        <f t="shared" si="332"/>
        <v>iPhone 13 Pro OLED (ci) = 345,00</v>
      </c>
      <c r="M417" s="4" t="str">
        <f t="shared" si="333"/>
        <v>iPhone 13 Pro OLED (ci) = 350,00</v>
      </c>
      <c r="O417" s="4" t="str">
        <f t="shared" si="334"/>
        <v>iPhone 13 Pro OLED (ci) = 340,00</v>
      </c>
      <c r="Q417" s="4" t="str">
        <f t="shared" si="335"/>
        <v>iPhone 13 Pro OLED (ci) = 355,00</v>
      </c>
    </row>
    <row r="418" spans="1:17" ht="15.75" customHeight="1" x14ac:dyDescent="0.3">
      <c r="A418" s="52" t="s">
        <v>11008</v>
      </c>
      <c r="B418">
        <f>I181</f>
        <v>215</v>
      </c>
      <c r="C418" t="s">
        <v>12858</v>
      </c>
      <c r="E418" s="102" t="s">
        <v>13362</v>
      </c>
      <c r="F418" s="17">
        <v>190</v>
      </c>
      <c r="H418" s="4" t="s">
        <v>13381</v>
      </c>
      <c r="I418" s="5">
        <f t="shared" ref="I418:J418" si="391">F399</f>
        <v>365</v>
      </c>
      <c r="J418" s="5"/>
      <c r="K418" s="4" t="str">
        <f t="shared" ref="K418" si="392">CONCATENATE(H418,I418,",00")</f>
        <v>iPhone 13 Pro OLED (ci)(JK)= 365,00</v>
      </c>
      <c r="M418" s="4" t="str">
        <f t="shared" ref="M418" si="393">CONCATENATE(H418,I418+5,",00")</f>
        <v>iPhone 13 Pro OLED (ci)(JK)= 370,00</v>
      </c>
      <c r="O418" s="4" t="str">
        <f t="shared" ref="O418" si="394">CONCATENATE(H418,I418-5,",00")</f>
        <v>iPhone 13 Pro OLED (ci)(JK)= 360,00</v>
      </c>
      <c r="Q418" s="4" t="str">
        <f t="shared" ref="Q418" si="395">CONCATENATE(H418,I418+10,",00")</f>
        <v>iPhone 13 Pro OLED (ci)(JK)= 375,00</v>
      </c>
    </row>
    <row r="419" spans="1:17" ht="15.75" customHeight="1" x14ac:dyDescent="0.3">
      <c r="A419" t="s">
        <v>2357</v>
      </c>
      <c r="B419">
        <f>I182</f>
        <v>260</v>
      </c>
      <c r="C419" t="s">
        <v>12859</v>
      </c>
      <c r="E419" s="102" t="s">
        <v>10425</v>
      </c>
      <c r="F419" s="17">
        <v>555</v>
      </c>
      <c r="H419" s="4" t="s">
        <v>400</v>
      </c>
      <c r="I419" s="5">
        <f t="shared" ref="I419:J424" si="396">F400</f>
        <v>150</v>
      </c>
      <c r="J419" s="5"/>
      <c r="K419" s="4" t="str">
        <f t="shared" si="332"/>
        <v>13 Pro Max Incell (ci) = R$ 150,00</v>
      </c>
      <c r="M419" s="4" t="str">
        <f t="shared" si="333"/>
        <v>13 Pro Max Incell (ci) = R$ 155,00</v>
      </c>
      <c r="O419" s="4" t="str">
        <f t="shared" si="334"/>
        <v>13 Pro Max Incell (ci) = R$ 145,00</v>
      </c>
      <c r="Q419" s="4" t="str">
        <f t="shared" si="335"/>
        <v>13 Pro Max Incell (ci) = R$ 160,00</v>
      </c>
    </row>
    <row r="420" spans="1:17" ht="15.75" customHeight="1" x14ac:dyDescent="0.3">
      <c r="A420" t="s">
        <v>2518</v>
      </c>
      <c r="B420">
        <f>I182</f>
        <v>260</v>
      </c>
      <c r="C420" t="s">
        <v>12859</v>
      </c>
      <c r="E420" s="102" t="s">
        <v>13363</v>
      </c>
      <c r="F420" s="17">
        <v>575</v>
      </c>
      <c r="H420" s="4" t="s">
        <v>13382</v>
      </c>
      <c r="I420" s="5">
        <f t="shared" si="396"/>
        <v>200</v>
      </c>
      <c r="J420" s="5"/>
      <c r="K420" s="4" t="str">
        <f t="shared" ref="K420" si="397">CONCATENATE(H420,I420,",00")</f>
        <v>13 Pro Max incell (ci)(JK) = 200,00</v>
      </c>
      <c r="M420" s="4" t="str">
        <f t="shared" ref="M420" si="398">CONCATENATE(H420,I420+5,",00")</f>
        <v>13 Pro Max incell (ci)(JK) = 205,00</v>
      </c>
      <c r="O420" s="4" t="str">
        <f t="shared" ref="O420" si="399">CONCATENATE(H420,I420-5,",00")</f>
        <v>13 Pro Max incell (ci)(JK) = 195,00</v>
      </c>
      <c r="Q420" s="4" t="str">
        <f t="shared" ref="Q420" si="400">CONCATENATE(H420,I420+10,",00")</f>
        <v>13 Pro Max incell (ci)(JK) = 210,00</v>
      </c>
    </row>
    <row r="421" spans="1:17" ht="15.75" customHeight="1" x14ac:dyDescent="0.3">
      <c r="A421" t="s">
        <v>11472</v>
      </c>
      <c r="B421">
        <f>I183</f>
        <v>270</v>
      </c>
      <c r="E421" s="102" t="s">
        <v>10426</v>
      </c>
      <c r="F421" s="8">
        <v>170</v>
      </c>
      <c r="H421" s="4" t="s">
        <v>401</v>
      </c>
      <c r="I421" s="5">
        <f t="shared" si="396"/>
        <v>340</v>
      </c>
      <c r="J421" s="5"/>
      <c r="K421" s="4" t="str">
        <f t="shared" si="332"/>
        <v>13 Pro Max OLED (ci) = R$ 340,00</v>
      </c>
      <c r="M421" s="4" t="str">
        <f t="shared" si="333"/>
        <v>13 Pro Max OLED (ci) = R$ 345,00</v>
      </c>
      <c r="O421" s="4" t="str">
        <f t="shared" si="334"/>
        <v>13 Pro Max OLED (ci) = R$ 335,00</v>
      </c>
      <c r="Q421" s="4" t="str">
        <f t="shared" si="335"/>
        <v>13 Pro Max OLED (ci) = R$ 350,00</v>
      </c>
    </row>
    <row r="422" spans="1:17" ht="15.75" customHeight="1" x14ac:dyDescent="0.3">
      <c r="A422" t="s">
        <v>11473</v>
      </c>
      <c r="B422">
        <f>I183</f>
        <v>270</v>
      </c>
      <c r="E422" s="102" t="s">
        <v>13314</v>
      </c>
      <c r="F422" s="17">
        <v>240</v>
      </c>
      <c r="H422" s="4" t="s">
        <v>403</v>
      </c>
      <c r="I422" s="5">
        <f t="shared" si="396"/>
        <v>140</v>
      </c>
      <c r="J422" s="5"/>
      <c r="K422" s="4" t="str">
        <f t="shared" si="332"/>
        <v>iPhone 14 incell (ci) = R$ 140,00</v>
      </c>
      <c r="M422" s="4" t="str">
        <f t="shared" si="333"/>
        <v>iPhone 14 incell (ci) = R$ 145,00</v>
      </c>
      <c r="O422" s="4" t="str">
        <f t="shared" si="334"/>
        <v>iPhone 14 incell (ci) = R$ 135,00</v>
      </c>
      <c r="Q422" s="4" t="str">
        <f t="shared" si="335"/>
        <v>iPhone 14 incell (ci) = R$ 150,00</v>
      </c>
    </row>
    <row r="423" spans="1:17" ht="15.75" customHeight="1" x14ac:dyDescent="0.3">
      <c r="A423" t="s">
        <v>11213</v>
      </c>
      <c r="B423">
        <f>I184</f>
        <v>140</v>
      </c>
      <c r="C423" t="s">
        <v>12861</v>
      </c>
      <c r="E423" s="102" t="s">
        <v>10427</v>
      </c>
      <c r="F423" s="8">
        <v>560</v>
      </c>
      <c r="H423" s="4" t="s">
        <v>13383</v>
      </c>
      <c r="I423" s="5">
        <f t="shared" si="396"/>
        <v>170</v>
      </c>
      <c r="J423" s="5"/>
      <c r="K423" s="4" t="str">
        <f t="shared" si="332"/>
        <v>iPhone 14 incell (ci)(JK) = R$ 170,00</v>
      </c>
      <c r="M423" s="4" t="str">
        <f t="shared" si="333"/>
        <v>iPhone 14 incell (ci)(JK) = R$ 175,00</v>
      </c>
      <c r="O423" s="4" t="str">
        <f t="shared" si="334"/>
        <v>iPhone 14 incell (ci)(JK) = R$ 165,00</v>
      </c>
      <c r="Q423" s="4" t="str">
        <f t="shared" si="335"/>
        <v>iPhone 14 incell (ci)(JK) = R$ 180,00</v>
      </c>
    </row>
    <row r="424" spans="1:17" ht="15.75" customHeight="1" x14ac:dyDescent="0.3">
      <c r="A424" t="s">
        <v>11214</v>
      </c>
      <c r="B424">
        <f>I184</f>
        <v>140</v>
      </c>
      <c r="C424" t="s">
        <v>12861</v>
      </c>
      <c r="E424" s="102" t="s">
        <v>13332</v>
      </c>
      <c r="F424" s="17">
        <v>590</v>
      </c>
      <c r="H424" s="4" t="s">
        <v>976</v>
      </c>
      <c r="I424" s="5">
        <f t="shared" si="396"/>
        <v>305</v>
      </c>
      <c r="J424" s="5"/>
      <c r="K424" s="4" t="str">
        <f t="shared" ref="K424:K426" si="401">CONCATENATE(H424,I424,",00")</f>
        <v>iPhone 14 OLED (ci) = R$ 305,00</v>
      </c>
      <c r="M424" s="4" t="str">
        <f t="shared" ref="M424:M426" si="402">CONCATENATE(H424,I424+5,",00")</f>
        <v>iPhone 14 OLED (ci) = R$ 310,00</v>
      </c>
      <c r="O424" s="4" t="str">
        <f t="shared" ref="O424:O426" si="403">CONCATENATE(H424,I424-5,",00")</f>
        <v>iPhone 14 OLED (ci) = R$ 300,00</v>
      </c>
      <c r="Q424" s="4" t="str">
        <f t="shared" ref="Q424:Q426" si="404">CONCATENATE(H424,I424+10,",00")</f>
        <v>iPhone 14 OLED (ci) = R$ 315,00</v>
      </c>
    </row>
    <row r="425" spans="1:17" ht="15.75" customHeight="1" x14ac:dyDescent="0.3">
      <c r="A425" t="s">
        <v>11215</v>
      </c>
      <c r="B425">
        <f>I185</f>
        <v>210</v>
      </c>
      <c r="C425" t="s">
        <v>12863</v>
      </c>
      <c r="E425" s="102" t="s">
        <v>10428</v>
      </c>
      <c r="F425" s="8">
        <v>190</v>
      </c>
      <c r="H425" s="4" t="s">
        <v>13384</v>
      </c>
      <c r="I425" s="5">
        <f>F406</f>
        <v>325</v>
      </c>
      <c r="J425" s="5"/>
      <c r="K425" s="4" t="str">
        <f t="shared" si="401"/>
        <v>iPhone 14 OLED (ci)(JK) = R$ 325,00</v>
      </c>
      <c r="M425" s="4" t="str">
        <f t="shared" si="402"/>
        <v>iPhone 14 OLED (ci)(JK) = R$ 330,00</v>
      </c>
      <c r="O425" s="4" t="str">
        <f t="shared" si="403"/>
        <v>iPhone 14 OLED (ci)(JK) = R$ 320,00</v>
      </c>
      <c r="Q425" s="4" t="str">
        <f t="shared" si="404"/>
        <v>iPhone 14 OLED (ci)(JK) = R$ 335,00</v>
      </c>
    </row>
    <row r="426" spans="1:17" ht="15.75" customHeight="1" x14ac:dyDescent="0.3">
      <c r="A426" t="s">
        <v>11216</v>
      </c>
      <c r="B426">
        <f>I185</f>
        <v>210</v>
      </c>
      <c r="C426" t="s">
        <v>12863</v>
      </c>
      <c r="E426" s="102" t="s">
        <v>13364</v>
      </c>
      <c r="F426" s="17">
        <v>260</v>
      </c>
      <c r="H426" s="4" t="s">
        <v>13413</v>
      </c>
      <c r="I426" s="5">
        <f>F407</f>
        <v>430</v>
      </c>
      <c r="J426" s="5"/>
      <c r="K426" s="4" t="str">
        <f t="shared" si="401"/>
        <v>iPhone 14 OLED (S/M) = R$ 430,00</v>
      </c>
      <c r="M426" s="4" t="str">
        <f t="shared" si="402"/>
        <v>iPhone 14 OLED (S/M) = R$ 435,00</v>
      </c>
      <c r="O426" s="4" t="str">
        <f t="shared" si="403"/>
        <v>iPhone 14 OLED (S/M) = R$ 425,00</v>
      </c>
      <c r="Q426" s="4" t="str">
        <f t="shared" si="404"/>
        <v>iPhone 14 OLED (S/M) = R$ 440,00</v>
      </c>
    </row>
    <row r="427" spans="1:17" ht="15.75" customHeight="1" x14ac:dyDescent="0.3">
      <c r="A427" t="s">
        <v>11217</v>
      </c>
      <c r="B427">
        <f>I185</f>
        <v>210</v>
      </c>
      <c r="C427" t="s">
        <v>12863</v>
      </c>
      <c r="E427" s="102" t="s">
        <v>10429</v>
      </c>
      <c r="F427" s="8">
        <v>555</v>
      </c>
      <c r="H427" s="4" t="s">
        <v>405</v>
      </c>
      <c r="I427" s="5">
        <f>F408</f>
        <v>150</v>
      </c>
      <c r="J427" s="5"/>
      <c r="K427" s="4" t="str">
        <f t="shared" si="332"/>
        <v>14 Pro incell (ci) = R$ 150,00</v>
      </c>
      <c r="M427" s="4" t="str">
        <f t="shared" si="333"/>
        <v>14 Pro incell (ci) = R$ 155,00</v>
      </c>
      <c r="O427" s="4" t="str">
        <f t="shared" si="334"/>
        <v>14 Pro incell (ci) = R$ 145,00</v>
      </c>
      <c r="Q427" s="4" t="str">
        <f t="shared" si="335"/>
        <v>14 Pro incell (ci) = R$ 160,00</v>
      </c>
    </row>
    <row r="428" spans="1:17" ht="15.75" customHeight="1" x14ac:dyDescent="0.3">
      <c r="A428" t="s">
        <v>11218</v>
      </c>
      <c r="B428">
        <f>I185</f>
        <v>210</v>
      </c>
      <c r="C428" t="s">
        <v>12863</v>
      </c>
      <c r="E428" s="102" t="s">
        <v>13365</v>
      </c>
      <c r="F428" s="104">
        <v>575</v>
      </c>
      <c r="H428" s="4" t="s">
        <v>13385</v>
      </c>
      <c r="I428" s="5">
        <f>F409</f>
        <v>200</v>
      </c>
      <c r="J428" s="5"/>
      <c r="K428" s="4" t="str">
        <f t="shared" ref="K428" si="405">CONCATENATE(H428,I428,",00")</f>
        <v>14 Pro incell (ci)(JK) = R$ 200,00</v>
      </c>
      <c r="M428" s="4" t="str">
        <f t="shared" ref="M428" si="406">CONCATENATE(H428,I428+5,",00")</f>
        <v>14 Pro incell (ci)(JK) = R$ 205,00</v>
      </c>
      <c r="O428" s="4" t="str">
        <f t="shared" ref="O428" si="407">CONCATENATE(H428,I428-5,",00")</f>
        <v>14 Pro incell (ci)(JK) = R$ 195,00</v>
      </c>
      <c r="Q428" s="4" t="str">
        <f t="shared" ref="Q428" si="408">CONCATENATE(H428,I428+10,",00")</f>
        <v>14 Pro incell (ci)(JK) = R$ 210,00</v>
      </c>
    </row>
    <row r="429" spans="1:17" ht="15.75" customHeight="1" x14ac:dyDescent="0.3">
      <c r="A429" s="56" t="s">
        <v>11219</v>
      </c>
      <c r="B429">
        <f>I186</f>
        <v>220</v>
      </c>
      <c r="C429" t="s">
        <v>12860</v>
      </c>
      <c r="E429" s="102" t="s">
        <v>13409</v>
      </c>
      <c r="F429" s="104">
        <v>795</v>
      </c>
      <c r="H429" s="4" t="s">
        <v>406</v>
      </c>
      <c r="I429" s="5">
        <f>F410</f>
        <v>535</v>
      </c>
      <c r="J429" s="5"/>
      <c r="K429" s="4" t="str">
        <f t="shared" si="332"/>
        <v>14 Pro OLED (ci) = R$ 535,00</v>
      </c>
      <c r="M429" s="4" t="str">
        <f t="shared" si="333"/>
        <v>14 Pro OLED (ci) = R$ 540,00</v>
      </c>
      <c r="O429" s="4" t="str">
        <f t="shared" si="334"/>
        <v>14 Pro OLED (ci) = R$ 530,00</v>
      </c>
      <c r="Q429" s="4" t="str">
        <f t="shared" si="335"/>
        <v>14 Pro OLED (ci) = R$ 545,00</v>
      </c>
    </row>
    <row r="430" spans="1:17" ht="15.75" customHeight="1" x14ac:dyDescent="0.3">
      <c r="A430" s="56" t="s">
        <v>11220</v>
      </c>
      <c r="B430">
        <f>I186</f>
        <v>220</v>
      </c>
      <c r="C430" t="s">
        <v>12860</v>
      </c>
      <c r="E430" s="102" t="s">
        <v>12327</v>
      </c>
      <c r="F430" s="12">
        <v>320</v>
      </c>
      <c r="H430" s="4" t="s">
        <v>13386</v>
      </c>
      <c r="I430" s="5">
        <f t="shared" ref="I430:J430" si="409">F411</f>
        <v>555</v>
      </c>
      <c r="J430" s="5"/>
      <c r="K430" s="4" t="str">
        <f t="shared" ref="K430" si="410">CONCATENATE(H430,I430,",00")</f>
        <v>14 Pro OLED (ci)(JK) = R$ 555,00</v>
      </c>
      <c r="M430" s="4" t="str">
        <f t="shared" ref="M430" si="411">CONCATENATE(H430,I430+5,",00")</f>
        <v>14 Pro OLED (ci)(JK) = R$ 560,00</v>
      </c>
      <c r="O430" s="4" t="str">
        <f t="shared" ref="O430" si="412">CONCATENATE(H430,I430-5,",00")</f>
        <v>14 Pro OLED (ci)(JK) = R$ 550,00</v>
      </c>
      <c r="Q430" s="4" t="str">
        <f t="shared" ref="Q430" si="413">CONCATENATE(H430,I430+10,",00")</f>
        <v>14 Pro OLED (ci)(JK) = R$ 565,00</v>
      </c>
    </row>
    <row r="431" spans="1:17" ht="15.75" customHeight="1" x14ac:dyDescent="0.3">
      <c r="A431" t="s">
        <v>11211</v>
      </c>
      <c r="B431">
        <f>I186</f>
        <v>220</v>
      </c>
      <c r="C431" t="s">
        <v>12860</v>
      </c>
      <c r="E431" s="102" t="s">
        <v>13366</v>
      </c>
      <c r="F431" s="12">
        <v>340</v>
      </c>
      <c r="H431" s="4" t="s">
        <v>408</v>
      </c>
      <c r="I431" s="5">
        <f t="shared" ref="I431:J439" si="414">F412</f>
        <v>160</v>
      </c>
      <c r="J431" s="5"/>
      <c r="K431" s="4" t="str">
        <f t="shared" si="332"/>
        <v>14 Pro Max incell (ci) = R$ 160,00</v>
      </c>
      <c r="M431" s="4" t="str">
        <f t="shared" si="333"/>
        <v>14 Pro Max incell (ci) = R$ 165,00</v>
      </c>
      <c r="O431" s="4" t="str">
        <f t="shared" si="334"/>
        <v>14 Pro Max incell (ci) = R$ 155,00</v>
      </c>
      <c r="Q431" s="4" t="str">
        <f t="shared" si="335"/>
        <v>14 Pro Max incell (ci) = R$ 170,00</v>
      </c>
    </row>
    <row r="432" spans="1:17" ht="15.75" customHeight="1" x14ac:dyDescent="0.3">
      <c r="A432" t="s">
        <v>11212</v>
      </c>
      <c r="B432">
        <f>I186</f>
        <v>220</v>
      </c>
      <c r="C432" t="s">
        <v>12860</v>
      </c>
      <c r="E432" s="102" t="s">
        <v>12328</v>
      </c>
      <c r="F432" s="12">
        <v>615</v>
      </c>
      <c r="H432" s="4" t="s">
        <v>13387</v>
      </c>
      <c r="I432" s="5">
        <f t="shared" si="414"/>
        <v>220</v>
      </c>
      <c r="J432" s="5"/>
      <c r="K432" s="4" t="str">
        <f t="shared" si="332"/>
        <v>14 Pro Max incell (ci)(JK) = 220,00</v>
      </c>
      <c r="M432" s="4" t="str">
        <f t="shared" si="333"/>
        <v>14 Pro Max incell (ci)(JK) = 225,00</v>
      </c>
      <c r="O432" s="4" t="str">
        <f t="shared" si="334"/>
        <v>14 Pro Max incell (ci)(JK) = 215,00</v>
      </c>
      <c r="Q432" s="4" t="str">
        <f t="shared" si="335"/>
        <v>14 Pro Max incell (ci)(JK) = 230,00</v>
      </c>
    </row>
    <row r="433" spans="1:17" ht="15.75" customHeight="1" x14ac:dyDescent="0.3">
      <c r="A433" t="s">
        <v>12048</v>
      </c>
      <c r="B433">
        <f>I187</f>
        <v>250</v>
      </c>
      <c r="E433" s="102" t="s">
        <v>13367</v>
      </c>
      <c r="F433" s="12">
        <v>635</v>
      </c>
      <c r="H433" s="4" t="s">
        <v>410</v>
      </c>
      <c r="I433" s="5">
        <f t="shared" si="414"/>
        <v>470</v>
      </c>
      <c r="J433" s="5"/>
      <c r="K433" s="4" t="str">
        <f t="shared" ref="K433:K467" si="415">CONCATENATE(H433,I433,",00")</f>
        <v>14 Pro Max OLED (ci) = R$ 470,00</v>
      </c>
      <c r="M433" s="4" t="str">
        <f t="shared" ref="M433:M467" si="416">CONCATENATE(H433,I433+5,",00")</f>
        <v>14 Pro Max OLED (ci) = R$ 475,00</v>
      </c>
      <c r="O433" s="4" t="str">
        <f t="shared" ref="O433:O467" si="417">CONCATENATE(H433,I433-5,",00")</f>
        <v>14 Pro Max OLED (ci) = R$ 465,00</v>
      </c>
      <c r="Q433" s="4" t="str">
        <f t="shared" ref="Q433:Q467" si="418">CONCATENATE(H433,I433+10,",00")</f>
        <v>14 Pro Max OLED (ci) = R$ 480,00</v>
      </c>
    </row>
    <row r="434" spans="1:17" ht="15.75" customHeight="1" x14ac:dyDescent="0.3">
      <c r="A434" t="s">
        <v>12049</v>
      </c>
      <c r="B434">
        <f>I187</f>
        <v>250</v>
      </c>
      <c r="E434" s="102" t="s">
        <v>12329</v>
      </c>
      <c r="F434" s="12">
        <v>370</v>
      </c>
      <c r="H434" s="4" t="s">
        <v>13340</v>
      </c>
      <c r="I434" s="5">
        <f t="shared" si="414"/>
        <v>495</v>
      </c>
      <c r="J434" s="5"/>
      <c r="K434" s="4" t="str">
        <f t="shared" ref="K434" si="419">CONCATENATE(H434,I434,",00")</f>
        <v>14 Pro Max OLED (JK) (ci) = R$ 495,00</v>
      </c>
      <c r="M434" s="4" t="str">
        <f t="shared" ref="M434" si="420">CONCATENATE(H434,I434+5,",00")</f>
        <v>14 Pro Max OLED (JK) (ci) = R$ 500,00</v>
      </c>
      <c r="O434" s="4" t="str">
        <f t="shared" ref="O434" si="421">CONCATENATE(H434,I434-5,",00")</f>
        <v>14 Pro Max OLED (JK) (ci) = R$ 490,00</v>
      </c>
      <c r="Q434" s="4" t="str">
        <f t="shared" ref="Q434" si="422">CONCATENATE(H434,I434+10,",00")</f>
        <v>14 Pro Max OLED (JK) (ci) = R$ 505,00</v>
      </c>
    </row>
    <row r="435" spans="1:17" ht="15.75" customHeight="1" x14ac:dyDescent="0.3">
      <c r="A435" t="s">
        <v>12050</v>
      </c>
      <c r="B435">
        <f>I188</f>
        <v>260</v>
      </c>
      <c r="E435" s="102" t="s">
        <v>13303</v>
      </c>
      <c r="F435" s="12">
        <v>520</v>
      </c>
      <c r="H435" s="4" t="s">
        <v>13388</v>
      </c>
      <c r="I435" s="5">
        <f t="shared" si="414"/>
        <v>110</v>
      </c>
      <c r="J435" s="5"/>
      <c r="K435" s="4" t="str">
        <f t="shared" si="415"/>
        <v>14 Plus - incell (ci)(JK = R$ 110,00</v>
      </c>
      <c r="M435" s="4" t="str">
        <f t="shared" si="416"/>
        <v>14 Plus - incell (ci)(JK = R$ 115,00</v>
      </c>
      <c r="O435" s="4" t="str">
        <f t="shared" si="417"/>
        <v>14 Plus - incell (ci)(JK = R$ 105,00</v>
      </c>
      <c r="Q435" s="4" t="str">
        <f t="shared" si="418"/>
        <v>14 Plus - incell (ci)(JK = R$ 120,00</v>
      </c>
    </row>
    <row r="436" spans="1:17" ht="15.75" customHeight="1" x14ac:dyDescent="0.3">
      <c r="A436" t="s">
        <v>12051</v>
      </c>
      <c r="B436">
        <f>I188</f>
        <v>260</v>
      </c>
      <c r="E436" s="102" t="s">
        <v>12330</v>
      </c>
      <c r="F436" s="12">
        <v>640</v>
      </c>
      <c r="H436" s="4" t="s">
        <v>10430</v>
      </c>
      <c r="I436" s="5">
        <f t="shared" si="414"/>
        <v>185</v>
      </c>
      <c r="J436" s="5"/>
      <c r="K436" s="4" t="str">
        <f t="shared" ref="K436:K443" si="423">CONCATENATE(H436,I436,",00")</f>
        <v>iPhone 15 - incell (ci) = R$ 185,00</v>
      </c>
      <c r="M436" s="4" t="str">
        <f t="shared" ref="M436:M443" si="424">CONCATENATE(H436,I436+5,",00")</f>
        <v>iPhone 15 - incell (ci) = R$ 190,00</v>
      </c>
      <c r="O436" s="4" t="str">
        <f t="shared" ref="O436:O443" si="425">CONCATENATE(H436,I436-5,",00")</f>
        <v>iPhone 15 - incell (ci) = R$ 180,00</v>
      </c>
      <c r="Q436" s="4" t="str">
        <f t="shared" ref="Q436:Q443" si="426">CONCATENATE(H436,I436+10,",00")</f>
        <v>iPhone 15 - incell (ci) = R$ 195,00</v>
      </c>
    </row>
    <row r="437" spans="1:17" ht="15.75" customHeight="1" x14ac:dyDescent="0.3">
      <c r="A437" s="63" t="s">
        <v>10606</v>
      </c>
      <c r="B437">
        <f>I193</f>
        <v>75</v>
      </c>
      <c r="C437" t="s">
        <v>12866</v>
      </c>
      <c r="E437" s="102" t="s">
        <v>13587</v>
      </c>
      <c r="F437" s="12">
        <v>670</v>
      </c>
      <c r="H437" s="4" t="s">
        <v>13389</v>
      </c>
      <c r="I437" s="5">
        <f t="shared" si="414"/>
        <v>190</v>
      </c>
      <c r="J437" s="5"/>
      <c r="K437" s="4" t="str">
        <f t="shared" ref="K437" si="427">CONCATENATE(H437,I437,",00")</f>
        <v>iPhone 15 - incell (ci)(JK) = R$ 190,00</v>
      </c>
      <c r="M437" s="4" t="str">
        <f t="shared" ref="M437" si="428">CONCATENATE(H437,I437+5,",00")</f>
        <v>iPhone 15 - incell (ci)(JK) = R$ 195,00</v>
      </c>
      <c r="O437" s="4" t="str">
        <f t="shared" ref="O437" si="429">CONCATENATE(H437,I437-5,",00")</f>
        <v>iPhone 15 - incell (ci)(JK) = R$ 185,00</v>
      </c>
      <c r="Q437" s="4" t="str">
        <f t="shared" ref="Q437" si="430">CONCATENATE(H437,I437+10,",00")</f>
        <v>iPhone 15 - incell (ci)(JK) = R$ 200,00</v>
      </c>
    </row>
    <row r="438" spans="1:17" ht="15.75" customHeight="1" x14ac:dyDescent="0.3">
      <c r="A438" s="63" t="s">
        <v>12076</v>
      </c>
      <c r="B438">
        <f>I196</f>
        <v>90</v>
      </c>
      <c r="C438" t="s">
        <v>12867</v>
      </c>
      <c r="E438" s="102" t="s">
        <v>12331</v>
      </c>
      <c r="F438" s="12">
        <v>370</v>
      </c>
      <c r="H438" s="4" t="s">
        <v>10431</v>
      </c>
      <c r="I438" s="5">
        <f t="shared" si="414"/>
        <v>555</v>
      </c>
      <c r="J438" s="5"/>
      <c r="K438" s="4" t="str">
        <f t="shared" si="423"/>
        <v>iPhone 15 OLED (ci) = R$ 555,00</v>
      </c>
      <c r="M438" s="4" t="str">
        <f t="shared" si="424"/>
        <v>iPhone 15 OLED (ci) = R$ 560,00</v>
      </c>
      <c r="O438" s="4" t="str">
        <f t="shared" si="425"/>
        <v>iPhone 15 OLED (ci) = R$ 550,00</v>
      </c>
      <c r="Q438" s="4" t="str">
        <f t="shared" si="426"/>
        <v>iPhone 15 OLED (ci) = R$ 565,00</v>
      </c>
    </row>
    <row r="439" spans="1:17" ht="15.75" customHeight="1" x14ac:dyDescent="0.3">
      <c r="A439" s="63" t="s">
        <v>2297</v>
      </c>
      <c r="B439">
        <f>I196</f>
        <v>90</v>
      </c>
      <c r="C439" t="s">
        <v>12867</v>
      </c>
      <c r="E439" s="102" t="s">
        <v>13315</v>
      </c>
      <c r="F439" s="12">
        <v>620</v>
      </c>
      <c r="H439" s="4" t="s">
        <v>13390</v>
      </c>
      <c r="I439" s="5">
        <f t="shared" si="414"/>
        <v>575</v>
      </c>
      <c r="J439" s="5"/>
      <c r="K439" s="4" t="str">
        <f t="shared" ref="K439" si="431">CONCATENATE(H439,I439,",00")</f>
        <v>iPhone 15 OLED (ci)(JK) = R$ 575,00</v>
      </c>
      <c r="M439" s="4" t="str">
        <f t="shared" ref="M439" si="432">CONCATENATE(H439,I439+5,",00")</f>
        <v>iPhone 15 OLED (ci)(JK) = R$ 580,00</v>
      </c>
      <c r="O439" s="4" t="str">
        <f t="shared" ref="O439" si="433">CONCATENATE(H439,I439-5,",00")</f>
        <v>iPhone 15 OLED (ci)(JK) = R$ 570,00</v>
      </c>
      <c r="Q439" s="4" t="str">
        <f t="shared" ref="Q439" si="434">CONCATENATE(H439,I439+10,",00")</f>
        <v>iPhone 15 OLED (ci)(JK) = R$ 585,00</v>
      </c>
    </row>
    <row r="440" spans="1:17" ht="15.75" customHeight="1" x14ac:dyDescent="0.3">
      <c r="A440" s="70" t="s">
        <v>12479</v>
      </c>
      <c r="B440">
        <f>I196</f>
        <v>90</v>
      </c>
      <c r="C440" t="s">
        <v>12868</v>
      </c>
      <c r="E440" s="102" t="s">
        <v>12332</v>
      </c>
      <c r="F440" s="12">
        <v>720</v>
      </c>
      <c r="H440" s="4" t="s">
        <v>13391</v>
      </c>
      <c r="I440" s="5">
        <f t="shared" ref="I440:J446" si="435">F421</f>
        <v>170</v>
      </c>
      <c r="J440" s="5"/>
      <c r="K440" s="4" t="str">
        <f t="shared" si="423"/>
        <v>iPhone 15 Pro incell (ci) = R$ 170,00</v>
      </c>
      <c r="M440" s="4" t="str">
        <f t="shared" si="424"/>
        <v>iPhone 15 Pro incell (ci) = R$ 175,00</v>
      </c>
      <c r="O440" s="4" t="str">
        <f t="shared" si="425"/>
        <v>iPhone 15 Pro incell (ci) = R$ 165,00</v>
      </c>
      <c r="Q440" s="4" t="str">
        <f t="shared" si="426"/>
        <v>iPhone 15 Pro incell (ci) = R$ 180,00</v>
      </c>
    </row>
    <row r="441" spans="1:17" ht="15.75" customHeight="1" x14ac:dyDescent="0.3">
      <c r="A441" s="70" t="s">
        <v>12480</v>
      </c>
      <c r="B441">
        <f>I196</f>
        <v>90</v>
      </c>
      <c r="C441" t="s">
        <v>12868</v>
      </c>
      <c r="E441" s="102" t="s">
        <v>13334</v>
      </c>
      <c r="F441" s="12">
        <v>780</v>
      </c>
      <c r="H441" s="4" t="s">
        <v>13392</v>
      </c>
      <c r="I441" s="5">
        <f t="shared" si="435"/>
        <v>240</v>
      </c>
      <c r="J441" s="5"/>
      <c r="K441" s="4" t="str">
        <f t="shared" ref="K441" si="436">CONCATENATE(H441,I441,",00")</f>
        <v>iPhone 15 Pro incell (ci)(JK) = 240,00</v>
      </c>
      <c r="M441" s="4" t="str">
        <f t="shared" ref="M441" si="437">CONCATENATE(H441,I441+5,",00")</f>
        <v>iPhone 15 Pro incell (ci)(JK) = 245,00</v>
      </c>
      <c r="O441" s="4" t="str">
        <f t="shared" ref="O441" si="438">CONCATENATE(H441,I441-5,",00")</f>
        <v>iPhone 15 Pro incell (ci)(JK) = 235,00</v>
      </c>
      <c r="Q441" s="4" t="str">
        <f t="shared" ref="Q441" si="439">CONCATENATE(H441,I441+10,",00")</f>
        <v>iPhone 15 Pro incell (ci)(JK) = 250,00</v>
      </c>
    </row>
    <row r="442" spans="1:17" ht="15.75" customHeight="1" x14ac:dyDescent="0.3">
      <c r="A442" s="100" t="s">
        <v>13276</v>
      </c>
      <c r="B442">
        <f>I198</f>
        <v>180</v>
      </c>
      <c r="C442" t="s">
        <v>12869</v>
      </c>
      <c r="E442" s="102" t="s">
        <v>13304</v>
      </c>
      <c r="F442" s="12">
        <v>0</v>
      </c>
      <c r="H442" s="4" t="s">
        <v>10432</v>
      </c>
      <c r="I442" s="5">
        <f t="shared" si="435"/>
        <v>560</v>
      </c>
      <c r="J442" s="5"/>
      <c r="K442" s="4" t="str">
        <f t="shared" si="423"/>
        <v>iPhone 15 Pro OLED (ci) = R$ 560,00</v>
      </c>
      <c r="M442" s="4" t="str">
        <f t="shared" si="424"/>
        <v>iPhone 15 Pro OLED (ci) = R$ 565,00</v>
      </c>
      <c r="O442" s="4" t="str">
        <f t="shared" si="425"/>
        <v>iPhone 15 Pro OLED (ci) = R$ 555,00</v>
      </c>
      <c r="Q442" s="4" t="str">
        <f t="shared" si="426"/>
        <v>iPhone 15 Pro OLED (ci) = R$ 570,00</v>
      </c>
    </row>
    <row r="443" spans="1:17" ht="15.75" customHeight="1" x14ac:dyDescent="0.3">
      <c r="A443" s="100" t="s">
        <v>13277</v>
      </c>
      <c r="B443">
        <f>I198</f>
        <v>180</v>
      </c>
      <c r="C443" t="s">
        <v>12869</v>
      </c>
      <c r="E443" s="102" t="s">
        <v>13316</v>
      </c>
      <c r="F443" s="12">
        <v>0</v>
      </c>
      <c r="H443" s="4" t="s">
        <v>13393</v>
      </c>
      <c r="I443" s="5">
        <f t="shared" si="435"/>
        <v>590</v>
      </c>
      <c r="J443" s="5"/>
      <c r="K443" s="4" t="str">
        <f t="shared" si="423"/>
        <v>iPhone 15 Pro OLED (ci)(JK) = 590,00</v>
      </c>
      <c r="M443" s="4" t="str">
        <f t="shared" si="424"/>
        <v>iPhone 15 Pro OLED (ci)(JK) = 595,00</v>
      </c>
      <c r="O443" s="4" t="str">
        <f t="shared" si="425"/>
        <v>iPhone 15 Pro OLED (ci)(JK) = 585,00</v>
      </c>
      <c r="Q443" s="4" t="str">
        <f t="shared" si="426"/>
        <v>iPhone 15 Pro OLED (ci)(JK) = 600,00</v>
      </c>
    </row>
    <row r="444" spans="1:17" ht="15.75" customHeight="1" x14ac:dyDescent="0.3">
      <c r="A444" s="100" t="s">
        <v>13278</v>
      </c>
      <c r="B444">
        <f>I198</f>
        <v>180</v>
      </c>
      <c r="C444" t="s">
        <v>12869</v>
      </c>
      <c r="E444" s="102" t="s">
        <v>13305</v>
      </c>
      <c r="F444" s="12">
        <v>740</v>
      </c>
      <c r="H444" s="4" t="s">
        <v>10433</v>
      </c>
      <c r="I444" s="5">
        <f t="shared" si="435"/>
        <v>190</v>
      </c>
      <c r="J444" s="5"/>
      <c r="K444" s="4" t="str">
        <f t="shared" si="415"/>
        <v>15 Pro Max - incell (ci) = R$ 190,00</v>
      </c>
      <c r="M444" s="4" t="str">
        <f t="shared" si="416"/>
        <v>15 Pro Max - incell (ci) = R$ 195,00</v>
      </c>
      <c r="O444" s="4" t="str">
        <f t="shared" si="417"/>
        <v>15 Pro Max - incell (ci) = R$ 185,00</v>
      </c>
      <c r="Q444" s="4" t="str">
        <f t="shared" si="418"/>
        <v>15 Pro Max - incell (ci) = R$ 200,00</v>
      </c>
    </row>
    <row r="445" spans="1:17" ht="15.75" customHeight="1" x14ac:dyDescent="0.3">
      <c r="A445" s="64" t="s">
        <v>12128</v>
      </c>
      <c r="B445">
        <f>I198</f>
        <v>180</v>
      </c>
      <c r="C445" t="s">
        <v>12869</v>
      </c>
      <c r="E445" s="102" t="s">
        <v>13585</v>
      </c>
      <c r="F445" s="12">
        <v>770</v>
      </c>
      <c r="H445" s="4" t="s">
        <v>13394</v>
      </c>
      <c r="I445" s="5">
        <f t="shared" si="435"/>
        <v>260</v>
      </c>
      <c r="J445" s="5"/>
      <c r="K445" s="4" t="str">
        <f t="shared" ref="K445" si="440">CONCATENATE(H445,I445,",00")</f>
        <v>15 Pro Max - incell (ci)(JK) = 260,00</v>
      </c>
      <c r="M445" s="4" t="str">
        <f t="shared" ref="M445" si="441">CONCATENATE(H445,I445+5,",00")</f>
        <v>15 Pro Max - incell (ci)(JK) = 265,00</v>
      </c>
      <c r="O445" s="4" t="str">
        <f t="shared" ref="O445" si="442">CONCATENATE(H445,I445-5,",00")</f>
        <v>15 Pro Max - incell (ci)(JK) = 255,00</v>
      </c>
      <c r="Q445" s="4" t="str">
        <f t="shared" ref="Q445" si="443">CONCATENATE(H445,I445+10,",00")</f>
        <v>15 Pro Max - incell (ci)(JK) = 270,00</v>
      </c>
    </row>
    <row r="446" spans="1:17" ht="15.75" customHeight="1" x14ac:dyDescent="0.3">
      <c r="A446" s="63" t="s">
        <v>3511</v>
      </c>
      <c r="B446">
        <f>I198</f>
        <v>180</v>
      </c>
      <c r="C446" t="s">
        <v>12869</v>
      </c>
      <c r="E446" s="102" t="s">
        <v>13306</v>
      </c>
      <c r="F446" s="12">
        <v>640</v>
      </c>
      <c r="H446" s="4" t="s">
        <v>10434</v>
      </c>
      <c r="I446" s="5">
        <f t="shared" si="435"/>
        <v>555</v>
      </c>
      <c r="J446" s="5"/>
      <c r="K446" s="4" t="str">
        <f t="shared" si="415"/>
        <v>15 Pro Max OLED (ci) = R$ 555,00</v>
      </c>
      <c r="M446" s="4" t="str">
        <f t="shared" si="416"/>
        <v>15 Pro Max OLED (ci) = R$ 560,00</v>
      </c>
      <c r="O446" s="4" t="str">
        <f t="shared" si="417"/>
        <v>15 Pro Max OLED (ci) = R$ 550,00</v>
      </c>
      <c r="Q446" s="4" t="str">
        <f t="shared" si="418"/>
        <v>15 Pro Max OLED (ci) = R$ 565,00</v>
      </c>
    </row>
    <row r="447" spans="1:17" ht="15.75" customHeight="1" x14ac:dyDescent="0.3">
      <c r="A447" s="63" t="s">
        <v>3510</v>
      </c>
      <c r="B447">
        <f>I198</f>
        <v>180</v>
      </c>
      <c r="C447" t="s">
        <v>12869</v>
      </c>
      <c r="E447" s="102" t="s">
        <v>13317</v>
      </c>
      <c r="F447" s="12">
        <v>670</v>
      </c>
      <c r="H447" s="4" t="s">
        <v>13395</v>
      </c>
      <c r="I447" s="5">
        <f>F428</f>
        <v>575</v>
      </c>
      <c r="J447" s="5"/>
      <c r="K447" s="4" t="str">
        <f t="shared" si="415"/>
        <v>15 Pro Max OLED (ci)(JK) = 575,00</v>
      </c>
      <c r="M447" s="4" t="str">
        <f t="shared" si="416"/>
        <v>15 Pro Max OLED (ci)(JK) = 580,00</v>
      </c>
      <c r="O447" s="4" t="str">
        <f t="shared" si="417"/>
        <v>15 Pro Max OLED (ci)(JK) = 570,00</v>
      </c>
      <c r="Q447" s="4" t="str">
        <f t="shared" si="418"/>
        <v>15 Pro Max OLED (ci)(JK) = 585,00</v>
      </c>
    </row>
    <row r="448" spans="1:17" ht="15.75" customHeight="1" x14ac:dyDescent="0.3">
      <c r="A448" s="63" t="s">
        <v>3509</v>
      </c>
      <c r="B448">
        <f>I198</f>
        <v>180</v>
      </c>
      <c r="C448" t="s">
        <v>12869</v>
      </c>
      <c r="E448" s="102" t="s">
        <v>13307</v>
      </c>
      <c r="F448" s="12">
        <v>820</v>
      </c>
      <c r="H448" s="4" t="s">
        <v>13414</v>
      </c>
      <c r="I448" s="5">
        <f>F429</f>
        <v>795</v>
      </c>
      <c r="J448" s="5"/>
      <c r="K448" s="4" t="str">
        <f t="shared" si="415"/>
        <v>15 Pro Max OLED (S/M) = R$ 795,00</v>
      </c>
      <c r="M448" s="4" t="str">
        <f t="shared" si="416"/>
        <v>15 Pro Max OLED (S/M) = R$ 800,00</v>
      </c>
      <c r="O448" s="4" t="str">
        <f t="shared" si="417"/>
        <v>15 Pro Max OLED (S/M) = R$ 790,00</v>
      </c>
      <c r="Q448" s="4" t="str">
        <f t="shared" si="418"/>
        <v>15 Pro Max OLED (S/M) = R$ 805,00</v>
      </c>
    </row>
    <row r="449" spans="1:17" ht="15.75" customHeight="1" x14ac:dyDescent="0.3">
      <c r="A449" s="63" t="s">
        <v>12077</v>
      </c>
      <c r="B449">
        <f>I196</f>
        <v>90</v>
      </c>
      <c r="C449" t="s">
        <v>12867</v>
      </c>
      <c r="E449" s="102" t="s">
        <v>13586</v>
      </c>
      <c r="F449" s="12">
        <v>850</v>
      </c>
      <c r="H449" s="4" t="s">
        <v>12333</v>
      </c>
      <c r="I449" s="5">
        <f>F430</f>
        <v>320</v>
      </c>
      <c r="J449" s="5"/>
      <c r="K449" s="4" t="str">
        <f t="shared" ref="K449:K456" si="444">CONCATENATE(H449,I449,",00")</f>
        <v>iPhone 16 - incell (ci) = R$ 320,00</v>
      </c>
      <c r="M449" s="4" t="str">
        <f t="shared" ref="M449:M456" si="445">CONCATENATE(H449,I449+5,",00")</f>
        <v>iPhone 16 - incell (ci) = R$ 325,00</v>
      </c>
      <c r="O449" s="4" t="str">
        <f t="shared" ref="O449:O456" si="446">CONCATENATE(H449,I449-5,",00")</f>
        <v>iPhone 16 - incell (ci) = R$ 315,00</v>
      </c>
      <c r="Q449" s="4" t="str">
        <f t="shared" ref="Q449:Q456" si="447">CONCATENATE(H449,I449+10,",00")</f>
        <v>iPhone 16 - incell (ci) = R$ 330,00</v>
      </c>
    </row>
    <row r="450" spans="1:17" ht="15.75" customHeight="1" x14ac:dyDescent="0.3">
      <c r="A450" s="63" t="s">
        <v>2298</v>
      </c>
      <c r="B450">
        <f>I196</f>
        <v>90</v>
      </c>
      <c r="C450" t="s">
        <v>12867</v>
      </c>
      <c r="E450" s="102" t="s">
        <v>13308</v>
      </c>
      <c r="F450" s="12">
        <v>820</v>
      </c>
      <c r="H450" s="4" t="s">
        <v>13396</v>
      </c>
      <c r="I450" s="5">
        <f>F431</f>
        <v>340</v>
      </c>
      <c r="J450" s="5"/>
      <c r="K450" s="4" t="str">
        <f t="shared" ref="K450" si="448">CONCATENATE(H450,I450,",00")</f>
        <v>iPhone 16 - incell (ci)(JK) = R$ 340,00</v>
      </c>
      <c r="M450" s="4" t="str">
        <f t="shared" ref="M450" si="449">CONCATENATE(H450,I450+5,",00")</f>
        <v>iPhone 16 - incell (ci)(JK) = R$ 345,00</v>
      </c>
      <c r="O450" s="4" t="str">
        <f t="shared" ref="O450" si="450">CONCATENATE(H450,I450-5,",00")</f>
        <v>iPhone 16 - incell (ci)(JK) = R$ 335,00</v>
      </c>
      <c r="Q450" s="4" t="str">
        <f t="shared" ref="Q450" si="451">CONCATENATE(H450,I450+10,",00")</f>
        <v>iPhone 16 - incell (ci)(JK) = R$ 350,00</v>
      </c>
    </row>
    <row r="451" spans="1:17" ht="15.75" customHeight="1" x14ac:dyDescent="0.3">
      <c r="A451" s="63" t="s">
        <v>3508</v>
      </c>
      <c r="B451">
        <f>I198</f>
        <v>180</v>
      </c>
      <c r="C451" t="s">
        <v>12869</v>
      </c>
      <c r="E451" s="102" t="s">
        <v>13318</v>
      </c>
      <c r="F451" s="9">
        <v>850</v>
      </c>
      <c r="H451" s="4" t="s">
        <v>12334</v>
      </c>
      <c r="I451" s="5">
        <f>F432</f>
        <v>615</v>
      </c>
      <c r="J451" s="5"/>
      <c r="K451" s="4" t="str">
        <f t="shared" si="444"/>
        <v>iPhone 16 OLED (ci) = R$ 615,00</v>
      </c>
      <c r="M451" s="4" t="str">
        <f t="shared" si="445"/>
        <v>iPhone 16 OLED (ci) = R$ 620,00</v>
      </c>
      <c r="O451" s="4" t="str">
        <f t="shared" si="446"/>
        <v>iPhone 16 OLED (ci) = R$ 610,00</v>
      </c>
      <c r="Q451" s="4" t="str">
        <f t="shared" si="447"/>
        <v>iPhone 16 OLED (ci) = R$ 625,00</v>
      </c>
    </row>
    <row r="452" spans="1:17" ht="15.75" customHeight="1" x14ac:dyDescent="0.3">
      <c r="A452" s="63" t="s">
        <v>3507</v>
      </c>
      <c r="B452">
        <f>I198</f>
        <v>180</v>
      </c>
      <c r="C452" t="s">
        <v>12869</v>
      </c>
      <c r="E452" s="102" t="s">
        <v>13309</v>
      </c>
      <c r="F452" s="9">
        <v>1020</v>
      </c>
      <c r="H452" s="4" t="s">
        <v>13397</v>
      </c>
      <c r="I452" s="5">
        <f t="shared" ref="I452:J452" si="452">F433</f>
        <v>635</v>
      </c>
      <c r="J452" s="5"/>
      <c r="K452" s="4" t="str">
        <f t="shared" ref="K452" si="453">CONCATENATE(H452,I452,",00")</f>
        <v>iPhone 16 OLED (ci)(JK) = R$ 635,00</v>
      </c>
      <c r="M452" s="4" t="str">
        <f t="shared" ref="M452" si="454">CONCATENATE(H452,I452+5,",00")</f>
        <v>iPhone 16 OLED (ci)(JK) = R$ 640,00</v>
      </c>
      <c r="O452" s="4" t="str">
        <f t="shared" ref="O452" si="455">CONCATENATE(H452,I452-5,",00")</f>
        <v>iPhone 16 OLED (ci)(JK) = R$ 630,00</v>
      </c>
      <c r="Q452" s="4" t="str">
        <f t="shared" ref="Q452" si="456">CONCATENATE(H452,I452+10,",00")</f>
        <v>iPhone 16 OLED (ci)(JK) = R$ 645,00</v>
      </c>
    </row>
    <row r="453" spans="1:17" ht="15.75" customHeight="1" x14ac:dyDescent="0.3">
      <c r="A453" s="63" t="s">
        <v>3506</v>
      </c>
      <c r="B453">
        <f>I198</f>
        <v>180</v>
      </c>
      <c r="C453" t="s">
        <v>12869</v>
      </c>
      <c r="E453" s="102" t="s">
        <v>13583</v>
      </c>
      <c r="F453" s="9">
        <v>1050</v>
      </c>
      <c r="H453" s="4" t="s">
        <v>12335</v>
      </c>
      <c r="I453" s="5">
        <f t="shared" ref="I453:J455" si="457">F434</f>
        <v>370</v>
      </c>
      <c r="J453" s="5"/>
      <c r="K453" s="4" t="str">
        <f t="shared" si="444"/>
        <v>iPhone 16 Pro - incell (ci) = R$ 370,00</v>
      </c>
      <c r="M453" s="4" t="str">
        <f t="shared" si="445"/>
        <v>iPhone 16 Pro - incell (ci) = R$ 375,00</v>
      </c>
      <c r="O453" s="4" t="str">
        <f t="shared" si="446"/>
        <v>iPhone 16 Pro - incell (ci) = R$ 365,00</v>
      </c>
      <c r="Q453" s="4" t="str">
        <f t="shared" si="447"/>
        <v>iPhone 16 Pro - incell (ci) = R$ 380,00</v>
      </c>
    </row>
    <row r="454" spans="1:17" ht="15.75" customHeight="1" x14ac:dyDescent="0.3">
      <c r="A454" s="64" t="s">
        <v>12129</v>
      </c>
      <c r="B454">
        <f>I198</f>
        <v>180</v>
      </c>
      <c r="C454" t="s">
        <v>12869</v>
      </c>
      <c r="E454" s="4"/>
      <c r="F454" s="9"/>
      <c r="H454" s="4" t="s">
        <v>13398</v>
      </c>
      <c r="I454" s="5">
        <f t="shared" si="457"/>
        <v>520</v>
      </c>
      <c r="J454" s="5"/>
      <c r="K454" s="4" t="str">
        <f t="shared" ref="K454" si="458">CONCATENATE(H454,I454,",00")</f>
        <v>iPhone 16 Pro - incell (ci)(JK)= 520,00</v>
      </c>
      <c r="M454" s="4" t="str">
        <f t="shared" ref="M454" si="459">CONCATENATE(H454,I454+5,",00")</f>
        <v>iPhone 16 Pro - incell (ci)(JK)= 525,00</v>
      </c>
      <c r="O454" s="4" t="str">
        <f t="shared" ref="O454" si="460">CONCATENATE(H454,I454-5,",00")</f>
        <v>iPhone 16 Pro - incell (ci)(JK)= 515,00</v>
      </c>
      <c r="Q454" s="4" t="str">
        <f t="shared" ref="Q454" si="461">CONCATENATE(H454,I454+10,",00")</f>
        <v>iPhone 16 Pro - incell (ci)(JK)= 530,00</v>
      </c>
    </row>
    <row r="455" spans="1:17" ht="15.75" customHeight="1" x14ac:dyDescent="0.3">
      <c r="A455" t="s">
        <v>3505</v>
      </c>
      <c r="B455">
        <f>I198</f>
        <v>180</v>
      </c>
      <c r="C455" t="s">
        <v>12869</v>
      </c>
      <c r="F455" s="12"/>
      <c r="H455" s="4" t="s">
        <v>12336</v>
      </c>
      <c r="I455" s="5">
        <f t="shared" si="457"/>
        <v>640</v>
      </c>
      <c r="J455" s="5"/>
      <c r="K455" s="4" t="str">
        <f t="shared" si="444"/>
        <v>iPhone 16 Pro OLED (ci) = R$ 640,00</v>
      </c>
      <c r="M455" s="4" t="str">
        <f t="shared" si="445"/>
        <v>iPhone 16 Pro OLED (ci) = R$ 645,00</v>
      </c>
      <c r="O455" s="4" t="str">
        <f t="shared" si="446"/>
        <v>iPhone 16 Pro OLED (ci) = R$ 635,00</v>
      </c>
      <c r="Q455" s="4" t="str">
        <f t="shared" si="447"/>
        <v>iPhone 16 Pro OLED (ci) = R$ 650,00</v>
      </c>
    </row>
    <row r="456" spans="1:17" ht="15.75" customHeight="1" x14ac:dyDescent="0.3">
      <c r="A456" t="s">
        <v>2770</v>
      </c>
      <c r="B456">
        <f>I196</f>
        <v>90</v>
      </c>
      <c r="C456" t="s">
        <v>12867</v>
      </c>
      <c r="F456" s="12"/>
      <c r="H456" s="4" t="s">
        <v>13588</v>
      </c>
      <c r="I456" s="5">
        <f>F437</f>
        <v>670</v>
      </c>
      <c r="J456" s="5"/>
      <c r="K456" s="4" t="str">
        <f t="shared" si="444"/>
        <v>iPhone 16 Pro OLED (ci)(JK) = 670,00</v>
      </c>
      <c r="M456" s="4" t="str">
        <f t="shared" si="445"/>
        <v>iPhone 16 Pro OLED (ci)(JK) = 675,00</v>
      </c>
      <c r="O456" s="4" t="str">
        <f t="shared" si="446"/>
        <v>iPhone 16 Pro OLED (ci)(JK) = 665,00</v>
      </c>
      <c r="Q456" s="4" t="str">
        <f t="shared" si="447"/>
        <v>iPhone 16 Pro OLED (ci)(JK) = 680,00</v>
      </c>
    </row>
    <row r="457" spans="1:17" ht="15.75" customHeight="1" x14ac:dyDescent="0.3">
      <c r="A457" t="s">
        <v>3503</v>
      </c>
      <c r="B457">
        <f>I198</f>
        <v>180</v>
      </c>
      <c r="C457" t="s">
        <v>12869</v>
      </c>
      <c r="E457" s="113" t="s">
        <v>422</v>
      </c>
      <c r="F457" s="112"/>
      <c r="H457" s="4" t="s">
        <v>12337</v>
      </c>
      <c r="I457" s="5">
        <f>F438</f>
        <v>370</v>
      </c>
      <c r="J457" s="5"/>
      <c r="K457" s="4" t="str">
        <f t="shared" si="415"/>
        <v>16 Pro Max - incell (ci) = R$ 370,00</v>
      </c>
      <c r="M457" s="4" t="str">
        <f t="shared" si="416"/>
        <v>16 Pro Max - incell (ci) = R$ 375,00</v>
      </c>
      <c r="O457" s="4" t="str">
        <f t="shared" si="417"/>
        <v>16 Pro Max - incell (ci) = R$ 365,00</v>
      </c>
      <c r="Q457" s="4" t="str">
        <f t="shared" si="418"/>
        <v>16 Pro Max - incell (ci) = R$ 380,00</v>
      </c>
    </row>
    <row r="458" spans="1:17" ht="15.75" customHeight="1" x14ac:dyDescent="0.3">
      <c r="A458" t="s">
        <v>2771</v>
      </c>
      <c r="B458">
        <f>I196</f>
        <v>90</v>
      </c>
      <c r="C458" t="s">
        <v>12867</v>
      </c>
      <c r="E458" s="85" t="s">
        <v>13164</v>
      </c>
      <c r="F458" s="6">
        <v>90</v>
      </c>
      <c r="H458" s="4" t="s">
        <v>13399</v>
      </c>
      <c r="I458" s="5">
        <f>F439</f>
        <v>620</v>
      </c>
      <c r="J458" s="5"/>
      <c r="K458" s="4" t="str">
        <f t="shared" si="415"/>
        <v>16 Pro Max - incell (ci)(JK)= 620,00</v>
      </c>
      <c r="M458" s="4" t="str">
        <f t="shared" si="416"/>
        <v>16 Pro Max - incell (ci)(JK)= 625,00</v>
      </c>
      <c r="O458" s="4" t="str">
        <f t="shared" si="417"/>
        <v>16 Pro Max - incell (ci)(JK)= 615,00</v>
      </c>
      <c r="Q458" s="4" t="str">
        <f t="shared" si="418"/>
        <v>16 Pro Max - incell (ci)(JK)= 630,00</v>
      </c>
    </row>
    <row r="459" spans="1:17" ht="15.75" customHeight="1" x14ac:dyDescent="0.3">
      <c r="A459" t="s">
        <v>3504</v>
      </c>
      <c r="B459">
        <f>B462</f>
        <v>180</v>
      </c>
      <c r="C459" t="s">
        <v>12870</v>
      </c>
      <c r="E459" s="85" t="s">
        <v>10943</v>
      </c>
      <c r="F459" s="6">
        <v>65</v>
      </c>
      <c r="H459" s="4" t="s">
        <v>12338</v>
      </c>
      <c r="I459" s="5">
        <f>F440</f>
        <v>720</v>
      </c>
      <c r="J459" s="5"/>
      <c r="K459" s="4" t="str">
        <f t="shared" si="415"/>
        <v>16 Pro Max OLED (ci) = R$ 720,00</v>
      </c>
      <c r="M459" s="4" t="str">
        <f t="shared" si="416"/>
        <v>16 Pro Max OLED (ci) = R$ 725,00</v>
      </c>
      <c r="O459" s="4" t="str">
        <f t="shared" si="417"/>
        <v>16 Pro Max OLED (ci) = R$ 715,00</v>
      </c>
      <c r="Q459" s="4" t="str">
        <f t="shared" si="418"/>
        <v>16 Pro Max OLED (ci) = R$ 730,00</v>
      </c>
    </row>
    <row r="460" spans="1:17" ht="15.75" customHeight="1" x14ac:dyDescent="0.3">
      <c r="A460" s="20" t="s">
        <v>2914</v>
      </c>
      <c r="B460">
        <f>I199</f>
        <v>180</v>
      </c>
      <c r="C460" t="s">
        <v>12870</v>
      </c>
      <c r="E460" s="85" t="s">
        <v>10630</v>
      </c>
      <c r="F460" s="6">
        <v>75</v>
      </c>
      <c r="H460" s="4" t="s">
        <v>13400</v>
      </c>
      <c r="I460" s="5">
        <f>F441</f>
        <v>780</v>
      </c>
      <c r="J460" s="5"/>
      <c r="K460" s="4" t="str">
        <f t="shared" ref="K460:K465" si="462">CONCATENATE(H460,I460,",00")</f>
        <v>16 Pro Max OLED (ci)(JK) = 780,00</v>
      </c>
      <c r="M460" s="4" t="str">
        <f t="shared" ref="M460:M465" si="463">CONCATENATE(H460,I460+5,",00")</f>
        <v>16 Pro Max OLED (ci)(JK) = 785,00</v>
      </c>
      <c r="O460" s="4" t="str">
        <f t="shared" ref="O460:O465" si="464">CONCATENATE(H460,I460-5,",00")</f>
        <v>16 Pro Max OLED (ci)(JK) = 775,00</v>
      </c>
      <c r="Q460" s="4" t="str">
        <f t="shared" ref="Q460:Q465" si="465">CONCATENATE(H460,I460+10,",00")</f>
        <v>16 Pro Max OLED (ci)(JK) = 790,00</v>
      </c>
    </row>
    <row r="461" spans="1:17" ht="15.75" customHeight="1" x14ac:dyDescent="0.3">
      <c r="A461" s="20" t="s">
        <v>2915</v>
      </c>
      <c r="B461">
        <f>I199</f>
        <v>180</v>
      </c>
      <c r="C461" t="s">
        <v>12870</v>
      </c>
      <c r="E461" s="85" t="s">
        <v>11681</v>
      </c>
      <c r="F461" s="16">
        <v>85</v>
      </c>
      <c r="H461" s="4" t="s">
        <v>13336</v>
      </c>
      <c r="I461" s="5">
        <f>F444</f>
        <v>740</v>
      </c>
      <c r="J461" s="5"/>
      <c r="K461" s="4" t="str">
        <f t="shared" si="462"/>
        <v>iPhone 17 OLED (ci) = R$ 740,00</v>
      </c>
      <c r="M461" s="4" t="str">
        <f t="shared" si="463"/>
        <v>iPhone 17 OLED (ci) = R$ 745,00</v>
      </c>
      <c r="O461" s="4" t="str">
        <f t="shared" si="464"/>
        <v>iPhone 17 OLED (ci) = R$ 735,00</v>
      </c>
      <c r="Q461" s="4" t="str">
        <f t="shared" si="465"/>
        <v>iPhone 17 OLED (ci) = R$ 750,00</v>
      </c>
    </row>
    <row r="462" spans="1:17" ht="15.75" customHeight="1" x14ac:dyDescent="0.3">
      <c r="A462" s="20" t="s">
        <v>2916</v>
      </c>
      <c r="B462">
        <f>I199</f>
        <v>180</v>
      </c>
      <c r="C462" t="s">
        <v>12870</v>
      </c>
      <c r="E462" s="85" t="s">
        <v>12923</v>
      </c>
      <c r="F462" s="16">
        <v>95</v>
      </c>
      <c r="H462" s="4" t="s">
        <v>13589</v>
      </c>
      <c r="I462" s="5">
        <f>F445</f>
        <v>770</v>
      </c>
      <c r="J462" s="5"/>
      <c r="K462" s="4" t="str">
        <f t="shared" ref="K462" si="466">CONCATENATE(H462,I462,",00")</f>
        <v>iPhone 17 OLED (ci)(JK) = R$ 770,00</v>
      </c>
      <c r="M462" s="4" t="str">
        <f t="shared" ref="M462" si="467">CONCATENATE(H462,I462+5,",00")</f>
        <v>iPhone 17 OLED (ci)(JK) = R$ 775,00</v>
      </c>
      <c r="O462" s="4" t="str">
        <f t="shared" ref="O462" si="468">CONCATENATE(H462,I462-5,",00")</f>
        <v>iPhone 17 OLED (ci)(JK) = R$ 765,00</v>
      </c>
      <c r="Q462" s="4" t="str">
        <f t="shared" ref="Q462" si="469">CONCATENATE(H462,I462+10,",00")</f>
        <v>iPhone 17 OLED (ci)(JK) = R$ 780,00</v>
      </c>
    </row>
    <row r="463" spans="1:17" ht="15.75" customHeight="1" x14ac:dyDescent="0.3">
      <c r="A463" s="63" t="s">
        <v>12078</v>
      </c>
      <c r="B463">
        <f>I200</f>
        <v>230</v>
      </c>
      <c r="E463" s="85" t="s">
        <v>428</v>
      </c>
      <c r="F463" s="6">
        <v>60</v>
      </c>
      <c r="H463" s="4" t="s">
        <v>13401</v>
      </c>
      <c r="I463" s="5">
        <f>F446</f>
        <v>640</v>
      </c>
      <c r="J463" s="5"/>
      <c r="K463" s="4" t="str">
        <f t="shared" si="462"/>
        <v>iPhone 17 Pro incell (ci) = R$ 640,00</v>
      </c>
      <c r="M463" s="4" t="str">
        <f t="shared" si="463"/>
        <v>iPhone 17 Pro incell (ci) = R$ 645,00</v>
      </c>
      <c r="O463" s="4" t="str">
        <f t="shared" si="464"/>
        <v>iPhone 17 Pro incell (ci) = R$ 635,00</v>
      </c>
      <c r="Q463" s="4" t="str">
        <f t="shared" si="465"/>
        <v>iPhone 17 Pro incell (ci) = R$ 650,00</v>
      </c>
    </row>
    <row r="464" spans="1:17" ht="15.75" customHeight="1" x14ac:dyDescent="0.3">
      <c r="A464" s="63" t="s">
        <v>12079</v>
      </c>
      <c r="B464">
        <f>I200</f>
        <v>230</v>
      </c>
      <c r="E464" s="85" t="s">
        <v>12052</v>
      </c>
      <c r="F464" s="16">
        <v>75</v>
      </c>
      <c r="H464" s="4" t="s">
        <v>13402</v>
      </c>
      <c r="I464" s="5">
        <f>F448</f>
        <v>820</v>
      </c>
      <c r="J464" s="5"/>
      <c r="K464" s="4" t="str">
        <f t="shared" si="462"/>
        <v>iPhone 17 Pro OLED (ci) = R$ 820,00</v>
      </c>
      <c r="M464" s="4" t="str">
        <f t="shared" si="463"/>
        <v>iPhone 17 Pro OLED (ci) = R$ 825,00</v>
      </c>
      <c r="O464" s="4" t="str">
        <f t="shared" si="464"/>
        <v>iPhone 17 Pro OLED (ci) = R$ 815,00</v>
      </c>
      <c r="Q464" s="4" t="str">
        <f t="shared" si="465"/>
        <v>iPhone 17 Pro OLED (ci) = R$ 830,00</v>
      </c>
    </row>
    <row r="465" spans="1:17" ht="15.75" customHeight="1" x14ac:dyDescent="0.3">
      <c r="A465" s="63" t="s">
        <v>12080</v>
      </c>
      <c r="B465">
        <f>I200</f>
        <v>230</v>
      </c>
      <c r="E465" s="85" t="s">
        <v>12053</v>
      </c>
      <c r="F465" s="16">
        <v>85</v>
      </c>
      <c r="H465" s="4" t="s">
        <v>13590</v>
      </c>
      <c r="I465" s="5">
        <f>F449</f>
        <v>850</v>
      </c>
      <c r="J465" s="5"/>
      <c r="K465" s="4" t="str">
        <f t="shared" si="462"/>
        <v>iPhone 17 Pro OLED (ci)(JK) = 850,00</v>
      </c>
      <c r="M465" s="4" t="str">
        <f t="shared" si="463"/>
        <v>iPhone 17 Pro OLED (ci)(JK) = 855,00</v>
      </c>
      <c r="O465" s="4" t="str">
        <f t="shared" si="464"/>
        <v>iPhone 17 Pro OLED (ci)(JK) = 845,00</v>
      </c>
      <c r="Q465" s="4" t="str">
        <f t="shared" si="465"/>
        <v>iPhone 17 Pro OLED (ci)(JK) = 860,00</v>
      </c>
    </row>
    <row r="466" spans="1:17" ht="15.75" customHeight="1" x14ac:dyDescent="0.3">
      <c r="A466" s="63" t="s">
        <v>12081</v>
      </c>
      <c r="B466">
        <f>I200</f>
        <v>230</v>
      </c>
      <c r="E466" s="85" t="s">
        <v>12054</v>
      </c>
      <c r="F466" s="16">
        <v>95</v>
      </c>
      <c r="H466" s="4" t="s">
        <v>13337</v>
      </c>
      <c r="I466" s="5">
        <f>F450</f>
        <v>820</v>
      </c>
      <c r="J466" s="5"/>
      <c r="K466" s="4" t="str">
        <f t="shared" si="415"/>
        <v>17 Pro Max - incell (ci) = R$ 820,00</v>
      </c>
      <c r="M466" s="4" t="str">
        <f t="shared" si="416"/>
        <v>17 Pro Max - incell (ci) = R$ 825,00</v>
      </c>
      <c r="O466" s="4" t="str">
        <f t="shared" si="417"/>
        <v>17 Pro Max - incell (ci) = R$ 815,00</v>
      </c>
      <c r="Q466" s="4" t="str">
        <f t="shared" si="418"/>
        <v>17 Pro Max - incell (ci) = R$ 830,00</v>
      </c>
    </row>
    <row r="467" spans="1:17" ht="15.75" customHeight="1" x14ac:dyDescent="0.3">
      <c r="A467" s="63" t="s">
        <v>12082</v>
      </c>
      <c r="B467">
        <f>I201</f>
        <v>230</v>
      </c>
      <c r="E467" s="85" t="s">
        <v>12055</v>
      </c>
      <c r="F467" s="16">
        <v>105</v>
      </c>
      <c r="H467" s="4" t="s">
        <v>13338</v>
      </c>
      <c r="I467" s="5">
        <f>F452</f>
        <v>1020</v>
      </c>
      <c r="J467" s="5"/>
      <c r="K467" s="4" t="str">
        <f t="shared" si="415"/>
        <v>17 Pro Max OLED (ci) = R$ 1020,00</v>
      </c>
      <c r="M467" s="4" t="str">
        <f t="shared" si="416"/>
        <v>17 Pro Max OLED (ci) = R$ 1025,00</v>
      </c>
      <c r="O467" s="4" t="str">
        <f t="shared" si="417"/>
        <v>17 Pro Max OLED (ci) = R$ 1015,00</v>
      </c>
      <c r="Q467" s="4" t="str">
        <f t="shared" si="418"/>
        <v>17 Pro Max OLED (ci) = R$ 1030,00</v>
      </c>
    </row>
    <row r="468" spans="1:17" ht="15.75" customHeight="1" x14ac:dyDescent="0.3">
      <c r="A468" s="63" t="s">
        <v>12083</v>
      </c>
      <c r="B468">
        <f>I201</f>
        <v>230</v>
      </c>
      <c r="E468" s="85" t="s">
        <v>430</v>
      </c>
      <c r="F468" s="6">
        <v>85</v>
      </c>
      <c r="H468" s="4" t="s">
        <v>13584</v>
      </c>
      <c r="I468" s="5">
        <f>F453</f>
        <v>1050</v>
      </c>
      <c r="J468" s="5"/>
      <c r="K468" s="4" t="str">
        <f t="shared" si="332"/>
        <v>17 Pro Max OLED (ci)(JK) = 1050,00</v>
      </c>
      <c r="M468" s="4" t="str">
        <f t="shared" si="333"/>
        <v>17 Pro Max OLED (ci)(JK) = 1055,00</v>
      </c>
      <c r="O468" s="4" t="str">
        <f t="shared" si="334"/>
        <v>17 Pro Max OLED (ci)(JK) = 1045,00</v>
      </c>
      <c r="Q468" s="4" t="str">
        <f t="shared" si="335"/>
        <v>17 Pro Max OLED (ci)(JK) = 1060,00</v>
      </c>
    </row>
    <row r="469" spans="1:17" ht="16.5" customHeight="1" x14ac:dyDescent="0.3">
      <c r="A469" s="20" t="s">
        <v>2430</v>
      </c>
      <c r="B469">
        <f>I237</f>
        <v>95</v>
      </c>
      <c r="E469" s="85" t="s">
        <v>432</v>
      </c>
      <c r="F469" s="6">
        <v>90</v>
      </c>
      <c r="H469" s="4"/>
      <c r="I469" s="5"/>
      <c r="J469" s="5"/>
      <c r="K469" s="4"/>
      <c r="M469" s="4"/>
      <c r="O469" s="4"/>
      <c r="Q469" s="4"/>
    </row>
    <row r="470" spans="1:17" ht="15.75" customHeight="1" x14ac:dyDescent="0.3">
      <c r="A470" s="27" t="s">
        <v>2812</v>
      </c>
      <c r="B470">
        <f>I237</f>
        <v>95</v>
      </c>
      <c r="E470" s="85" t="s">
        <v>11358</v>
      </c>
      <c r="F470" s="16">
        <v>160</v>
      </c>
      <c r="H470" s="4" t="s">
        <v>424</v>
      </c>
      <c r="I470" s="5"/>
      <c r="J470" s="5"/>
      <c r="K470" s="4" t="s">
        <v>424</v>
      </c>
      <c r="M470" s="4" t="s">
        <v>424</v>
      </c>
      <c r="O470" s="4" t="s">
        <v>424</v>
      </c>
      <c r="Q470" s="4" t="s">
        <v>424</v>
      </c>
    </row>
    <row r="471" spans="1:17" ht="15.75" customHeight="1" x14ac:dyDescent="0.3">
      <c r="A471" t="s">
        <v>2431</v>
      </c>
      <c r="B471">
        <f>I237</f>
        <v>95</v>
      </c>
      <c r="E471" s="85" t="s">
        <v>11359</v>
      </c>
      <c r="F471" s="16">
        <v>190</v>
      </c>
      <c r="H471" s="4" t="s">
        <v>425</v>
      </c>
      <c r="I471" s="5">
        <f>F458</f>
        <v>90</v>
      </c>
      <c r="J471" s="5"/>
      <c r="K471" s="4" t="str">
        <f t="shared" ref="K471:K525" si="470">CONCATENATE(H471,I471,",00")</f>
        <v>Moto G4 Plus c/aro  = R$ 90,00</v>
      </c>
      <c r="M471" s="4" t="str">
        <f t="shared" ref="M471:M525" si="471">CONCATENATE(H471,I471+5,",00")</f>
        <v>Moto G4 Plus c/aro  = R$ 95,00</v>
      </c>
      <c r="O471" s="4" t="str">
        <f t="shared" ref="O471:O683" si="472">CONCATENATE(H471,I471-5,",00")</f>
        <v>Moto G4 Plus c/aro  = R$ 85,00</v>
      </c>
      <c r="Q471" s="4" t="str">
        <f t="shared" ref="Q471:Q612" si="473">CONCATENATE(H471,I471+10,",00")</f>
        <v>Moto G4 Plus c/aro  = R$ 100,00</v>
      </c>
    </row>
    <row r="472" spans="1:17" ht="15.75" customHeight="1" x14ac:dyDescent="0.3">
      <c r="A472" t="s">
        <v>2813</v>
      </c>
      <c r="B472">
        <f>I237</f>
        <v>95</v>
      </c>
      <c r="E472" s="85" t="s">
        <v>11362</v>
      </c>
      <c r="F472" s="16">
        <v>200</v>
      </c>
      <c r="H472" s="4" t="s">
        <v>426</v>
      </c>
      <c r="I472" s="5">
        <f>F459</f>
        <v>65</v>
      </c>
      <c r="J472" s="5"/>
      <c r="K472" s="4" t="str">
        <f t="shared" si="470"/>
        <v>Moto G04      = R$ 65,00</v>
      </c>
      <c r="M472" s="4" t="str">
        <f t="shared" si="471"/>
        <v>Moto G04      = R$ 70,00</v>
      </c>
      <c r="O472" s="4" t="str">
        <f t="shared" si="472"/>
        <v>Moto G04      = R$ 60,00</v>
      </c>
      <c r="Q472" s="4" t="str">
        <f t="shared" si="473"/>
        <v>Moto G04      = R$ 75,00</v>
      </c>
    </row>
    <row r="473" spans="1:17" ht="15.75" customHeight="1" x14ac:dyDescent="0.3">
      <c r="A473" t="s">
        <v>2432</v>
      </c>
      <c r="B473">
        <f>I238</f>
        <v>135</v>
      </c>
      <c r="E473" s="85" t="s">
        <v>434</v>
      </c>
      <c r="F473" s="6">
        <v>60</v>
      </c>
      <c r="H473" s="4" t="s">
        <v>427</v>
      </c>
      <c r="I473" s="5">
        <f>F460</f>
        <v>75</v>
      </c>
      <c r="J473" s="5"/>
      <c r="K473" s="4" t="str">
        <f t="shared" si="470"/>
        <v>Moto G04 c/aro = R$ 75,00</v>
      </c>
      <c r="M473" s="4" t="str">
        <f t="shared" si="471"/>
        <v>Moto G04 c/aro = R$ 80,00</v>
      </c>
      <c r="O473" s="4" t="str">
        <f t="shared" si="472"/>
        <v>Moto G04 c/aro = R$ 70,00</v>
      </c>
      <c r="Q473" s="4" t="str">
        <f t="shared" si="473"/>
        <v>Moto G04 c/aro = R$ 85,00</v>
      </c>
    </row>
    <row r="474" spans="1:17" ht="15.75" customHeight="1" x14ac:dyDescent="0.3">
      <c r="A474" t="s">
        <v>2970</v>
      </c>
      <c r="B474">
        <f>I238</f>
        <v>135</v>
      </c>
      <c r="E474" s="85" t="s">
        <v>436</v>
      </c>
      <c r="F474" s="6">
        <v>60</v>
      </c>
      <c r="H474" s="4" t="s">
        <v>981</v>
      </c>
      <c r="I474" s="5">
        <f>F461</f>
        <v>85</v>
      </c>
      <c r="J474" s="5"/>
      <c r="K474" s="4" t="str">
        <f t="shared" si="470"/>
        <v>Moto G04 c/aro Nacional = 85,00</v>
      </c>
      <c r="M474" s="4" t="str">
        <f t="shared" si="471"/>
        <v>Moto G04 c/aro Nacional = 90,00</v>
      </c>
      <c r="O474" s="4" t="str">
        <f t="shared" si="472"/>
        <v>Moto G04 c/aro Nacional = 80,00</v>
      </c>
      <c r="Q474" s="4" t="str">
        <f t="shared" si="473"/>
        <v>Moto G04 c/aro Nacional = 95,00</v>
      </c>
    </row>
    <row r="475" spans="1:17" ht="15.75" customHeight="1" x14ac:dyDescent="0.3">
      <c r="A475" t="s">
        <v>2971</v>
      </c>
      <c r="B475">
        <f>I238</f>
        <v>135</v>
      </c>
      <c r="E475" s="85" t="s">
        <v>438</v>
      </c>
      <c r="F475" s="6">
        <v>65</v>
      </c>
      <c r="H475" s="4" t="s">
        <v>11682</v>
      </c>
      <c r="I475" s="5">
        <f>F462</f>
        <v>95</v>
      </c>
      <c r="J475" s="5"/>
      <c r="K475" s="4" t="str">
        <f t="shared" ref="K475" si="474">CONCATENATE(H475,I475,",00")</f>
        <v>G04 c/aro Nac Diamonds = 95,00</v>
      </c>
      <c r="M475" s="4" t="str">
        <f t="shared" ref="M475" si="475">CONCATENATE(H475,I475+5,",00")</f>
        <v>G04 c/aro Nac Diamonds = 100,00</v>
      </c>
      <c r="O475" s="4" t="str">
        <f t="shared" ref="O475" si="476">CONCATENATE(H475,I475-5,",00")</f>
        <v>G04 c/aro Nac Diamonds = 90,00</v>
      </c>
      <c r="Q475" s="4" t="str">
        <f t="shared" ref="Q475" si="477">CONCATENATE(H475,I475+10,",00")</f>
        <v>G04 c/aro Nac Diamonds = 105,00</v>
      </c>
    </row>
    <row r="476" spans="1:17" ht="15.75" customHeight="1" x14ac:dyDescent="0.3">
      <c r="A476" t="s">
        <v>2972</v>
      </c>
      <c r="B476">
        <f>I238</f>
        <v>135</v>
      </c>
      <c r="E476" s="85" t="s">
        <v>440</v>
      </c>
      <c r="F476" s="6">
        <v>75</v>
      </c>
      <c r="H476" s="4" t="s">
        <v>980</v>
      </c>
      <c r="I476" s="5">
        <f t="shared" ref="I476:J484" si="478">F459</f>
        <v>65</v>
      </c>
      <c r="J476" s="5"/>
      <c r="K476" s="4" t="str">
        <f t="shared" si="470"/>
        <v>Moto G04s     = R$ 65,00</v>
      </c>
      <c r="M476" s="4" t="str">
        <f t="shared" si="471"/>
        <v>Moto G04s     = R$ 70,00</v>
      </c>
      <c r="O476" s="4" t="str">
        <f t="shared" si="472"/>
        <v>Moto G04s     = R$ 60,00</v>
      </c>
      <c r="Q476" s="4" t="str">
        <f t="shared" si="473"/>
        <v>Moto G04s     = R$ 75,00</v>
      </c>
    </row>
    <row r="477" spans="1:17" ht="15.75" customHeight="1" x14ac:dyDescent="0.3">
      <c r="A477" t="s">
        <v>2433</v>
      </c>
      <c r="B477">
        <f>I238</f>
        <v>135</v>
      </c>
      <c r="E477" s="85" t="s">
        <v>442</v>
      </c>
      <c r="F477" s="6">
        <v>80</v>
      </c>
      <c r="H477" s="4" t="s">
        <v>429</v>
      </c>
      <c r="I477" s="5">
        <f t="shared" si="478"/>
        <v>75</v>
      </c>
      <c r="J477" s="5"/>
      <c r="K477" s="4" t="str">
        <f t="shared" si="470"/>
        <v>Moto G04s c/aro = R$ 75,00</v>
      </c>
      <c r="M477" s="4" t="str">
        <f t="shared" si="471"/>
        <v>Moto G04s c/aro = R$ 80,00</v>
      </c>
      <c r="O477" s="4" t="str">
        <f t="shared" si="472"/>
        <v>Moto G04s c/aro = R$ 70,00</v>
      </c>
      <c r="Q477" s="4" t="str">
        <f t="shared" si="473"/>
        <v>Moto G04s c/aro = R$ 85,00</v>
      </c>
    </row>
    <row r="478" spans="1:17" ht="15.75" customHeight="1" x14ac:dyDescent="0.3">
      <c r="A478" t="s">
        <v>2973</v>
      </c>
      <c r="B478">
        <f>I238</f>
        <v>135</v>
      </c>
      <c r="E478" s="85" t="s">
        <v>12992</v>
      </c>
      <c r="F478" s="16">
        <v>90</v>
      </c>
      <c r="H478" s="4" t="s">
        <v>11683</v>
      </c>
      <c r="I478" s="5">
        <f t="shared" si="478"/>
        <v>85</v>
      </c>
      <c r="J478" s="5"/>
      <c r="K478" s="4" t="str">
        <f t="shared" ref="K478:K479" si="479">CONCATENATE(H478,I478,",00")</f>
        <v>Moto G04s c/aro Nacional = 85,00</v>
      </c>
      <c r="M478" s="4" t="str">
        <f t="shared" ref="M478:M479" si="480">CONCATENATE(H478,I478+5,",00")</f>
        <v>Moto G04s c/aro Nacional = 90,00</v>
      </c>
      <c r="O478" s="4" t="str">
        <f t="shared" ref="O478:O479" si="481">CONCATENATE(H478,I478-5,",00")</f>
        <v>Moto G04s c/aro Nacional = 80,00</v>
      </c>
      <c r="Q478" s="4" t="str">
        <f t="shared" ref="Q478:Q479" si="482">CONCATENATE(H478,I478+10,",00")</f>
        <v>Moto G04s c/aro Nacional = 95,00</v>
      </c>
    </row>
    <row r="479" spans="1:17" ht="15.75" customHeight="1" x14ac:dyDescent="0.3">
      <c r="A479" t="s">
        <v>2974</v>
      </c>
      <c r="B479">
        <f>I238</f>
        <v>135</v>
      </c>
      <c r="E479" s="85" t="s">
        <v>12991</v>
      </c>
      <c r="F479" s="16">
        <v>100</v>
      </c>
      <c r="H479" s="4" t="s">
        <v>11684</v>
      </c>
      <c r="I479" s="5">
        <f t="shared" si="478"/>
        <v>95</v>
      </c>
      <c r="J479" s="5"/>
      <c r="K479" s="4" t="str">
        <f t="shared" si="479"/>
        <v>G04s c/aro Nac Diamonds = 95,00</v>
      </c>
      <c r="M479" s="4" t="str">
        <f t="shared" si="480"/>
        <v>G04s c/aro Nac Diamonds = 100,00</v>
      </c>
      <c r="O479" s="4" t="str">
        <f t="shared" si="481"/>
        <v>G04s c/aro Nac Diamonds = 90,00</v>
      </c>
      <c r="Q479" s="4" t="str">
        <f t="shared" si="482"/>
        <v>G04s c/aro Nac Diamonds = 105,00</v>
      </c>
    </row>
    <row r="480" spans="1:17" ht="15.75" customHeight="1" x14ac:dyDescent="0.3">
      <c r="A480" t="s">
        <v>2975</v>
      </c>
      <c r="B480">
        <f>I238</f>
        <v>135</v>
      </c>
      <c r="E480" s="85" t="s">
        <v>12993</v>
      </c>
      <c r="F480" s="16">
        <v>110</v>
      </c>
      <c r="H480" s="4" t="s">
        <v>431</v>
      </c>
      <c r="I480" s="5">
        <f t="shared" si="478"/>
        <v>60</v>
      </c>
      <c r="J480" s="5"/>
      <c r="K480" s="4" t="str">
        <f t="shared" si="470"/>
        <v>Moto G5      = R$ 60,00</v>
      </c>
      <c r="M480" s="4" t="str">
        <f t="shared" si="471"/>
        <v>Moto G5      = R$ 65,00</v>
      </c>
      <c r="O480" s="4" t="str">
        <f t="shared" si="472"/>
        <v>Moto G5      = R$ 55,00</v>
      </c>
      <c r="Q480" s="4" t="str">
        <f t="shared" si="473"/>
        <v>Moto G5      = R$ 70,00</v>
      </c>
    </row>
    <row r="481" spans="1:17" ht="15.75" customHeight="1" x14ac:dyDescent="0.3">
      <c r="A481" t="s">
        <v>2434</v>
      </c>
      <c r="B481">
        <f>I239</f>
        <v>95</v>
      </c>
      <c r="E481" s="86" t="s">
        <v>444</v>
      </c>
      <c r="F481" s="16">
        <v>65</v>
      </c>
      <c r="H481" s="4" t="s">
        <v>11061</v>
      </c>
      <c r="I481" s="5">
        <f t="shared" si="478"/>
        <v>75</v>
      </c>
      <c r="J481" s="5"/>
      <c r="K481" s="4" t="str">
        <f t="shared" ref="K481:K484" si="483">CONCATENATE(H481,I481,",00")</f>
        <v>Moto G05     = R$ 75,00</v>
      </c>
      <c r="M481" s="4" t="str">
        <f t="shared" ref="M481:M484" si="484">CONCATENATE(H481,I481+5,",00")</f>
        <v>Moto G05     = R$ 80,00</v>
      </c>
      <c r="O481" s="4" t="str">
        <f t="shared" ref="O481:O484" si="485">CONCATENATE(H481,I481-5,",00")</f>
        <v>Moto G05     = R$ 70,00</v>
      </c>
      <c r="Q481" s="4" t="str">
        <f t="shared" ref="Q481:Q484" si="486">CONCATENATE(H481,I481+10,",00")</f>
        <v>Moto G05     = R$ 85,00</v>
      </c>
    </row>
    <row r="482" spans="1:17" ht="15.75" customHeight="1" x14ac:dyDescent="0.3">
      <c r="A482" t="s">
        <v>2814</v>
      </c>
      <c r="B482">
        <f>I239</f>
        <v>95</v>
      </c>
      <c r="E482" s="85" t="s">
        <v>446</v>
      </c>
      <c r="F482" s="6">
        <v>75</v>
      </c>
      <c r="G482" s="4"/>
      <c r="H482" s="4" t="s">
        <v>11062</v>
      </c>
      <c r="I482" s="5">
        <f t="shared" si="478"/>
        <v>85</v>
      </c>
      <c r="J482" s="5"/>
      <c r="K482" s="4" t="str">
        <f t="shared" si="483"/>
        <v>Moto G05 c/aro  = R$ 85,00</v>
      </c>
      <c r="M482" s="4" t="str">
        <f t="shared" si="484"/>
        <v>Moto G05 c/aro  = R$ 90,00</v>
      </c>
      <c r="O482" s="4" t="str">
        <f t="shared" si="485"/>
        <v>Moto G05 c/aro  = R$ 80,00</v>
      </c>
      <c r="Q482" s="4" t="str">
        <f t="shared" si="486"/>
        <v>Moto G05 c/aro  = R$ 95,00</v>
      </c>
    </row>
    <row r="483" spans="1:17" ht="15.75" customHeight="1" x14ac:dyDescent="0.3">
      <c r="A483" t="s">
        <v>2435</v>
      </c>
      <c r="B483">
        <f>I238</f>
        <v>135</v>
      </c>
      <c r="E483" s="85" t="s">
        <v>448</v>
      </c>
      <c r="F483" s="6">
        <v>70</v>
      </c>
      <c r="H483" s="4" t="s">
        <v>12059</v>
      </c>
      <c r="I483" s="5">
        <f t="shared" si="478"/>
        <v>95</v>
      </c>
      <c r="J483" s="5"/>
      <c r="K483" s="4" t="str">
        <f t="shared" si="483"/>
        <v>Moto G05 c/aro Nacional= R$95,00</v>
      </c>
      <c r="M483" s="4" t="str">
        <f t="shared" si="484"/>
        <v>Moto G05 c/aro Nacional= R$100,00</v>
      </c>
      <c r="O483" s="4" t="str">
        <f t="shared" si="485"/>
        <v>Moto G05 c/aro Nacional= R$90,00</v>
      </c>
      <c r="Q483" s="4" t="str">
        <f t="shared" si="486"/>
        <v>Moto G05 c/aro Nacional= R$105,00</v>
      </c>
    </row>
    <row r="484" spans="1:17" ht="15.75" customHeight="1" x14ac:dyDescent="0.3">
      <c r="A484" t="s">
        <v>2815</v>
      </c>
      <c r="B484">
        <f>I239</f>
        <v>95</v>
      </c>
      <c r="E484" s="85" t="s">
        <v>11687</v>
      </c>
      <c r="F484" s="6">
        <v>60</v>
      </c>
      <c r="H484" s="4" t="s">
        <v>12058</v>
      </c>
      <c r="I484" s="5">
        <f t="shared" si="478"/>
        <v>105</v>
      </c>
      <c r="J484" s="5"/>
      <c r="K484" s="4" t="str">
        <f t="shared" si="483"/>
        <v>Moto G05 c/aro Nac Diamonds = 105,00</v>
      </c>
      <c r="M484" s="4" t="str">
        <f t="shared" si="484"/>
        <v>Moto G05 c/aro Nac Diamonds = 110,00</v>
      </c>
      <c r="O484" s="4" t="str">
        <f t="shared" si="485"/>
        <v>Moto G05 c/aro Nac Diamonds = 100,00</v>
      </c>
      <c r="Q484" s="4" t="str">
        <f t="shared" si="486"/>
        <v>Moto G05 c/aro Nac Diamonds = 115,00</v>
      </c>
    </row>
    <row r="485" spans="1:17" ht="15.75" customHeight="1" x14ac:dyDescent="0.3">
      <c r="A485" t="s">
        <v>2436</v>
      </c>
      <c r="B485">
        <f>I240</f>
        <v>130</v>
      </c>
      <c r="E485" s="85" t="s">
        <v>11690</v>
      </c>
      <c r="F485" s="6">
        <v>80</v>
      </c>
      <c r="H485" s="4" t="s">
        <v>433</v>
      </c>
      <c r="I485" s="5">
        <f>F473</f>
        <v>60</v>
      </c>
      <c r="J485" s="5"/>
      <c r="K485" s="4" t="str">
        <f t="shared" si="470"/>
        <v>Moto G5s     = R$ 60,00</v>
      </c>
      <c r="M485" s="4" t="str">
        <f t="shared" si="471"/>
        <v>Moto G5s     = R$ 65,00</v>
      </c>
      <c r="O485" s="4" t="str">
        <f t="shared" si="472"/>
        <v>Moto G5s     = R$ 55,00</v>
      </c>
      <c r="Q485" s="4" t="str">
        <f t="shared" si="473"/>
        <v>Moto G5s     = R$ 70,00</v>
      </c>
    </row>
    <row r="486" spans="1:17" ht="15.75" customHeight="1" x14ac:dyDescent="0.3">
      <c r="A486" t="s">
        <v>2437</v>
      </c>
      <c r="B486">
        <f>I240</f>
        <v>130</v>
      </c>
      <c r="E486" s="85" t="s">
        <v>11688</v>
      </c>
      <c r="F486" s="6">
        <v>90</v>
      </c>
      <c r="H486" s="4" t="s">
        <v>435</v>
      </c>
      <c r="I486" s="5">
        <f>F474</f>
        <v>60</v>
      </c>
      <c r="J486" s="5"/>
      <c r="K486" s="4" t="str">
        <f t="shared" si="470"/>
        <v>Moto G5 Plus            = R$ 60,00</v>
      </c>
      <c r="M486" s="4" t="str">
        <f t="shared" si="471"/>
        <v>Moto G5 Plus            = R$ 65,00</v>
      </c>
      <c r="O486" s="4" t="str">
        <f t="shared" si="472"/>
        <v>Moto G5 Plus            = R$ 55,00</v>
      </c>
      <c r="Q486" s="4" t="str">
        <f t="shared" si="473"/>
        <v>Moto G5 Plus            = R$ 70,00</v>
      </c>
    </row>
    <row r="487" spans="1:17" ht="15.75" customHeight="1" x14ac:dyDescent="0.3">
      <c r="A487" t="s">
        <v>2438</v>
      </c>
      <c r="B487">
        <f>I189</f>
        <v>70</v>
      </c>
      <c r="C487" t="s">
        <v>12873</v>
      </c>
      <c r="E487" s="85" t="s">
        <v>11689</v>
      </c>
      <c r="F487" s="6">
        <v>100</v>
      </c>
      <c r="H487" s="4" t="s">
        <v>437</v>
      </c>
      <c r="I487" s="5">
        <f>F475</f>
        <v>65</v>
      </c>
      <c r="J487" s="5"/>
      <c r="K487" s="4" t="str">
        <f t="shared" si="470"/>
        <v>Moto G5s Plus           = R$ 65,00</v>
      </c>
      <c r="M487" s="4" t="str">
        <f t="shared" si="471"/>
        <v>Moto G5s Plus           = R$ 70,00</v>
      </c>
      <c r="O487" s="4" t="str">
        <f t="shared" si="472"/>
        <v>Moto G5s Plus           = R$ 60,00</v>
      </c>
      <c r="Q487" s="4" t="str">
        <f t="shared" si="473"/>
        <v>Moto G5s Plus           = R$ 75,00</v>
      </c>
    </row>
    <row r="488" spans="1:17" ht="15.75" customHeight="1" x14ac:dyDescent="0.3">
      <c r="A488" t="s">
        <v>1890</v>
      </c>
      <c r="B488">
        <f>I191</f>
        <v>140</v>
      </c>
      <c r="C488" t="s">
        <v>12872</v>
      </c>
      <c r="E488" s="85" t="s">
        <v>453</v>
      </c>
      <c r="F488" s="6">
        <v>65</v>
      </c>
      <c r="H488" s="4" t="s">
        <v>439</v>
      </c>
      <c r="I488" s="5">
        <f>F468</f>
        <v>85</v>
      </c>
      <c r="J488" s="5"/>
      <c r="K488" s="4" t="str">
        <f t="shared" si="470"/>
        <v>Moto G5G (2020) = R$ 85,00</v>
      </c>
      <c r="M488" s="4" t="str">
        <f t="shared" si="471"/>
        <v>Moto G5G (2020) = R$ 90,00</v>
      </c>
      <c r="O488" s="4" t="str">
        <f t="shared" si="472"/>
        <v>Moto G5G (2020) = R$ 80,00</v>
      </c>
      <c r="Q488" s="4" t="str">
        <f t="shared" si="473"/>
        <v>Moto G5G (2020) = R$ 95,00</v>
      </c>
    </row>
    <row r="489" spans="1:17" ht="15.75" customHeight="1" x14ac:dyDescent="0.3">
      <c r="A489" s="20" t="s">
        <v>2906</v>
      </c>
      <c r="B489">
        <f>I191</f>
        <v>140</v>
      </c>
      <c r="C489" t="s">
        <v>12872</v>
      </c>
      <c r="E489" s="85" t="s">
        <v>455</v>
      </c>
      <c r="F489" s="6">
        <v>90</v>
      </c>
      <c r="H489" s="4" t="s">
        <v>441</v>
      </c>
      <c r="I489" s="5">
        <f>F469</f>
        <v>90</v>
      </c>
      <c r="J489" s="5"/>
      <c r="K489" s="4" t="str">
        <f t="shared" si="470"/>
        <v>Moto G5G Plus            = R$ 90,00</v>
      </c>
      <c r="M489" s="4" t="str">
        <f t="shared" si="471"/>
        <v>Moto G5G Plus            = R$ 95,00</v>
      </c>
      <c r="O489" s="4" t="str">
        <f t="shared" si="472"/>
        <v>Moto G5G Plus            = R$ 85,00</v>
      </c>
      <c r="Q489" s="4" t="str">
        <f t="shared" si="473"/>
        <v>Moto G5G Plus            = R$ 100,00</v>
      </c>
    </row>
    <row r="490" spans="1:17" ht="15.75" customHeight="1" x14ac:dyDescent="0.3">
      <c r="A490" s="20" t="s">
        <v>2907</v>
      </c>
      <c r="B490">
        <f>I191</f>
        <v>140</v>
      </c>
      <c r="C490" t="s">
        <v>12872</v>
      </c>
      <c r="E490" s="85" t="s">
        <v>12356</v>
      </c>
      <c r="F490" s="16">
        <v>95</v>
      </c>
      <c r="H490" s="4" t="s">
        <v>11360</v>
      </c>
      <c r="I490" s="5">
        <f>F470</f>
        <v>160</v>
      </c>
      <c r="J490" s="5"/>
      <c r="K490" s="4" t="str">
        <f>CONCATENATE(H490,I490,",00")</f>
        <v>Moto G5G Plus c/aro = R$ 160,00</v>
      </c>
      <c r="M490" s="4" t="str">
        <f>CONCATENATE(H490,I490+5,",00")</f>
        <v>Moto G5G Plus c/aro = R$ 165,00</v>
      </c>
      <c r="O490" s="4" t="str">
        <f>CONCATENATE(H490,I490-5,",00")</f>
        <v>Moto G5G Plus c/aro = R$ 155,00</v>
      </c>
      <c r="Q490" s="4" t="str">
        <f>CONCATENATE(H490,I490+10,",00")</f>
        <v>Moto G5G Plus c/aro = R$ 170,00</v>
      </c>
    </row>
    <row r="491" spans="1:17" ht="15.75" customHeight="1" x14ac:dyDescent="0.3">
      <c r="A491" t="s">
        <v>2050</v>
      </c>
      <c r="B491">
        <f>I190</f>
        <v>140</v>
      </c>
      <c r="C491" t="s">
        <v>12871</v>
      </c>
      <c r="E491" s="85" t="s">
        <v>12357</v>
      </c>
      <c r="F491" s="16">
        <v>105</v>
      </c>
      <c r="H491" s="4" t="s">
        <v>11361</v>
      </c>
      <c r="I491" s="5">
        <f>F471</f>
        <v>190</v>
      </c>
      <c r="J491" s="5"/>
      <c r="K491" s="4" t="str">
        <f t="shared" ref="K491" si="487">CONCATENATE(H491,I491,",00")</f>
        <v>G5G Plus c/aro Nacional = R$ 190,00</v>
      </c>
      <c r="M491" s="4" t="str">
        <f t="shared" ref="M491" si="488">CONCATENATE(H491,I491+5,",00")</f>
        <v>G5G Plus c/aro Nacional = R$ 195,00</v>
      </c>
      <c r="O491" s="4" t="str">
        <f t="shared" ref="O491" si="489">CONCATENATE(H491,I491-5,",00")</f>
        <v>G5G Plus c/aro Nacional = R$ 185,00</v>
      </c>
      <c r="Q491" s="4" t="str">
        <f t="shared" ref="Q491" si="490">CONCATENATE(H491,I491+10,",00")</f>
        <v>G5G Plus c/aro Nacional = R$ 200,00</v>
      </c>
    </row>
    <row r="492" spans="1:17" ht="15.75" customHeight="1" x14ac:dyDescent="0.3">
      <c r="A492" s="20" t="s">
        <v>2908</v>
      </c>
      <c r="B492">
        <f>I190</f>
        <v>140</v>
      </c>
      <c r="C492" t="s">
        <v>12871</v>
      </c>
      <c r="E492" s="85" t="s">
        <v>457</v>
      </c>
      <c r="F492" s="6">
        <v>70</v>
      </c>
      <c r="H492" s="4" t="s">
        <v>11363</v>
      </c>
      <c r="I492" s="5">
        <f>F472</f>
        <v>200</v>
      </c>
      <c r="J492" s="5"/>
      <c r="K492" s="4" t="str">
        <f t="shared" ref="K492" si="491">CONCATENATE(H492,I492,",00")</f>
        <v>G5G Plus c/aro Nac Diamonds = 200,00</v>
      </c>
      <c r="M492" s="4" t="str">
        <f t="shared" ref="M492" si="492">CONCATENATE(H492,I492+5,",00")</f>
        <v>G5G Plus c/aro Nac Diamonds = 205,00</v>
      </c>
      <c r="O492" s="4" t="str">
        <f t="shared" ref="O492" si="493">CONCATENATE(H492,I492-5,",00")</f>
        <v>G5G Plus c/aro Nac Diamonds = 195,00</v>
      </c>
      <c r="Q492" s="4" t="str">
        <f t="shared" ref="Q492" si="494">CONCATENATE(H492,I492+10,",00")</f>
        <v>G5G Plus c/aro Nac Diamonds = 210,00</v>
      </c>
    </row>
    <row r="493" spans="1:17" ht="15.75" customHeight="1" x14ac:dyDescent="0.3">
      <c r="A493" s="20" t="s">
        <v>2909</v>
      </c>
      <c r="B493">
        <f>I190</f>
        <v>140</v>
      </c>
      <c r="C493" t="s">
        <v>12871</v>
      </c>
      <c r="E493" s="85" t="s">
        <v>459</v>
      </c>
      <c r="F493" s="6">
        <v>65</v>
      </c>
      <c r="H493" s="4" t="s">
        <v>443</v>
      </c>
      <c r="I493" s="5">
        <f t="shared" ref="I493:J524" si="495">F476</f>
        <v>75</v>
      </c>
      <c r="J493" s="5"/>
      <c r="K493" s="4" t="str">
        <f>CONCATENATE(H493,I493,",00")</f>
        <v>Moto G6           = R$ 75,00</v>
      </c>
      <c r="M493" s="4" t="str">
        <f>CONCATENATE(H493,I493+5,",00")</f>
        <v>Moto G6           = R$ 80,00</v>
      </c>
      <c r="O493" s="4" t="str">
        <f>CONCATENATE(H493,I493-5,",00")</f>
        <v>Moto G6           = R$ 70,00</v>
      </c>
      <c r="Q493" s="4" t="str">
        <f>CONCATENATE(H493,I493+10,",00")</f>
        <v>Moto G6           = R$ 85,00</v>
      </c>
    </row>
    <row r="494" spans="1:17" ht="15.75" customHeight="1" x14ac:dyDescent="0.3">
      <c r="A494" t="s">
        <v>13172</v>
      </c>
      <c r="B494">
        <f>I192</f>
        <v>160</v>
      </c>
      <c r="E494" s="85" t="s">
        <v>461</v>
      </c>
      <c r="F494" s="6">
        <v>80</v>
      </c>
      <c r="H494" s="4" t="s">
        <v>445</v>
      </c>
      <c r="I494" s="5">
        <f t="shared" si="495"/>
        <v>80</v>
      </c>
      <c r="J494" s="5"/>
      <c r="K494" s="4" t="str">
        <f t="shared" si="470"/>
        <v>Moto G6 c/aro = R$ 80,00</v>
      </c>
      <c r="M494" s="4" t="str">
        <f t="shared" si="471"/>
        <v>Moto G6 c/aro = R$ 85,00</v>
      </c>
      <c r="O494" s="4" t="str">
        <f t="shared" si="472"/>
        <v>Moto G6 c/aro = R$ 75,00</v>
      </c>
      <c r="Q494" s="4" t="str">
        <f t="shared" si="473"/>
        <v>Moto G6 c/aro = R$ 90,00</v>
      </c>
    </row>
    <row r="495" spans="1:17" ht="15.75" customHeight="1" x14ac:dyDescent="0.3">
      <c r="A495" t="s">
        <v>13173</v>
      </c>
      <c r="B495">
        <f>B494</f>
        <v>160</v>
      </c>
      <c r="E495" s="86" t="s">
        <v>463</v>
      </c>
      <c r="F495" s="16">
        <v>60</v>
      </c>
      <c r="H495" s="4" t="s">
        <v>12995</v>
      </c>
      <c r="I495" s="5">
        <f t="shared" si="495"/>
        <v>90</v>
      </c>
      <c r="J495" s="5"/>
      <c r="K495" s="4" t="str">
        <f t="shared" ref="K495:K497" si="496">CONCATENATE(H495,I495,",00")</f>
        <v>Moto G06    = R$ 90,00</v>
      </c>
      <c r="M495" s="4" t="str">
        <f t="shared" ref="M495:M497" si="497">CONCATENATE(H495,I495+5,",00")</f>
        <v>Moto G06    = R$ 95,00</v>
      </c>
      <c r="O495" s="4" t="str">
        <f t="shared" ref="O495:O497" si="498">CONCATENATE(H495,I495-5,",00")</f>
        <v>Moto G06    = R$ 85,00</v>
      </c>
      <c r="Q495" s="4" t="str">
        <f t="shared" ref="Q495:Q497" si="499">CONCATENATE(H495,I495+10,",00")</f>
        <v>Moto G06    = R$ 100,00</v>
      </c>
    </row>
    <row r="496" spans="1:17" ht="15.75" customHeight="1" x14ac:dyDescent="0.3">
      <c r="A496" s="47" t="s">
        <v>10608</v>
      </c>
      <c r="B496">
        <f>I193</f>
        <v>75</v>
      </c>
      <c r="C496" t="s">
        <v>12866</v>
      </c>
      <c r="E496" s="86" t="s">
        <v>465</v>
      </c>
      <c r="F496" s="16">
        <v>90</v>
      </c>
      <c r="H496" s="4" t="s">
        <v>12996</v>
      </c>
      <c r="I496" s="5">
        <f t="shared" si="495"/>
        <v>100</v>
      </c>
      <c r="J496" s="5"/>
      <c r="K496" s="4" t="str">
        <f t="shared" si="496"/>
        <v>Moto G06 c/aro   = R$ 100,00</v>
      </c>
      <c r="M496" s="4" t="str">
        <f t="shared" si="497"/>
        <v>Moto G06 c/aro   = R$ 105,00</v>
      </c>
      <c r="O496" s="4" t="str">
        <f t="shared" si="498"/>
        <v>Moto G06 c/aro   = R$ 95,00</v>
      </c>
      <c r="Q496" s="4" t="str">
        <f t="shared" si="499"/>
        <v>Moto G06 c/aro   = R$ 110,00</v>
      </c>
    </row>
    <row r="497" spans="1:17" ht="15.75" customHeight="1" x14ac:dyDescent="0.3">
      <c r="A497" s="20" t="s">
        <v>2911</v>
      </c>
      <c r="B497">
        <f>I194</f>
        <v>145</v>
      </c>
      <c r="C497" t="s">
        <v>12874</v>
      </c>
      <c r="E497" s="85" t="s">
        <v>467</v>
      </c>
      <c r="F497" s="6">
        <v>100</v>
      </c>
      <c r="H497" s="4" t="s">
        <v>12994</v>
      </c>
      <c r="I497" s="5">
        <f t="shared" si="495"/>
        <v>110</v>
      </c>
      <c r="J497" s="5"/>
      <c r="K497" s="4" t="str">
        <f t="shared" si="496"/>
        <v>Moto G06 Nacional c/aro  = R$ 110,00</v>
      </c>
      <c r="M497" s="4" t="str">
        <f t="shared" si="497"/>
        <v>Moto G06 Nacional c/aro  = R$ 115,00</v>
      </c>
      <c r="O497" s="4" t="str">
        <f t="shared" si="498"/>
        <v>Moto G06 Nacional c/aro  = R$ 105,00</v>
      </c>
      <c r="Q497" s="4" t="str">
        <f t="shared" si="499"/>
        <v>Moto G06 Nacional c/aro  = R$ 120,00</v>
      </c>
    </row>
    <row r="498" spans="1:17" ht="15.75" customHeight="1" x14ac:dyDescent="0.3">
      <c r="A498" s="20" t="s">
        <v>2910</v>
      </c>
      <c r="B498">
        <f>I195</f>
        <v>175</v>
      </c>
      <c r="C498" t="s">
        <v>12874</v>
      </c>
      <c r="E498" s="85" t="s">
        <v>11692</v>
      </c>
      <c r="F498" s="6">
        <v>110</v>
      </c>
      <c r="H498" s="4" t="s">
        <v>447</v>
      </c>
      <c r="I498" s="5">
        <f t="shared" si="495"/>
        <v>65</v>
      </c>
      <c r="J498" s="5"/>
      <c r="K498" s="4" t="str">
        <f t="shared" si="470"/>
        <v>Moto G6 Play orig          = R$ 65,00</v>
      </c>
      <c r="M498" s="4" t="str">
        <f t="shared" si="471"/>
        <v>Moto G6 Play orig          = R$ 70,00</v>
      </c>
      <c r="O498" s="4" t="str">
        <f t="shared" si="472"/>
        <v>Moto G6 Play orig          = R$ 60,00</v>
      </c>
      <c r="Q498" s="4" t="str">
        <f t="shared" si="473"/>
        <v>Moto G6 Play orig          = R$ 75,00</v>
      </c>
    </row>
    <row r="499" spans="1:17" ht="15.75" customHeight="1" x14ac:dyDescent="0.3">
      <c r="A499" t="s">
        <v>2299</v>
      </c>
      <c r="B499">
        <f>I202</f>
        <v>100</v>
      </c>
      <c r="C499" t="s">
        <v>12875</v>
      </c>
      <c r="E499" s="85" t="s">
        <v>469</v>
      </c>
      <c r="F499" s="6">
        <v>65</v>
      </c>
      <c r="H499" s="4" t="s">
        <v>449</v>
      </c>
      <c r="I499" s="5">
        <f t="shared" si="495"/>
        <v>75</v>
      </c>
      <c r="J499" s="5"/>
      <c r="K499" s="4" t="str">
        <f t="shared" si="470"/>
        <v>Moto G6 Play c/aro orig=R$ 75,00</v>
      </c>
      <c r="M499" s="4" t="str">
        <f t="shared" si="471"/>
        <v>Moto G6 Play c/aro orig=R$ 80,00</v>
      </c>
      <c r="O499" s="4" t="str">
        <f t="shared" si="472"/>
        <v>Moto G6 Play c/aro orig=R$ 70,00</v>
      </c>
      <c r="Q499" s="4" t="str">
        <f t="shared" si="473"/>
        <v>Moto G6 Play c/aro orig=R$ 85,00</v>
      </c>
    </row>
    <row r="500" spans="1:17" ht="15.75" customHeight="1" x14ac:dyDescent="0.3">
      <c r="A500" t="s">
        <v>1891</v>
      </c>
      <c r="B500">
        <f>I203</f>
        <v>180</v>
      </c>
      <c r="C500" t="s">
        <v>12876</v>
      </c>
      <c r="E500" s="85" t="s">
        <v>471</v>
      </c>
      <c r="F500" s="6">
        <v>90</v>
      </c>
      <c r="H500" s="4" t="s">
        <v>450</v>
      </c>
      <c r="I500" s="5">
        <f t="shared" si="495"/>
        <v>70</v>
      </c>
      <c r="J500" s="5"/>
      <c r="K500" s="4" t="str">
        <f t="shared" si="470"/>
        <v>Moto G6 Plus    = R$ 70,00</v>
      </c>
      <c r="M500" s="4" t="str">
        <f t="shared" si="471"/>
        <v>Moto G6 Plus    = R$ 75,00</v>
      </c>
      <c r="O500" s="4" t="str">
        <f t="shared" si="472"/>
        <v>Moto G6 Plus    = R$ 65,00</v>
      </c>
      <c r="Q500" s="4" t="str">
        <f t="shared" si="473"/>
        <v>Moto G6 Plus    = R$ 80,00</v>
      </c>
    </row>
    <row r="501" spans="1:17" ht="15.75" customHeight="1" x14ac:dyDescent="0.3">
      <c r="A501" s="20" t="s">
        <v>2917</v>
      </c>
      <c r="B501">
        <f>I203</f>
        <v>180</v>
      </c>
      <c r="C501" t="s">
        <v>12876</v>
      </c>
      <c r="E501" s="85" t="s">
        <v>12892</v>
      </c>
      <c r="F501" s="16">
        <v>95</v>
      </c>
      <c r="H501" s="4" t="s">
        <v>451</v>
      </c>
      <c r="I501" s="5">
        <f t="shared" si="495"/>
        <v>60</v>
      </c>
      <c r="J501" s="5"/>
      <c r="K501" s="4" t="str">
        <f t="shared" si="470"/>
        <v>Moto G7 Play orig         = R$ 60,00</v>
      </c>
      <c r="M501" s="4" t="str">
        <f t="shared" si="471"/>
        <v>Moto G7 Play orig         = R$ 65,00</v>
      </c>
      <c r="O501" s="4" t="str">
        <f t="shared" si="472"/>
        <v>Moto G7 Play orig         = R$ 55,00</v>
      </c>
      <c r="Q501" s="4" t="str">
        <f t="shared" si="473"/>
        <v>Moto G7 Play orig         = R$ 70,00</v>
      </c>
    </row>
    <row r="502" spans="1:17" ht="15.75" customHeight="1" x14ac:dyDescent="0.3">
      <c r="A502" s="20" t="s">
        <v>2918</v>
      </c>
      <c r="B502">
        <f>I203</f>
        <v>180</v>
      </c>
      <c r="C502" t="s">
        <v>12876</v>
      </c>
      <c r="E502" s="85" t="s">
        <v>12893</v>
      </c>
      <c r="F502" s="16">
        <v>105</v>
      </c>
      <c r="H502" s="4" t="s">
        <v>452</v>
      </c>
      <c r="I502" s="5">
        <f t="shared" si="495"/>
        <v>80</v>
      </c>
      <c r="J502" s="5"/>
      <c r="K502" s="4" t="str">
        <f t="shared" si="470"/>
        <v>Moto G7 Play c/aro orig=R$ 80,00</v>
      </c>
      <c r="M502" s="4" t="str">
        <f t="shared" si="471"/>
        <v>Moto G7 Play c/aro orig=R$ 85,00</v>
      </c>
      <c r="O502" s="4" t="str">
        <f t="shared" si="472"/>
        <v>Moto G7 Play c/aro orig=R$ 75,00</v>
      </c>
      <c r="Q502" s="4" t="str">
        <f t="shared" si="473"/>
        <v>Moto G7 Play c/aro orig=R$ 90,00</v>
      </c>
    </row>
    <row r="503" spans="1:17" ht="15.75" customHeight="1" x14ac:dyDescent="0.3">
      <c r="A503" t="s">
        <v>11474</v>
      </c>
      <c r="B503">
        <f>I204</f>
        <v>250</v>
      </c>
      <c r="E503" s="85" t="s">
        <v>473</v>
      </c>
      <c r="F503" s="6">
        <v>70</v>
      </c>
      <c r="H503" s="4" t="s">
        <v>454</v>
      </c>
      <c r="I503" s="5">
        <f t="shared" si="495"/>
        <v>90</v>
      </c>
      <c r="J503" s="5"/>
      <c r="K503" s="4" t="str">
        <f t="shared" si="470"/>
        <v>G7 Play c/aro Nacional = R$ 90,00</v>
      </c>
      <c r="M503" s="4" t="str">
        <f t="shared" si="471"/>
        <v>G7 Play c/aro Nacional = R$ 95,00</v>
      </c>
      <c r="O503" s="4" t="str">
        <f t="shared" si="472"/>
        <v>G7 Play c/aro Nacional = R$ 85,00</v>
      </c>
      <c r="Q503" s="4" t="str">
        <f t="shared" si="473"/>
        <v>G7 Play c/aro Nacional = R$ 100,00</v>
      </c>
    </row>
    <row r="504" spans="1:17" ht="15.75" customHeight="1" x14ac:dyDescent="0.3">
      <c r="A504" t="s">
        <v>11475</v>
      </c>
      <c r="B504">
        <f>I204</f>
        <v>250</v>
      </c>
      <c r="E504" s="85" t="s">
        <v>475</v>
      </c>
      <c r="F504" s="6">
        <v>100</v>
      </c>
      <c r="H504" s="4" t="s">
        <v>11691</v>
      </c>
      <c r="I504" s="5">
        <f t="shared" si="495"/>
        <v>100</v>
      </c>
      <c r="J504" s="5"/>
      <c r="K504" s="4" t="str">
        <f t="shared" ref="K504" si="500">CONCATENATE(H504,I504,",00")</f>
        <v>G7 Play c/aro Nac Diamonds = 100,00</v>
      </c>
      <c r="M504" s="4" t="str">
        <f t="shared" ref="M504" si="501">CONCATENATE(H504,I504+5,",00")</f>
        <v>G7 Play c/aro Nac Diamonds = 105,00</v>
      </c>
      <c r="O504" s="4" t="str">
        <f t="shared" ref="O504" si="502">CONCATENATE(H504,I504-5,",00")</f>
        <v>G7 Play c/aro Nac Diamonds = 95,00</v>
      </c>
      <c r="Q504" s="4" t="str">
        <f t="shared" ref="Q504" si="503">CONCATENATE(H504,I504+10,",00")</f>
        <v>G7 Play c/aro Nac Diamonds = 110,00</v>
      </c>
    </row>
    <row r="505" spans="1:17" ht="15.75" customHeight="1" x14ac:dyDescent="0.3">
      <c r="A505" t="s">
        <v>2300</v>
      </c>
      <c r="B505">
        <f>I206</f>
        <v>105</v>
      </c>
      <c r="C505" t="s">
        <v>12877</v>
      </c>
      <c r="E505" s="85" t="s">
        <v>12695</v>
      </c>
      <c r="F505" s="16">
        <v>105</v>
      </c>
      <c r="H505" s="4" t="s">
        <v>456</v>
      </c>
      <c r="I505" s="5">
        <f t="shared" si="495"/>
        <v>65</v>
      </c>
      <c r="J505" s="5"/>
      <c r="K505" s="4" t="str">
        <f t="shared" si="470"/>
        <v>Moto G7 Power             = R$ 65,00</v>
      </c>
      <c r="M505" s="4" t="str">
        <f t="shared" si="471"/>
        <v>Moto G7 Power             = R$ 70,00</v>
      </c>
      <c r="O505" s="4" t="str">
        <f t="shared" si="472"/>
        <v>Moto G7 Power             = R$ 60,00</v>
      </c>
      <c r="Q505" s="4" t="str">
        <f t="shared" si="473"/>
        <v>Moto G7 Power             = R$ 75,00</v>
      </c>
    </row>
    <row r="506" spans="1:17" ht="15.75" customHeight="1" x14ac:dyDescent="0.3">
      <c r="A506" t="s">
        <v>1892</v>
      </c>
      <c r="B506">
        <f>I207</f>
        <v>180</v>
      </c>
      <c r="C506" t="s">
        <v>12878</v>
      </c>
      <c r="E506" s="85" t="s">
        <v>12696</v>
      </c>
      <c r="F506" s="16">
        <v>115</v>
      </c>
      <c r="H506" s="4" t="s">
        <v>458</v>
      </c>
      <c r="I506" s="5">
        <f t="shared" si="495"/>
        <v>90</v>
      </c>
      <c r="J506" s="5"/>
      <c r="K506" s="4" t="str">
        <f t="shared" si="470"/>
        <v>Moto G7 Power c/aro   = R$ 90,00</v>
      </c>
      <c r="M506" s="4" t="str">
        <f t="shared" si="471"/>
        <v>Moto G7 Power c/aro   = R$ 95,00</v>
      </c>
      <c r="O506" s="4" t="str">
        <f t="shared" si="472"/>
        <v>Moto G7 Power c/aro   = R$ 85,00</v>
      </c>
      <c r="Q506" s="4" t="str">
        <f t="shared" si="473"/>
        <v>Moto G7 Power c/aro   = R$ 100,00</v>
      </c>
    </row>
    <row r="507" spans="1:17" ht="15.75" customHeight="1" x14ac:dyDescent="0.3">
      <c r="A507" s="20" t="s">
        <v>2919</v>
      </c>
      <c r="B507">
        <f>I207</f>
        <v>180</v>
      </c>
      <c r="C507" t="s">
        <v>12878</v>
      </c>
      <c r="E507" s="85" t="s">
        <v>477</v>
      </c>
      <c r="F507" s="6">
        <v>60</v>
      </c>
      <c r="H507" s="4" t="s">
        <v>12358</v>
      </c>
      <c r="I507" s="5">
        <f t="shared" si="495"/>
        <v>95</v>
      </c>
      <c r="J507" s="5"/>
      <c r="K507" s="4" t="str">
        <f t="shared" ref="K507:K508" si="504">CONCATENATE(H507,I507,",00")</f>
        <v>G7 Power c/aro Nacional = R$ 95,00</v>
      </c>
      <c r="M507" s="4" t="str">
        <f t="shared" ref="M507:M508" si="505">CONCATENATE(H507,I507+5,",00")</f>
        <v>G7 Power c/aro Nacional = R$ 100,00</v>
      </c>
      <c r="O507" s="4" t="str">
        <f t="shared" ref="O507:O508" si="506">CONCATENATE(H507,I507-5,",00")</f>
        <v>G7 Power c/aro Nacional = R$ 90,00</v>
      </c>
      <c r="Q507" s="4" t="str">
        <f t="shared" ref="Q507:Q508" si="507">CONCATENATE(H507,I507+10,",00")</f>
        <v>G7 Power c/aro Nacional = R$ 105,00</v>
      </c>
    </row>
    <row r="508" spans="1:17" ht="15.75" customHeight="1" x14ac:dyDescent="0.3">
      <c r="A508" s="20" t="s">
        <v>2920</v>
      </c>
      <c r="B508">
        <f>I207</f>
        <v>180</v>
      </c>
      <c r="C508" t="s">
        <v>12878</v>
      </c>
      <c r="E508" s="85" t="s">
        <v>479</v>
      </c>
      <c r="F508" s="6">
        <v>65</v>
      </c>
      <c r="H508" s="4" t="s">
        <v>12359</v>
      </c>
      <c r="I508" s="5">
        <f t="shared" si="495"/>
        <v>105</v>
      </c>
      <c r="J508" s="5"/>
      <c r="K508" s="4" t="str">
        <f t="shared" si="504"/>
        <v>G7 Power c/aro Nac Diamonds = 105,00</v>
      </c>
      <c r="M508" s="4" t="str">
        <f t="shared" si="505"/>
        <v>G7 Power c/aro Nac Diamonds = 110,00</v>
      </c>
      <c r="O508" s="4" t="str">
        <f t="shared" si="506"/>
        <v>G7 Power c/aro Nac Diamonds = 100,00</v>
      </c>
      <c r="Q508" s="4" t="str">
        <f t="shared" si="507"/>
        <v>G7 Power c/aro Nac Diamonds = 115,00</v>
      </c>
    </row>
    <row r="509" spans="1:17" ht="15.75" customHeight="1" x14ac:dyDescent="0.3">
      <c r="A509" t="s">
        <v>11476</v>
      </c>
      <c r="B509">
        <f>I208</f>
        <v>280</v>
      </c>
      <c r="E509" s="85" t="s">
        <v>481</v>
      </c>
      <c r="F509" s="6">
        <v>85</v>
      </c>
      <c r="H509" s="4" t="s">
        <v>460</v>
      </c>
      <c r="I509" s="5">
        <f t="shared" si="495"/>
        <v>70</v>
      </c>
      <c r="J509" s="5"/>
      <c r="K509" s="4" t="str">
        <f t="shared" si="470"/>
        <v>Moto G7/G7 Plus orig = R$ 70,00</v>
      </c>
      <c r="M509" s="4" t="str">
        <f t="shared" si="471"/>
        <v>Moto G7/G7 Plus orig = R$ 75,00</v>
      </c>
      <c r="O509" s="4" t="str">
        <f t="shared" si="472"/>
        <v>Moto G7/G7 Plus orig = R$ 65,00</v>
      </c>
      <c r="Q509" s="4" t="str">
        <f t="shared" si="473"/>
        <v>Moto G7/G7 Plus orig = R$ 80,00</v>
      </c>
    </row>
    <row r="510" spans="1:17" ht="15.75" customHeight="1" x14ac:dyDescent="0.3">
      <c r="A510" t="s">
        <v>11477</v>
      </c>
      <c r="B510">
        <f>I208</f>
        <v>280</v>
      </c>
      <c r="E510" s="85" t="s">
        <v>11694</v>
      </c>
      <c r="F510" s="6">
        <v>95</v>
      </c>
      <c r="H510" s="4" t="s">
        <v>462</v>
      </c>
      <c r="I510" s="5">
        <f t="shared" si="495"/>
        <v>65</v>
      </c>
      <c r="J510" s="5"/>
      <c r="K510" s="4" t="str">
        <f t="shared" si="470"/>
        <v>Moto G8            = R$ 65,00</v>
      </c>
      <c r="M510" s="4" t="str">
        <f t="shared" si="471"/>
        <v>Moto G8            = R$ 70,00</v>
      </c>
      <c r="O510" s="4" t="str">
        <f t="shared" si="472"/>
        <v>Moto G8            = R$ 60,00</v>
      </c>
      <c r="Q510" s="4" t="str">
        <f t="shared" si="473"/>
        <v>Moto G8            = R$ 75,00</v>
      </c>
    </row>
    <row r="511" spans="1:17" ht="15.75" customHeight="1" x14ac:dyDescent="0.3">
      <c r="A511" t="s">
        <v>2253</v>
      </c>
      <c r="B511">
        <f>I205</f>
        <v>100</v>
      </c>
      <c r="E511" s="85" t="s">
        <v>483</v>
      </c>
      <c r="F511" s="6">
        <v>60</v>
      </c>
      <c r="H511" s="4" t="s">
        <v>464</v>
      </c>
      <c r="I511" s="5">
        <f t="shared" si="495"/>
        <v>80</v>
      </c>
      <c r="J511" s="5"/>
      <c r="K511" s="4" t="str">
        <f t="shared" si="470"/>
        <v>Moto G8 c/aro = R$ 80,00</v>
      </c>
      <c r="M511" s="4" t="str">
        <f t="shared" si="471"/>
        <v>Moto G8 c/aro = R$ 85,00</v>
      </c>
      <c r="O511" s="4" t="str">
        <f t="shared" si="472"/>
        <v>Moto G8 c/aro = R$ 75,00</v>
      </c>
      <c r="Q511" s="4" t="str">
        <f t="shared" si="473"/>
        <v>Moto G8 c/aro = R$ 90,00</v>
      </c>
    </row>
    <row r="512" spans="1:17" ht="15.75" customHeight="1" x14ac:dyDescent="0.3">
      <c r="A512" t="s">
        <v>10907</v>
      </c>
      <c r="B512">
        <f>I209</f>
        <v>130</v>
      </c>
      <c r="C512" t="s">
        <v>12880</v>
      </c>
      <c r="E512" s="85" t="s">
        <v>485</v>
      </c>
      <c r="F512" s="6">
        <v>75</v>
      </c>
      <c r="H512" s="4" t="s">
        <v>466</v>
      </c>
      <c r="I512" s="5">
        <f t="shared" si="495"/>
        <v>60</v>
      </c>
      <c r="J512" s="5"/>
      <c r="K512" s="4" t="str">
        <f t="shared" si="470"/>
        <v>Moto G8 Play orig          = R$ 60,00</v>
      </c>
      <c r="M512" s="4" t="str">
        <f t="shared" si="471"/>
        <v>Moto G8 Play orig          = R$ 65,00</v>
      </c>
      <c r="O512" s="4" t="str">
        <f t="shared" si="472"/>
        <v>Moto G8 Play orig          = R$ 55,00</v>
      </c>
      <c r="Q512" s="4" t="str">
        <f t="shared" si="473"/>
        <v>Moto G8 Play orig          = R$ 70,00</v>
      </c>
    </row>
    <row r="513" spans="1:17" ht="15.75" customHeight="1" x14ac:dyDescent="0.3">
      <c r="A513" t="s">
        <v>10902</v>
      </c>
      <c r="B513">
        <f>I209</f>
        <v>130</v>
      </c>
      <c r="C513" t="s">
        <v>12880</v>
      </c>
      <c r="E513" s="85" t="s">
        <v>10589</v>
      </c>
      <c r="F513" s="6">
        <v>85</v>
      </c>
      <c r="H513" s="4" t="s">
        <v>468</v>
      </c>
      <c r="I513" s="5">
        <f t="shared" si="495"/>
        <v>90</v>
      </c>
      <c r="J513" s="5"/>
      <c r="K513" s="4" t="str">
        <f t="shared" si="470"/>
        <v>Moto G8 Play c/aro orig=R$90,00</v>
      </c>
      <c r="M513" s="4" t="str">
        <f t="shared" si="471"/>
        <v>Moto G8 Play c/aro orig=R$95,00</v>
      </c>
      <c r="O513" s="4" t="str">
        <f t="shared" si="472"/>
        <v>Moto G8 Play c/aro orig=R$85,00</v>
      </c>
      <c r="Q513" s="4" t="str">
        <f t="shared" si="473"/>
        <v>Moto G8 Play c/aro orig=R$100,00</v>
      </c>
    </row>
    <row r="514" spans="1:17" ht="15.75" customHeight="1" x14ac:dyDescent="0.3">
      <c r="A514" t="s">
        <v>10906</v>
      </c>
      <c r="B514">
        <f>I210</f>
        <v>220</v>
      </c>
      <c r="C514" t="s">
        <v>12879</v>
      </c>
      <c r="E514" s="85" t="s">
        <v>11697</v>
      </c>
      <c r="F514" s="6">
        <v>95</v>
      </c>
      <c r="H514" s="4" t="s">
        <v>470</v>
      </c>
      <c r="I514" s="5">
        <f t="shared" si="495"/>
        <v>100</v>
      </c>
      <c r="J514" s="5"/>
      <c r="K514" s="4" t="str">
        <f t="shared" ref="K514" si="508">CONCATENATE(H514,I514,",00")</f>
        <v>G8 Play c/aro Nacional= R$ 100,00</v>
      </c>
      <c r="M514" s="4" t="str">
        <f t="shared" ref="M514" si="509">CONCATENATE(H514,I514+5,",00")</f>
        <v>G8 Play c/aro Nacional= R$ 105,00</v>
      </c>
      <c r="O514" s="4" t="str">
        <f t="shared" ref="O514" si="510">CONCATENATE(H514,I514-5,",00")</f>
        <v>G8 Play c/aro Nacional= R$ 95,00</v>
      </c>
      <c r="Q514" s="4" t="str">
        <f t="shared" ref="Q514" si="511">CONCATENATE(H514,I514+10,",00")</f>
        <v>G8 Play c/aro Nacional= R$ 110,00</v>
      </c>
    </row>
    <row r="515" spans="1:17" ht="15.75" customHeight="1" x14ac:dyDescent="0.3">
      <c r="A515" t="s">
        <v>10903</v>
      </c>
      <c r="B515">
        <f>I210</f>
        <v>220</v>
      </c>
      <c r="C515" t="s">
        <v>12879</v>
      </c>
      <c r="E515" s="85" t="s">
        <v>488</v>
      </c>
      <c r="F515" s="6">
        <v>75</v>
      </c>
      <c r="H515" s="4" t="s">
        <v>11693</v>
      </c>
      <c r="I515" s="5">
        <f t="shared" si="495"/>
        <v>110</v>
      </c>
      <c r="J515" s="5"/>
      <c r="K515" s="4" t="str">
        <f t="shared" si="470"/>
        <v>G8 Play c/aro Nac Diamonds = 110,00</v>
      </c>
      <c r="M515" s="4" t="str">
        <f t="shared" si="471"/>
        <v>G8 Play c/aro Nac Diamonds = 115,00</v>
      </c>
      <c r="O515" s="4" t="str">
        <f t="shared" si="472"/>
        <v>G8 Play c/aro Nac Diamonds = 105,00</v>
      </c>
      <c r="Q515" s="4" t="str">
        <f t="shared" si="473"/>
        <v>G8 Play c/aro Nac Diamonds = 120,00</v>
      </c>
    </row>
    <row r="516" spans="1:17" ht="15.75" customHeight="1" x14ac:dyDescent="0.3">
      <c r="A516" s="50" t="s">
        <v>10904</v>
      </c>
      <c r="B516">
        <f>I210</f>
        <v>220</v>
      </c>
      <c r="C516" t="s">
        <v>12879</v>
      </c>
      <c r="E516" s="85" t="s">
        <v>490</v>
      </c>
      <c r="F516" s="6">
        <v>90</v>
      </c>
      <c r="H516" s="4" t="s">
        <v>472</v>
      </c>
      <c r="I516" s="5">
        <f t="shared" si="495"/>
        <v>65</v>
      </c>
      <c r="J516" s="5"/>
      <c r="K516" s="4" t="str">
        <f t="shared" si="470"/>
        <v>Moto G8 Plus   = R$ 65,00</v>
      </c>
      <c r="M516" s="4" t="str">
        <f t="shared" si="471"/>
        <v>Moto G8 Plus   = R$ 70,00</v>
      </c>
      <c r="O516" s="4" t="str">
        <f t="shared" si="472"/>
        <v>Moto G8 Plus   = R$ 60,00</v>
      </c>
      <c r="Q516" s="4" t="str">
        <f t="shared" si="473"/>
        <v>Moto G8 Plus   = R$ 75,00</v>
      </c>
    </row>
    <row r="517" spans="1:17" ht="15.75" customHeight="1" x14ac:dyDescent="0.3">
      <c r="A517" s="50" t="s">
        <v>10905</v>
      </c>
      <c r="B517">
        <f>I210</f>
        <v>220</v>
      </c>
      <c r="C517" t="s">
        <v>12879</v>
      </c>
      <c r="E517" s="85" t="s">
        <v>492</v>
      </c>
      <c r="F517" s="6">
        <v>100</v>
      </c>
      <c r="H517" s="4" t="s">
        <v>474</v>
      </c>
      <c r="I517" s="5">
        <f t="shared" si="495"/>
        <v>90</v>
      </c>
      <c r="J517" s="5"/>
      <c r="K517" s="4" t="str">
        <f t="shared" si="470"/>
        <v>Moto G8 Plus c/aro      = R$ 90,00</v>
      </c>
      <c r="M517" s="4" t="str">
        <f t="shared" si="471"/>
        <v>Moto G8 Plus c/aro      = R$ 95,00</v>
      </c>
      <c r="O517" s="4" t="str">
        <f t="shared" si="472"/>
        <v>Moto G8 Plus c/aro      = R$ 85,00</v>
      </c>
      <c r="Q517" s="4" t="str">
        <f t="shared" si="473"/>
        <v>Moto G8 Plus c/aro      = R$ 100,00</v>
      </c>
    </row>
    <row r="518" spans="1:17" ht="15.75" customHeight="1" x14ac:dyDescent="0.3">
      <c r="A518" s="44" t="s">
        <v>10587</v>
      </c>
      <c r="B518">
        <f>I211</f>
        <v>270</v>
      </c>
      <c r="E518" s="85" t="s">
        <v>11698</v>
      </c>
      <c r="F518" s="6">
        <v>110</v>
      </c>
      <c r="H518" s="4" t="s">
        <v>12894</v>
      </c>
      <c r="I518" s="5">
        <f t="shared" si="495"/>
        <v>95</v>
      </c>
      <c r="J518" s="5"/>
      <c r="K518" s="4" t="str">
        <f t="shared" ref="K518:K519" si="512">CONCATENATE(H518,I518,",00")</f>
        <v>G8 Plus c/aro Nacional= R$ 95,00</v>
      </c>
      <c r="M518" s="4" t="str">
        <f t="shared" ref="M518:M519" si="513">CONCATENATE(H518,I518+5,",00")</f>
        <v>G8 Plus c/aro Nacional= R$ 100,00</v>
      </c>
      <c r="O518" s="4" t="str">
        <f t="shared" ref="O518:O519" si="514">CONCATENATE(H518,I518-5,",00")</f>
        <v>G8 Plus c/aro Nacional= R$ 90,00</v>
      </c>
      <c r="Q518" s="4" t="str">
        <f t="shared" ref="Q518:Q519" si="515">CONCATENATE(H518,I518+10,",00")</f>
        <v>G8 Plus c/aro Nacional= R$ 105,00</v>
      </c>
    </row>
    <row r="519" spans="1:17" ht="15.75" customHeight="1" x14ac:dyDescent="0.3">
      <c r="A519" s="44" t="s">
        <v>10588</v>
      </c>
      <c r="B519">
        <f>I211</f>
        <v>270</v>
      </c>
      <c r="E519" s="85" t="s">
        <v>494</v>
      </c>
      <c r="F519" s="6">
        <v>75</v>
      </c>
      <c r="H519" s="4" t="s">
        <v>12895</v>
      </c>
      <c r="I519" s="5">
        <f t="shared" si="495"/>
        <v>105</v>
      </c>
      <c r="J519" s="5"/>
      <c r="K519" s="4" t="str">
        <f t="shared" si="512"/>
        <v>G8 Plus c/aro Nac Diamonds = 105,00</v>
      </c>
      <c r="M519" s="4" t="str">
        <f t="shared" si="513"/>
        <v>G8 Plus c/aro Nac Diamonds = 110,00</v>
      </c>
      <c r="O519" s="4" t="str">
        <f t="shared" si="514"/>
        <v>G8 Plus c/aro Nac Diamonds = 100,00</v>
      </c>
      <c r="Q519" s="4" t="str">
        <f t="shared" si="515"/>
        <v>G8 Plus c/aro Nac Diamonds = 115,00</v>
      </c>
    </row>
    <row r="520" spans="1:17" ht="15.75" customHeight="1" x14ac:dyDescent="0.3">
      <c r="A520" s="57" t="s">
        <v>11478</v>
      </c>
      <c r="B520">
        <f>I212</f>
        <v>280</v>
      </c>
      <c r="E520" s="85" t="s">
        <v>496</v>
      </c>
      <c r="F520" s="6">
        <v>85</v>
      </c>
      <c r="H520" s="4" t="s">
        <v>476</v>
      </c>
      <c r="I520" s="5">
        <f t="shared" si="495"/>
        <v>70</v>
      </c>
      <c r="J520" s="5"/>
      <c r="K520" s="4" t="str">
        <f t="shared" si="470"/>
        <v>Moto G8 Power             = R$ 70,00</v>
      </c>
      <c r="M520" s="4" t="str">
        <f t="shared" si="471"/>
        <v>Moto G8 Power             = R$ 75,00</v>
      </c>
      <c r="O520" s="4" t="str">
        <f t="shared" si="472"/>
        <v>Moto G8 Power             = R$ 65,00</v>
      </c>
      <c r="Q520" s="4" t="str">
        <f t="shared" si="473"/>
        <v>Moto G8 Power             = R$ 80,00</v>
      </c>
    </row>
    <row r="521" spans="1:17" ht="15.75" customHeight="1" x14ac:dyDescent="0.3">
      <c r="A521" s="57" t="s">
        <v>11479</v>
      </c>
      <c r="B521">
        <f>I212</f>
        <v>280</v>
      </c>
      <c r="E521" s="85" t="s">
        <v>498</v>
      </c>
      <c r="F521" s="6">
        <v>95</v>
      </c>
      <c r="H521" s="4" t="s">
        <v>478</v>
      </c>
      <c r="I521" s="5">
        <f t="shared" si="495"/>
        <v>100</v>
      </c>
      <c r="J521" s="5"/>
      <c r="K521" s="4" t="str">
        <f t="shared" si="470"/>
        <v>Moto G8 Power c/aro   = R$ 100,00</v>
      </c>
      <c r="M521" s="4" t="str">
        <f t="shared" si="471"/>
        <v>Moto G8 Power c/aro   = R$ 105,00</v>
      </c>
      <c r="O521" s="4" t="str">
        <f t="shared" si="472"/>
        <v>Moto G8 Power c/aro   = R$ 95,00</v>
      </c>
      <c r="Q521" s="4" t="str">
        <f t="shared" si="473"/>
        <v>Moto G8 Power c/aro   = R$ 110,00</v>
      </c>
    </row>
    <row r="522" spans="1:17" ht="15.75" customHeight="1" x14ac:dyDescent="0.3">
      <c r="A522" t="s">
        <v>11226</v>
      </c>
      <c r="B522">
        <f>I213</f>
        <v>160</v>
      </c>
      <c r="E522" s="85" t="s">
        <v>11700</v>
      </c>
      <c r="F522" s="6">
        <v>105</v>
      </c>
      <c r="H522" s="4" t="s">
        <v>12698</v>
      </c>
      <c r="I522" s="5">
        <f t="shared" si="495"/>
        <v>105</v>
      </c>
      <c r="J522" s="5"/>
      <c r="K522" s="4" t="str">
        <f t="shared" ref="K522:K523" si="516">CONCATENATE(H522,I522,",00")</f>
        <v>G8 Power c/aro Nacional = R$ 105,00</v>
      </c>
      <c r="M522" s="4" t="str">
        <f t="shared" ref="M522:M523" si="517">CONCATENATE(H522,I522+5,",00")</f>
        <v>G8 Power c/aro Nacional = R$ 110,00</v>
      </c>
      <c r="O522" s="4" t="str">
        <f t="shared" ref="O522:O523" si="518">CONCATENATE(H522,I522-5,",00")</f>
        <v>G8 Power c/aro Nacional = R$ 100,00</v>
      </c>
      <c r="Q522" s="4" t="str">
        <f t="shared" ref="Q522:Q523" si="519">CONCATENATE(H522,I522+10,",00")</f>
        <v>G8 Power c/aro Nacional = R$ 115,00</v>
      </c>
    </row>
    <row r="523" spans="1:17" ht="15.75" customHeight="1" x14ac:dyDescent="0.3">
      <c r="A523" t="s">
        <v>11227</v>
      </c>
      <c r="B523">
        <f>I213</f>
        <v>160</v>
      </c>
      <c r="E523" s="86" t="s">
        <v>500</v>
      </c>
      <c r="F523" s="6">
        <v>60</v>
      </c>
      <c r="H523" s="4" t="s">
        <v>12697</v>
      </c>
      <c r="I523" s="5">
        <f t="shared" si="495"/>
        <v>115</v>
      </c>
      <c r="J523" s="5"/>
      <c r="K523" s="4" t="str">
        <f t="shared" si="516"/>
        <v>G8 Power c/aro Nac Diamonds = 115,00</v>
      </c>
      <c r="M523" s="4" t="str">
        <f t="shared" si="517"/>
        <v>G8 Power c/aro Nac Diamonds = 120,00</v>
      </c>
      <c r="O523" s="4" t="str">
        <f t="shared" si="518"/>
        <v>G8 Power c/aro Nac Diamonds = 110,00</v>
      </c>
      <c r="Q523" s="4" t="str">
        <f t="shared" si="519"/>
        <v>G8 Power c/aro Nac Diamonds = 125,00</v>
      </c>
    </row>
    <row r="524" spans="1:17" ht="15.75" customHeight="1" x14ac:dyDescent="0.3">
      <c r="A524" t="s">
        <v>11228</v>
      </c>
      <c r="B524">
        <f>I214</f>
        <v>210</v>
      </c>
      <c r="C524" t="s">
        <v>12864</v>
      </c>
      <c r="E524" s="85" t="s">
        <v>502</v>
      </c>
      <c r="F524" s="6">
        <v>65</v>
      </c>
      <c r="H524" s="4" t="s">
        <v>480</v>
      </c>
      <c r="I524" s="5">
        <f t="shared" si="495"/>
        <v>60</v>
      </c>
      <c r="J524" s="5"/>
      <c r="K524" s="4" t="str">
        <f t="shared" si="470"/>
        <v>Moto G8 Power Lite       = R$ 60,00</v>
      </c>
      <c r="M524" s="4" t="str">
        <f t="shared" si="471"/>
        <v>Moto G8 Power Lite       = R$ 65,00</v>
      </c>
      <c r="O524" s="4" t="str">
        <f t="shared" si="472"/>
        <v>Moto G8 Power Lite       = R$ 55,00</v>
      </c>
      <c r="Q524" s="4" t="str">
        <f t="shared" si="473"/>
        <v>Moto G8 Power Lite       = R$ 70,00</v>
      </c>
    </row>
    <row r="525" spans="1:17" ht="15.75" customHeight="1" x14ac:dyDescent="0.3">
      <c r="A525" t="s">
        <v>11229</v>
      </c>
      <c r="B525">
        <f>I214</f>
        <v>210</v>
      </c>
      <c r="C525" t="s">
        <v>12864</v>
      </c>
      <c r="E525" s="85" t="s">
        <v>13085</v>
      </c>
      <c r="F525" s="6">
        <v>80</v>
      </c>
      <c r="H525" s="4" t="s">
        <v>482</v>
      </c>
      <c r="I525" s="5">
        <f t="shared" ref="I525:J543" si="520">F508</f>
        <v>65</v>
      </c>
      <c r="J525" s="5"/>
      <c r="K525" s="4" t="str">
        <f t="shared" si="470"/>
        <v>Moto G8 Power Lite c/aro= 65,00</v>
      </c>
      <c r="M525" s="4" t="str">
        <f t="shared" si="471"/>
        <v>Moto G8 Power Lite c/aro= 70,00</v>
      </c>
      <c r="O525" s="4" t="str">
        <f t="shared" si="472"/>
        <v>Moto G8 Power Lite c/aro= 60,00</v>
      </c>
      <c r="Q525" s="4" t="str">
        <f t="shared" si="473"/>
        <v>Moto G8 Power Lite c/aro= 75,00</v>
      </c>
    </row>
    <row r="526" spans="1:17" ht="15.75" customHeight="1" x14ac:dyDescent="0.3">
      <c r="A526" t="s">
        <v>11230</v>
      </c>
      <c r="B526">
        <f>I214</f>
        <v>210</v>
      </c>
      <c r="C526" t="s">
        <v>12864</v>
      </c>
      <c r="E526" s="85" t="s">
        <v>13086</v>
      </c>
      <c r="F526" s="6">
        <v>90</v>
      </c>
      <c r="H526" s="4" t="s">
        <v>484</v>
      </c>
      <c r="I526" s="5">
        <f t="shared" si="520"/>
        <v>85</v>
      </c>
      <c r="J526" s="5"/>
      <c r="K526" s="4" t="str">
        <f>CONCATENATE(H526,I526,"")</f>
        <v>G8 Power Lite c/aro Nacional=85</v>
      </c>
      <c r="M526" s="4" t="str">
        <f>CONCATENATE(H526,I526+5,"")</f>
        <v>G8 Power Lite c/aro Nacional=90</v>
      </c>
      <c r="O526" s="4" t="str">
        <f t="shared" ref="O526" si="521">CONCATENATE(H526,I526-5,",00")</f>
        <v>G8 Power Lite c/aro Nacional=80,00</v>
      </c>
      <c r="Q526" s="4" t="str">
        <f t="shared" ref="Q526" si="522">CONCATENATE(H526,I526+10,",00")</f>
        <v>G8 Power Lite c/aro Nacional=95,00</v>
      </c>
    </row>
    <row r="527" spans="1:17" ht="15.75" customHeight="1" x14ac:dyDescent="0.3">
      <c r="A527" t="s">
        <v>11231</v>
      </c>
      <c r="B527">
        <f>I214</f>
        <v>210</v>
      </c>
      <c r="C527" t="s">
        <v>12864</v>
      </c>
      <c r="E527" s="85" t="s">
        <v>13131</v>
      </c>
      <c r="F527" s="6">
        <v>65</v>
      </c>
      <c r="H527" s="4" t="s">
        <v>11696</v>
      </c>
      <c r="I527" s="5">
        <f t="shared" si="520"/>
        <v>95</v>
      </c>
      <c r="J527" s="5"/>
      <c r="K527" s="4" t="str">
        <f>CONCATENATE(H527,I527,"")</f>
        <v>G8 Power Lite c/aro Nac Diamonds = 95</v>
      </c>
      <c r="M527" s="4" t="str">
        <f>CONCATENATE(H527,I527+5,"")</f>
        <v>G8 Power Lite c/aro Nac Diamonds = 100</v>
      </c>
      <c r="O527" s="4" t="str">
        <f t="shared" si="472"/>
        <v>G8 Power Lite c/aro Nac Diamonds = 90,00</v>
      </c>
      <c r="Q527" s="4" t="str">
        <f t="shared" si="473"/>
        <v>G8 Power Lite c/aro Nac Diamonds = 105,00</v>
      </c>
    </row>
    <row r="528" spans="1:17" ht="15.75" customHeight="1" x14ac:dyDescent="0.3">
      <c r="A528" s="56" t="s">
        <v>11232</v>
      </c>
      <c r="B528">
        <f>I215</f>
        <v>295</v>
      </c>
      <c r="E528" s="85" t="s">
        <v>507</v>
      </c>
      <c r="F528" s="6">
        <v>80</v>
      </c>
      <c r="H528" s="4" t="s">
        <v>486</v>
      </c>
      <c r="I528" s="5">
        <f t="shared" si="520"/>
        <v>60</v>
      </c>
      <c r="J528" s="5"/>
      <c r="K528" s="4" t="str">
        <f t="shared" ref="K528:K529" si="523">CONCATENATE(H528,I528,",00")</f>
        <v>Moto G9 Play    = R$ 60,00</v>
      </c>
      <c r="M528" s="4" t="str">
        <f t="shared" ref="M528:M529" si="524">CONCATENATE(H528,I528+5,",00")</f>
        <v>Moto G9 Play    = R$ 65,00</v>
      </c>
      <c r="O528" s="4" t="str">
        <f t="shared" si="472"/>
        <v>Moto G9 Play    = R$ 55,00</v>
      </c>
      <c r="Q528" s="4" t="str">
        <f t="shared" si="473"/>
        <v>Moto G9 Play    = R$ 70,00</v>
      </c>
    </row>
    <row r="529" spans="1:17" ht="15.75" customHeight="1" x14ac:dyDescent="0.3">
      <c r="A529" s="56" t="s">
        <v>11233</v>
      </c>
      <c r="B529">
        <f>I215</f>
        <v>295</v>
      </c>
      <c r="E529" s="85" t="s">
        <v>978</v>
      </c>
      <c r="F529" s="6">
        <v>90</v>
      </c>
      <c r="H529" s="4" t="s">
        <v>487</v>
      </c>
      <c r="I529" s="5">
        <f t="shared" si="520"/>
        <v>75</v>
      </c>
      <c r="J529" s="5"/>
      <c r="K529" s="4" t="str">
        <f t="shared" si="523"/>
        <v>Moto G9 Play c/aro      = R$ 75,00</v>
      </c>
      <c r="M529" s="4" t="str">
        <f t="shared" si="524"/>
        <v>Moto G9 Play c/aro      = R$ 80,00</v>
      </c>
      <c r="O529" s="4" t="str">
        <f t="shared" si="472"/>
        <v>Moto G9 Play c/aro      = R$ 70,00</v>
      </c>
      <c r="Q529" s="4" t="str">
        <f t="shared" si="473"/>
        <v>Moto G9 Play c/aro      = R$ 85,00</v>
      </c>
    </row>
    <row r="530" spans="1:17" ht="15.75" customHeight="1" x14ac:dyDescent="0.3">
      <c r="A530" t="s">
        <v>11234</v>
      </c>
      <c r="B530">
        <f>I215</f>
        <v>295</v>
      </c>
      <c r="E530" s="85" t="s">
        <v>11704</v>
      </c>
      <c r="F530" s="6">
        <v>100</v>
      </c>
      <c r="H530" s="4" t="s">
        <v>489</v>
      </c>
      <c r="I530" s="5">
        <f t="shared" si="520"/>
        <v>85</v>
      </c>
      <c r="J530" s="5"/>
      <c r="K530" s="4" t="str">
        <f>CONCATENATE(H530,I530,"")</f>
        <v>Moto G9 Play c/aro Nacional= 85</v>
      </c>
      <c r="M530" s="4" t="str">
        <f>CONCATENATE(H530,I530+5,"")</f>
        <v>Moto G9 Play c/aro Nacional= 90</v>
      </c>
      <c r="O530" s="4" t="str">
        <f t="shared" ref="O530" si="525">CONCATENATE(H530,I530-5,",00")</f>
        <v>Moto G9 Play c/aro Nacional= 80,00</v>
      </c>
      <c r="Q530" s="4" t="str">
        <f t="shared" ref="Q530" si="526">CONCATENATE(H530,I530+10,",00")</f>
        <v>Moto G9 Play c/aro Nacional= 95,00</v>
      </c>
    </row>
    <row r="531" spans="1:17" ht="15.75" customHeight="1" x14ac:dyDescent="0.3">
      <c r="A531" t="s">
        <v>11235</v>
      </c>
      <c r="B531">
        <f>I215</f>
        <v>295</v>
      </c>
      <c r="E531" s="85" t="s">
        <v>13130</v>
      </c>
      <c r="F531" s="6">
        <v>65</v>
      </c>
      <c r="H531" s="4" t="s">
        <v>11695</v>
      </c>
      <c r="I531" s="5">
        <f t="shared" si="520"/>
        <v>95</v>
      </c>
      <c r="J531" s="5"/>
      <c r="K531" s="4" t="str">
        <f>CONCATENATE(H531,I531,"")</f>
        <v>G9 Play c/aro Nac Diamonds = 95</v>
      </c>
      <c r="M531" s="4" t="str">
        <f>CONCATENATE(H531,I531+5,"")</f>
        <v>G9 Play c/aro Nac Diamonds = 100</v>
      </c>
      <c r="O531" s="4" t="str">
        <f t="shared" si="472"/>
        <v>G9 Play c/aro Nac Diamonds = 90,00</v>
      </c>
      <c r="Q531" s="4" t="str">
        <f t="shared" si="473"/>
        <v>G9 Play c/aro Nac Diamonds = 105,00</v>
      </c>
    </row>
    <row r="532" spans="1:17" ht="15.75" customHeight="1" x14ac:dyDescent="0.3">
      <c r="A532" t="s">
        <v>2301</v>
      </c>
      <c r="B532">
        <f>I217</f>
        <v>80</v>
      </c>
      <c r="E532" s="85" t="s">
        <v>511</v>
      </c>
      <c r="F532" s="6">
        <v>80</v>
      </c>
      <c r="H532" s="4" t="s">
        <v>491</v>
      </c>
      <c r="I532" s="5">
        <f t="shared" si="520"/>
        <v>75</v>
      </c>
      <c r="J532" s="5"/>
      <c r="K532" s="4" t="str">
        <f t="shared" ref="K532:K533" si="527">CONCATENATE(H532,I532,",00")</f>
        <v>Moto G9 Plus   = R$ 75,00</v>
      </c>
      <c r="M532" s="4" t="str">
        <f t="shared" ref="M532:M683" si="528">CONCATENATE(H532,I532+5,",00")</f>
        <v>Moto G9 Plus   = R$ 80,00</v>
      </c>
      <c r="O532" s="4" t="str">
        <f t="shared" si="472"/>
        <v>Moto G9 Plus   = R$ 70,00</v>
      </c>
      <c r="Q532" s="4" t="str">
        <f t="shared" si="473"/>
        <v>Moto G9 Plus   = R$ 85,00</v>
      </c>
    </row>
    <row r="533" spans="1:17" ht="15.75" customHeight="1" x14ac:dyDescent="0.3">
      <c r="A533" t="s">
        <v>2254</v>
      </c>
      <c r="B533">
        <f>I216</f>
        <v>60</v>
      </c>
      <c r="E533" s="85" t="s">
        <v>513</v>
      </c>
      <c r="F533" s="6">
        <v>90</v>
      </c>
      <c r="H533" s="4" t="s">
        <v>493</v>
      </c>
      <c r="I533" s="5">
        <f t="shared" si="520"/>
        <v>90</v>
      </c>
      <c r="J533" s="5"/>
      <c r="K533" s="4" t="str">
        <f t="shared" si="527"/>
        <v>Moto G9 Plus c/aro      = R$ 90,00</v>
      </c>
      <c r="M533" s="4" t="str">
        <f t="shared" si="528"/>
        <v>Moto G9 Plus c/aro      = R$ 95,00</v>
      </c>
      <c r="O533" s="4" t="str">
        <f t="shared" si="472"/>
        <v>Moto G9 Plus c/aro      = R$ 85,00</v>
      </c>
      <c r="Q533" s="4" t="str">
        <f t="shared" si="473"/>
        <v>Moto G9 Plus c/aro      = R$ 100,00</v>
      </c>
    </row>
    <row r="534" spans="1:17" ht="15.75" customHeight="1" x14ac:dyDescent="0.3">
      <c r="A534" s="27" t="s">
        <v>2976</v>
      </c>
      <c r="B534">
        <f>I219</f>
        <v>220</v>
      </c>
      <c r="E534" s="85" t="s">
        <v>11706</v>
      </c>
      <c r="F534" s="6">
        <v>100</v>
      </c>
      <c r="H534" s="4" t="s">
        <v>495</v>
      </c>
      <c r="I534" s="5">
        <f t="shared" si="520"/>
        <v>100</v>
      </c>
      <c r="J534" s="5"/>
      <c r="K534" s="4" t="str">
        <f>CONCATENATE(H534,I534,"")</f>
        <v>Moto G9 Plus c/aro Nacional= 100</v>
      </c>
      <c r="M534" s="4" t="str">
        <f t="shared" ref="M534" si="529">CONCATENATE(H534,I534+5,",00")</f>
        <v>Moto G9 Plus c/aro Nacional= 105,00</v>
      </c>
      <c r="O534" s="4" t="str">
        <f t="shared" ref="O534" si="530">CONCATENATE(H534,I534-5,",00")</f>
        <v>Moto G9 Plus c/aro Nacional= 95,00</v>
      </c>
      <c r="Q534" s="4" t="str">
        <f t="shared" ref="Q534" si="531">CONCATENATE(H534,I534+10,",00")</f>
        <v>Moto G9 Plus c/aro Nacional= 110,00</v>
      </c>
    </row>
    <row r="535" spans="1:17" ht="15.75" customHeight="1" x14ac:dyDescent="0.3">
      <c r="A535" s="27" t="s">
        <v>2980</v>
      </c>
      <c r="B535">
        <f>I219</f>
        <v>220</v>
      </c>
      <c r="E535" s="85" t="s">
        <v>516</v>
      </c>
      <c r="F535" s="6">
        <v>65</v>
      </c>
      <c r="H535" s="4" t="s">
        <v>11699</v>
      </c>
      <c r="I535" s="5">
        <f t="shared" si="520"/>
        <v>110</v>
      </c>
      <c r="J535" s="5"/>
      <c r="K535" s="4" t="str">
        <f>CONCATENATE(H535,I535,"")</f>
        <v>G9 Plus c/aro Nac Diamonds = 110</v>
      </c>
      <c r="M535" s="4" t="str">
        <f t="shared" si="528"/>
        <v>G9 Plus c/aro Nac Diamonds = 115,00</v>
      </c>
      <c r="O535" s="4" t="str">
        <f t="shared" si="472"/>
        <v>G9 Plus c/aro Nac Diamonds = 105,00</v>
      </c>
      <c r="Q535" s="4" t="str">
        <f t="shared" si="473"/>
        <v>G9 Plus c/aro Nac Diamonds = 120,00</v>
      </c>
    </row>
    <row r="536" spans="1:17" ht="15.75" customHeight="1" x14ac:dyDescent="0.3">
      <c r="A536" s="27" t="s">
        <v>2981</v>
      </c>
      <c r="B536">
        <f>I219</f>
        <v>220</v>
      </c>
      <c r="E536" s="85" t="s">
        <v>518</v>
      </c>
      <c r="F536" s="6">
        <v>75</v>
      </c>
      <c r="H536" s="4" t="s">
        <v>497</v>
      </c>
      <c r="I536" s="5">
        <f t="shared" si="520"/>
        <v>75</v>
      </c>
      <c r="J536" s="5"/>
      <c r="K536" s="4" t="str">
        <f t="shared" ref="K536:K683" si="532">CONCATENATE(H536,I536,",00")</f>
        <v>Moto G9 Power            = R$ 75,00</v>
      </c>
      <c r="M536" s="4" t="str">
        <f t="shared" si="528"/>
        <v>Moto G9 Power            = R$ 80,00</v>
      </c>
      <c r="O536" s="4" t="str">
        <f t="shared" si="472"/>
        <v>Moto G9 Power            = R$ 70,00</v>
      </c>
      <c r="Q536" s="4" t="str">
        <f t="shared" si="473"/>
        <v>Moto G9 Power            = R$ 85,00</v>
      </c>
    </row>
    <row r="537" spans="1:17" ht="15.75" customHeight="1" x14ac:dyDescent="0.3">
      <c r="A537" t="s">
        <v>2977</v>
      </c>
      <c r="B537">
        <f>I218</f>
        <v>135</v>
      </c>
      <c r="E537" s="85" t="s">
        <v>520</v>
      </c>
      <c r="F537" s="6">
        <v>80</v>
      </c>
      <c r="H537" s="4" t="s">
        <v>499</v>
      </c>
      <c r="I537" s="5">
        <f t="shared" si="520"/>
        <v>85</v>
      </c>
      <c r="J537" s="5"/>
      <c r="K537" s="4" t="str">
        <f t="shared" si="532"/>
        <v>Moto G9 Power c/aro  = R$ 85,00</v>
      </c>
      <c r="M537" s="4" t="str">
        <f t="shared" si="528"/>
        <v>Moto G9 Power c/aro  = R$ 90,00</v>
      </c>
      <c r="O537" s="4" t="str">
        <f t="shared" si="472"/>
        <v>Moto G9 Power c/aro  = R$ 80,00</v>
      </c>
      <c r="Q537" s="4" t="str">
        <f t="shared" si="473"/>
        <v>Moto G9 Power c/aro  = R$ 95,00</v>
      </c>
    </row>
    <row r="538" spans="1:17" ht="15.75" customHeight="1" x14ac:dyDescent="0.3">
      <c r="A538" t="s">
        <v>2982</v>
      </c>
      <c r="B538">
        <f>I218</f>
        <v>135</v>
      </c>
      <c r="E538" s="85" t="s">
        <v>11709</v>
      </c>
      <c r="F538" s="6">
        <v>90</v>
      </c>
      <c r="H538" s="4" t="s">
        <v>501</v>
      </c>
      <c r="I538" s="5">
        <f t="shared" si="520"/>
        <v>95</v>
      </c>
      <c r="J538" s="5"/>
      <c r="K538" s="4" t="str">
        <f t="shared" ref="K538" si="533">CONCATENATE(H538,I538,",00")</f>
        <v>G9 Power c/aro Nacional = 95,00</v>
      </c>
      <c r="M538" s="4" t="str">
        <f t="shared" ref="M538" si="534">CONCATENATE(H538,I538+5,",00")</f>
        <v>G9 Power c/aro Nacional = 100,00</v>
      </c>
      <c r="O538" s="4" t="str">
        <f t="shared" ref="O538" si="535">CONCATENATE(H538,I538-5,",00")</f>
        <v>G9 Power c/aro Nacional = 90,00</v>
      </c>
      <c r="Q538" s="4" t="str">
        <f t="shared" ref="Q538" si="536">CONCATENATE(H538,I538+10,",00")</f>
        <v>G9 Power c/aro Nacional = 105,00</v>
      </c>
    </row>
    <row r="539" spans="1:17" ht="15.75" customHeight="1" x14ac:dyDescent="0.3">
      <c r="A539" t="s">
        <v>2983</v>
      </c>
      <c r="B539">
        <f>I218</f>
        <v>135</v>
      </c>
      <c r="E539" s="85" t="s">
        <v>10942</v>
      </c>
      <c r="F539" s="6">
        <v>80</v>
      </c>
      <c r="H539" s="4" t="s">
        <v>11701</v>
      </c>
      <c r="I539" s="5">
        <f t="shared" si="520"/>
        <v>105</v>
      </c>
      <c r="J539" s="5"/>
      <c r="K539" s="4" t="str">
        <f t="shared" si="532"/>
        <v>G9 Power c/aro Nac Diamonds = 105,00</v>
      </c>
      <c r="M539" s="4" t="str">
        <f t="shared" si="528"/>
        <v>G9 Power c/aro Nac Diamonds = 110,00</v>
      </c>
      <c r="O539" s="4" t="str">
        <f t="shared" si="472"/>
        <v>G9 Power c/aro Nac Diamonds = 100,00</v>
      </c>
      <c r="Q539" s="4" t="str">
        <f t="shared" si="473"/>
        <v>G9 Power c/aro Nac Diamonds = 115,00</v>
      </c>
    </row>
    <row r="540" spans="1:17" ht="15.75" customHeight="1" x14ac:dyDescent="0.3">
      <c r="A540" t="s">
        <v>2302</v>
      </c>
      <c r="B540">
        <f>I220</f>
        <v>80</v>
      </c>
      <c r="E540" s="85" t="s">
        <v>12084</v>
      </c>
      <c r="F540" s="16">
        <v>90</v>
      </c>
      <c r="H540" s="4" t="s">
        <v>503</v>
      </c>
      <c r="I540" s="5">
        <f t="shared" si="520"/>
        <v>60</v>
      </c>
      <c r="J540" s="5"/>
      <c r="K540" s="4" t="str">
        <f t="shared" si="532"/>
        <v>Moto G10/G30 = R$ 60,00</v>
      </c>
      <c r="M540" s="4" t="str">
        <f t="shared" si="528"/>
        <v>Moto G10/G30 = R$ 65,00</v>
      </c>
      <c r="O540" s="4" t="str">
        <f t="shared" si="472"/>
        <v>Moto G10/G30 = R$ 55,00</v>
      </c>
      <c r="Q540" s="4" t="str">
        <f t="shared" si="473"/>
        <v>Moto G10/G30 = R$ 70,00</v>
      </c>
    </row>
    <row r="541" spans="1:17" ht="15.75" customHeight="1" x14ac:dyDescent="0.3">
      <c r="A541" t="s">
        <v>13116</v>
      </c>
      <c r="B541">
        <f>I221</f>
        <v>130</v>
      </c>
      <c r="E541" s="85" t="s">
        <v>12085</v>
      </c>
      <c r="F541" s="16">
        <v>100</v>
      </c>
      <c r="H541" s="4" t="s">
        <v>504</v>
      </c>
      <c r="I541" s="5">
        <f t="shared" si="520"/>
        <v>65</v>
      </c>
      <c r="J541" s="5"/>
      <c r="K541" s="4" t="str">
        <f t="shared" si="532"/>
        <v>Moto G10/G30 c/aro  = R$ 65,00</v>
      </c>
      <c r="M541" s="4" t="str">
        <f t="shared" si="528"/>
        <v>Moto G10/G30 c/aro  = R$ 70,00</v>
      </c>
      <c r="O541" s="4" t="str">
        <f t="shared" si="472"/>
        <v>Moto G10/G30 c/aro  = R$ 60,00</v>
      </c>
      <c r="Q541" s="4" t="str">
        <f t="shared" si="473"/>
        <v>Moto G10/G30 c/aro  = R$ 75,00</v>
      </c>
    </row>
    <row r="542" spans="1:17" ht="15.75" customHeight="1" x14ac:dyDescent="0.3">
      <c r="A542" t="s">
        <v>13117</v>
      </c>
      <c r="B542">
        <f>B541</f>
        <v>130</v>
      </c>
      <c r="E542" s="85" t="s">
        <v>523</v>
      </c>
      <c r="F542" s="6">
        <v>65</v>
      </c>
      <c r="H542" s="4" t="s">
        <v>505</v>
      </c>
      <c r="I542" s="5">
        <f t="shared" si="520"/>
        <v>80</v>
      </c>
      <c r="J542" s="5"/>
      <c r="K542" s="4" t="str">
        <f t="shared" ref="K542" si="537">CONCATENATE(H542,I542,",00")</f>
        <v>Moto G10 c/aro Nacional= 80,00</v>
      </c>
      <c r="M542" s="4" t="str">
        <f t="shared" ref="M542" si="538">CONCATENATE(H542,I542+5,",00")</f>
        <v>Moto G10 c/aro Nacional= 85,00</v>
      </c>
      <c r="O542" s="4" t="str">
        <f t="shared" ref="O542" si="539">CONCATENATE(H542,I542-5,",00")</f>
        <v>Moto G10 c/aro Nacional= 75,00</v>
      </c>
      <c r="Q542" s="4" t="str">
        <f t="shared" ref="Q542" si="540">CONCATENATE(H542,I542+10,",00")</f>
        <v>Moto G10 c/aro Nacional= 90,00</v>
      </c>
    </row>
    <row r="543" spans="1:17" ht="15.75" customHeight="1" x14ac:dyDescent="0.3">
      <c r="A543" t="s">
        <v>13118</v>
      </c>
      <c r="B543">
        <f>B541</f>
        <v>130</v>
      </c>
      <c r="E543" s="85" t="s">
        <v>13227</v>
      </c>
      <c r="F543" s="6">
        <v>80</v>
      </c>
      <c r="H543" s="4" t="s">
        <v>11702</v>
      </c>
      <c r="I543" s="5">
        <f t="shared" si="520"/>
        <v>90</v>
      </c>
      <c r="J543" s="5"/>
      <c r="K543" s="4" t="str">
        <f t="shared" si="532"/>
        <v>G10 c/aro Nac Diamonds = 90,00</v>
      </c>
      <c r="M543" s="4" t="str">
        <f t="shared" si="528"/>
        <v>G10 c/aro Nac Diamonds = 95,00</v>
      </c>
      <c r="O543" s="4" t="str">
        <f t="shared" si="472"/>
        <v>G10 c/aro Nac Diamonds = 85,00</v>
      </c>
      <c r="Q543" s="4" t="str">
        <f t="shared" si="473"/>
        <v>G10 c/aro Nac Diamonds = 100,00</v>
      </c>
    </row>
    <row r="544" spans="1:17" ht="15.75" customHeight="1" x14ac:dyDescent="0.3">
      <c r="A544" t="s">
        <v>13119</v>
      </c>
      <c r="B544">
        <f>B541</f>
        <v>130</v>
      </c>
      <c r="E544" s="85" t="s">
        <v>526</v>
      </c>
      <c r="F544" s="6">
        <v>155</v>
      </c>
      <c r="H544" s="4" t="s">
        <v>510</v>
      </c>
      <c r="I544" s="5">
        <f t="shared" ref="I544:J553" si="541">F525</f>
        <v>80</v>
      </c>
      <c r="J544" s="5"/>
      <c r="K544" s="4" t="str">
        <f>CONCATENATE(H544,I544,",00")</f>
        <v>Moto G30 c/aro Nacional= 80,00</v>
      </c>
      <c r="M544" s="4" t="str">
        <f>CONCATENATE(H544,I544+5,",00")</f>
        <v>Moto G30 c/aro Nacional= 85,00</v>
      </c>
      <c r="O544" s="4" t="str">
        <f>CONCATENATE(H544,I544-5,",00")</f>
        <v>Moto G30 c/aro Nacional= 75,00</v>
      </c>
      <c r="Q544" s="4" t="str">
        <f>CONCATENATE(H544,I544+10,",00")</f>
        <v>Moto G30 c/aro Nacional= 90,00</v>
      </c>
    </row>
    <row r="545" spans="1:17" ht="15.75" customHeight="1" x14ac:dyDescent="0.3">
      <c r="A545" t="s">
        <v>2984</v>
      </c>
      <c r="B545">
        <f>I223</f>
        <v>260</v>
      </c>
      <c r="E545" s="85" t="s">
        <v>13228</v>
      </c>
      <c r="F545" s="6">
        <v>165</v>
      </c>
      <c r="H545" s="4" t="s">
        <v>11703</v>
      </c>
      <c r="I545" s="5">
        <f t="shared" si="541"/>
        <v>90</v>
      </c>
      <c r="J545" s="5"/>
      <c r="K545" s="4" t="str">
        <f>CONCATENATE(H545,I545,",00")</f>
        <v>G30 c/aro Nac Diamonds = 90,00</v>
      </c>
      <c r="M545" s="4" t="str">
        <f>CONCATENATE(H545,I545+5,",00")</f>
        <v>G30 c/aro Nac Diamonds = 95,00</v>
      </c>
      <c r="O545" s="4" t="str">
        <f>CONCATENATE(H545,I545-5,",00")</f>
        <v>G30 c/aro Nac Diamonds = 85,00</v>
      </c>
      <c r="Q545" s="4" t="str">
        <f>CONCATENATE(H545,I545+10,",00")</f>
        <v>G30 c/aro Nac Diamonds = 100,00</v>
      </c>
    </row>
    <row r="546" spans="1:17" ht="15.75" customHeight="1" x14ac:dyDescent="0.3">
      <c r="A546" t="s">
        <v>2986</v>
      </c>
      <c r="B546">
        <f>I223</f>
        <v>260</v>
      </c>
      <c r="E546" s="85" t="s">
        <v>13229</v>
      </c>
      <c r="F546" s="6">
        <v>185</v>
      </c>
      <c r="H546" s="4" t="s">
        <v>506</v>
      </c>
      <c r="I546" s="5">
        <f t="shared" si="541"/>
        <v>65</v>
      </c>
      <c r="J546" s="5"/>
      <c r="K546" s="4" t="str">
        <f t="shared" si="532"/>
        <v>Moto G13      = R$ 65,00</v>
      </c>
      <c r="M546" s="4" t="str">
        <f t="shared" si="528"/>
        <v>Moto G13      = R$ 70,00</v>
      </c>
      <c r="O546" s="4" t="str">
        <f t="shared" si="472"/>
        <v>Moto G13      = R$ 60,00</v>
      </c>
      <c r="Q546" s="4" t="str">
        <f t="shared" si="473"/>
        <v>Moto G13      = R$ 75,00</v>
      </c>
    </row>
    <row r="547" spans="1:17" ht="15.75" customHeight="1" x14ac:dyDescent="0.3">
      <c r="A547" t="s">
        <v>2987</v>
      </c>
      <c r="B547">
        <f>I223</f>
        <v>260</v>
      </c>
      <c r="E547" s="85" t="s">
        <v>11711</v>
      </c>
      <c r="F547" s="6">
        <v>195</v>
      </c>
      <c r="H547" s="4" t="s">
        <v>508</v>
      </c>
      <c r="I547" s="5">
        <f t="shared" si="541"/>
        <v>80</v>
      </c>
      <c r="J547" s="5"/>
      <c r="K547" s="4" t="str">
        <f t="shared" si="532"/>
        <v>Moto G13 c/aro          = R$ 80,00</v>
      </c>
      <c r="M547" s="4" t="str">
        <f t="shared" si="528"/>
        <v>Moto G13 c/aro          = R$ 85,00</v>
      </c>
      <c r="O547" s="4" t="str">
        <f t="shared" si="472"/>
        <v>Moto G13 c/aro          = R$ 75,00</v>
      </c>
      <c r="Q547" s="4" t="str">
        <f t="shared" si="473"/>
        <v>Moto G13 c/aro          = R$ 90,00</v>
      </c>
    </row>
    <row r="548" spans="1:17" ht="15.75" customHeight="1" x14ac:dyDescent="0.3">
      <c r="A548" t="s">
        <v>2985</v>
      </c>
      <c r="B548">
        <f>I222</f>
        <v>200</v>
      </c>
      <c r="E548" s="85" t="s">
        <v>983</v>
      </c>
      <c r="F548" s="6">
        <v>75</v>
      </c>
      <c r="H548" s="4" t="s">
        <v>509</v>
      </c>
      <c r="I548" s="5">
        <f t="shared" si="541"/>
        <v>90</v>
      </c>
      <c r="J548" s="5"/>
      <c r="K548" s="4" t="str">
        <f t="shared" ref="K548" si="542">CONCATENATE(H548,I548,",00")</f>
        <v>Moto G13 c/aro Nacional= 90,00</v>
      </c>
      <c r="M548" s="4" t="str">
        <f t="shared" ref="M548" si="543">CONCATENATE(H548,I548+5,",00")</f>
        <v>Moto G13 c/aro Nacional= 95,00</v>
      </c>
      <c r="O548" s="4" t="str">
        <f t="shared" ref="O548" si="544">CONCATENATE(H548,I548-5,",00")</f>
        <v>Moto G13 c/aro Nacional= 85,00</v>
      </c>
      <c r="Q548" s="4" t="str">
        <f t="shared" ref="Q548" si="545">CONCATENATE(H548,I548+10,",00")</f>
        <v>Moto G13 c/aro Nacional= 100,00</v>
      </c>
    </row>
    <row r="549" spans="1:17" ht="15.75" customHeight="1" x14ac:dyDescent="0.3">
      <c r="A549" t="s">
        <v>2988</v>
      </c>
      <c r="B549">
        <f>I222</f>
        <v>200</v>
      </c>
      <c r="E549" s="85" t="s">
        <v>529</v>
      </c>
      <c r="F549" s="6">
        <v>85</v>
      </c>
      <c r="H549" s="4" t="s">
        <v>11705</v>
      </c>
      <c r="I549" s="5">
        <f t="shared" si="541"/>
        <v>100</v>
      </c>
      <c r="J549" s="5"/>
      <c r="K549" s="4" t="str">
        <f t="shared" si="532"/>
        <v>G13 c/aro Nac Diamonds = 100,00</v>
      </c>
      <c r="M549" s="4" t="str">
        <f t="shared" si="528"/>
        <v>G13 c/aro Nac Diamonds = 105,00</v>
      </c>
      <c r="O549" s="4" t="str">
        <f t="shared" si="472"/>
        <v>G13 c/aro Nac Diamonds = 95,00</v>
      </c>
      <c r="Q549" s="4" t="str">
        <f t="shared" si="473"/>
        <v>G13 c/aro Nac Diamonds = 110,00</v>
      </c>
    </row>
    <row r="550" spans="1:17" ht="15.75" customHeight="1" x14ac:dyDescent="0.3">
      <c r="A550" t="s">
        <v>2989</v>
      </c>
      <c r="B550">
        <f>I222</f>
        <v>200</v>
      </c>
      <c r="E550" s="85" t="s">
        <v>11714</v>
      </c>
      <c r="F550" s="6">
        <v>95</v>
      </c>
      <c r="H550" s="4" t="s">
        <v>512</v>
      </c>
      <c r="I550" s="5">
        <f t="shared" si="541"/>
        <v>65</v>
      </c>
      <c r="J550" s="5"/>
      <c r="K550" s="4" t="str">
        <f t="shared" si="532"/>
        <v>Moto G14       = R$ 65,00</v>
      </c>
      <c r="M550" s="4" t="str">
        <f t="shared" si="528"/>
        <v>Moto G14       = R$ 70,00</v>
      </c>
      <c r="O550" s="4" t="str">
        <f t="shared" si="472"/>
        <v>Moto G14       = R$ 60,00</v>
      </c>
      <c r="Q550" s="4" t="str">
        <f t="shared" si="473"/>
        <v>Moto G14       = R$ 75,00</v>
      </c>
    </row>
    <row r="551" spans="1:17" ht="15.75" customHeight="1" x14ac:dyDescent="0.3">
      <c r="A551" t="s">
        <v>2303</v>
      </c>
      <c r="B551">
        <f>I226</f>
        <v>105</v>
      </c>
      <c r="E551" s="85" t="s">
        <v>11713</v>
      </c>
      <c r="F551" s="6">
        <v>105</v>
      </c>
      <c r="H551" s="4" t="s">
        <v>514</v>
      </c>
      <c r="I551" s="5">
        <f t="shared" si="541"/>
        <v>80</v>
      </c>
      <c r="J551" s="5"/>
      <c r="K551" s="4" t="str">
        <f t="shared" si="532"/>
        <v>Moto G14 c/aro           = R$ 80,00</v>
      </c>
      <c r="M551" s="4" t="str">
        <f t="shared" si="528"/>
        <v>Moto G14 c/aro           = R$ 85,00</v>
      </c>
      <c r="O551" s="4" t="str">
        <f t="shared" si="472"/>
        <v>Moto G14 c/aro           = R$ 75,00</v>
      </c>
      <c r="Q551" s="4" t="str">
        <f t="shared" si="473"/>
        <v>Moto G14 c/aro           = R$ 90,00</v>
      </c>
    </row>
    <row r="552" spans="1:17" ht="15.75" customHeight="1" x14ac:dyDescent="0.3">
      <c r="A552" t="s">
        <v>2255</v>
      </c>
      <c r="B552">
        <f>I225</f>
        <v>90</v>
      </c>
      <c r="E552" s="85" t="s">
        <v>532</v>
      </c>
      <c r="F552" s="6">
        <v>80</v>
      </c>
      <c r="H552" s="4" t="s">
        <v>515</v>
      </c>
      <c r="I552" s="5">
        <f t="shared" si="541"/>
        <v>90</v>
      </c>
      <c r="J552" s="5"/>
      <c r="K552" s="4" t="str">
        <f t="shared" ref="K552" si="546">CONCATENATE(H552,I552,",00")</f>
        <v>Moto G14 c/aro Nacional= 90,00</v>
      </c>
      <c r="M552" s="4" t="str">
        <f t="shared" ref="M552" si="547">CONCATENATE(H552,I552+5,",00")</f>
        <v>Moto G14 c/aro Nacional= 95,00</v>
      </c>
      <c r="O552" s="4" t="str">
        <f t="shared" ref="O552" si="548">CONCATENATE(H552,I552-5,",00")</f>
        <v>Moto G14 c/aro Nacional= 85,00</v>
      </c>
      <c r="Q552" s="4" t="str">
        <f t="shared" ref="Q552" si="549">CONCATENATE(H552,I552+10,",00")</f>
        <v>Moto G14 c/aro Nacional= 100,00</v>
      </c>
    </row>
    <row r="553" spans="1:17" ht="15.75" customHeight="1" x14ac:dyDescent="0.3">
      <c r="A553" t="s">
        <v>2990</v>
      </c>
      <c r="B553">
        <f>I228</f>
        <v>250</v>
      </c>
      <c r="E553" s="85" t="s">
        <v>11717</v>
      </c>
      <c r="F553" s="6">
        <v>90</v>
      </c>
      <c r="H553" s="4" t="s">
        <v>11707</v>
      </c>
      <c r="I553" s="5">
        <f t="shared" si="541"/>
        <v>100</v>
      </c>
      <c r="J553" s="5"/>
      <c r="K553" s="4" t="str">
        <f t="shared" si="532"/>
        <v>Moto G14 c/aro Nac Diamonds = 100,00</v>
      </c>
      <c r="M553" s="4" t="str">
        <f t="shared" si="528"/>
        <v>Moto G14 c/aro Nac Diamonds = 105,00</v>
      </c>
      <c r="O553" s="4" t="str">
        <f t="shared" si="472"/>
        <v>Moto G14 c/aro Nac Diamonds = 95,00</v>
      </c>
      <c r="Q553" s="4" t="str">
        <f t="shared" si="473"/>
        <v>Moto G14 c/aro Nac Diamonds = 110,00</v>
      </c>
    </row>
    <row r="554" spans="1:17" ht="15.75" customHeight="1" x14ac:dyDescent="0.3">
      <c r="A554" t="s">
        <v>2991</v>
      </c>
      <c r="B554">
        <f>I228</f>
        <v>250</v>
      </c>
      <c r="E554" s="85" t="s">
        <v>11718</v>
      </c>
      <c r="F554" s="6">
        <v>100</v>
      </c>
      <c r="G554" s="12"/>
      <c r="H554" s="4" t="s">
        <v>10674</v>
      </c>
      <c r="I554" s="5">
        <f>F464</f>
        <v>75</v>
      </c>
      <c r="J554" s="5"/>
      <c r="K554" s="4" t="str">
        <f t="shared" ref="K554:K557" si="550">CONCATENATE(H554,I554,",00")</f>
        <v>Moto G15       = R$ 75,00</v>
      </c>
      <c r="M554" s="4" t="str">
        <f t="shared" ref="M554:M557" si="551">CONCATENATE(H554,I554+5,",00")</f>
        <v>Moto G15       = R$ 80,00</v>
      </c>
      <c r="O554" s="4" t="str">
        <f t="shared" ref="O554:O557" si="552">CONCATENATE(H554,I554-5,",00")</f>
        <v>Moto G15       = R$ 70,00</v>
      </c>
      <c r="Q554" s="4" t="str">
        <f t="shared" ref="Q554:Q557" si="553">CONCATENATE(H554,I554+10,",00")</f>
        <v>Moto G15       = R$ 85,00</v>
      </c>
    </row>
    <row r="555" spans="1:17" ht="15.75" customHeight="1" x14ac:dyDescent="0.3">
      <c r="A555" t="s">
        <v>2992</v>
      </c>
      <c r="B555">
        <f>I228</f>
        <v>250</v>
      </c>
      <c r="E555" s="85" t="s">
        <v>6944</v>
      </c>
      <c r="F555" s="16">
        <v>70</v>
      </c>
      <c r="G555" s="12"/>
      <c r="H555" s="4" t="s">
        <v>10675</v>
      </c>
      <c r="I555" s="5">
        <f>F465</f>
        <v>85</v>
      </c>
      <c r="J555" s="5"/>
      <c r="K555" s="4" t="str">
        <f t="shared" si="550"/>
        <v>Moto G15 c/aro  = R$ 85,00</v>
      </c>
      <c r="M555" s="4" t="str">
        <f t="shared" si="551"/>
        <v>Moto G15 c/aro  = R$ 90,00</v>
      </c>
      <c r="O555" s="4" t="str">
        <f t="shared" si="552"/>
        <v>Moto G15 c/aro  = R$ 80,00</v>
      </c>
      <c r="Q555" s="4" t="str">
        <f t="shared" si="553"/>
        <v>Moto G15 c/aro  = R$ 95,00</v>
      </c>
    </row>
    <row r="556" spans="1:17" ht="15.75" customHeight="1" x14ac:dyDescent="0.3">
      <c r="A556" t="s">
        <v>2993</v>
      </c>
      <c r="B556">
        <f>I227</f>
        <v>170</v>
      </c>
      <c r="E556" s="85" t="s">
        <v>6945</v>
      </c>
      <c r="F556" s="16">
        <v>85</v>
      </c>
      <c r="G556" s="12"/>
      <c r="H556" s="4" t="s">
        <v>12056</v>
      </c>
      <c r="I556" s="5">
        <f>F466</f>
        <v>95</v>
      </c>
      <c r="J556" s="5"/>
      <c r="K556" s="4" t="str">
        <f t="shared" si="550"/>
        <v>Moto G15 c/aro Nacional= 95,00</v>
      </c>
      <c r="M556" s="4" t="str">
        <f t="shared" si="551"/>
        <v>Moto G15 c/aro Nacional= 100,00</v>
      </c>
      <c r="O556" s="4" t="str">
        <f t="shared" si="552"/>
        <v>Moto G15 c/aro Nacional= 90,00</v>
      </c>
      <c r="Q556" s="4" t="str">
        <f t="shared" si="553"/>
        <v>Moto G15 c/aro Nacional= 105,00</v>
      </c>
    </row>
    <row r="557" spans="1:17" ht="15.75" customHeight="1" x14ac:dyDescent="0.3">
      <c r="A557" t="s">
        <v>2994</v>
      </c>
      <c r="B557">
        <f>I227</f>
        <v>170</v>
      </c>
      <c r="E557" s="85" t="s">
        <v>12485</v>
      </c>
      <c r="F557" s="16">
        <v>100</v>
      </c>
      <c r="G557" s="12"/>
      <c r="H557" s="4" t="s">
        <v>12057</v>
      </c>
      <c r="I557" s="5">
        <f>F467</f>
        <v>105</v>
      </c>
      <c r="J557" s="5"/>
      <c r="K557" s="4" t="str">
        <f t="shared" si="550"/>
        <v>Moto G15 c/aro Nac Diamonds = 105,00</v>
      </c>
      <c r="M557" s="4" t="str">
        <f t="shared" si="551"/>
        <v>Moto G15 c/aro Nac Diamonds = 110,00</v>
      </c>
      <c r="O557" s="4" t="str">
        <f t="shared" si="552"/>
        <v>Moto G15 c/aro Nac Diamonds = 100,00</v>
      </c>
      <c r="Q557" s="4" t="str">
        <f t="shared" si="553"/>
        <v>Moto G15 c/aro Nac Diamonds = 115,00</v>
      </c>
    </row>
    <row r="558" spans="1:17" ht="15.75" customHeight="1" x14ac:dyDescent="0.3">
      <c r="A558" t="s">
        <v>2995</v>
      </c>
      <c r="B558">
        <f>I227</f>
        <v>170</v>
      </c>
      <c r="E558" s="85" t="s">
        <v>12486</v>
      </c>
      <c r="F558" s="16">
        <v>130</v>
      </c>
      <c r="G558" s="12"/>
      <c r="H558" s="4" t="s">
        <v>517</v>
      </c>
      <c r="I558" s="5">
        <f>F523</f>
        <v>60</v>
      </c>
      <c r="J558" s="5"/>
      <c r="K558" s="4" t="str">
        <f t="shared" si="532"/>
        <v>Moto G20       = R$ 60,00</v>
      </c>
      <c r="M558" s="4" t="str">
        <f t="shared" si="528"/>
        <v>Moto G20       = R$ 65,00</v>
      </c>
      <c r="O558" s="4" t="str">
        <f t="shared" si="472"/>
        <v>Moto G20       = R$ 55,00</v>
      </c>
      <c r="Q558" s="4" t="str">
        <f t="shared" si="473"/>
        <v>Moto G20       = R$ 70,00</v>
      </c>
    </row>
    <row r="559" spans="1:17" ht="15.75" customHeight="1" x14ac:dyDescent="0.3">
      <c r="A559" s="71" t="s">
        <v>12517</v>
      </c>
      <c r="B559">
        <f>I229</f>
        <v>270</v>
      </c>
      <c r="E559" s="85" t="s">
        <v>13232</v>
      </c>
      <c r="F559" s="16">
        <v>80</v>
      </c>
      <c r="G559" s="12"/>
      <c r="H559" s="4" t="s">
        <v>519</v>
      </c>
      <c r="I559" s="5">
        <f>F524</f>
        <v>65</v>
      </c>
      <c r="J559" s="5"/>
      <c r="K559" s="4" t="str">
        <f t="shared" si="532"/>
        <v>Moto G20 c/aro           = R$ 65,00</v>
      </c>
      <c r="M559" s="4" t="str">
        <f t="shared" si="528"/>
        <v>Moto G20 c/aro           = R$ 70,00</v>
      </c>
      <c r="O559" s="4" t="str">
        <f t="shared" si="472"/>
        <v>Moto G20 c/aro           = R$ 60,00</v>
      </c>
      <c r="Q559" s="4" t="str">
        <f t="shared" si="473"/>
        <v>Moto G20 c/aro           = R$ 75,00</v>
      </c>
    </row>
    <row r="560" spans="1:17" ht="15.75" customHeight="1" x14ac:dyDescent="0.3">
      <c r="A560" s="71" t="s">
        <v>12518</v>
      </c>
      <c r="B560">
        <f>I229</f>
        <v>270</v>
      </c>
      <c r="E560" s="85" t="s">
        <v>13233</v>
      </c>
      <c r="F560" s="16">
        <v>165</v>
      </c>
      <c r="G560" s="12"/>
      <c r="H560" s="4" t="s">
        <v>521</v>
      </c>
      <c r="I560" s="5">
        <f>F525</f>
        <v>80</v>
      </c>
      <c r="J560" s="5"/>
      <c r="K560" s="4" t="str">
        <f t="shared" ref="K560" si="554">CONCATENATE(H560,I560,",00")</f>
        <v>Moto G20 c/aro Nacional= 80,00</v>
      </c>
      <c r="M560" s="4" t="str">
        <f t="shared" ref="M560" si="555">CONCATENATE(H560,I560+5,",00")</f>
        <v>Moto G20 c/aro Nacional= 85,00</v>
      </c>
      <c r="O560" s="4" t="str">
        <f t="shared" ref="O560" si="556">CONCATENATE(H560,I560-5,",00")</f>
        <v>Moto G20 c/aro Nacional= 75,00</v>
      </c>
      <c r="Q560" s="4" t="str">
        <f t="shared" ref="Q560" si="557">CONCATENATE(H560,I560+10,",00")</f>
        <v>Moto G20 c/aro Nacional= 90,00</v>
      </c>
    </row>
    <row r="561" spans="1:17" ht="15.75" customHeight="1" x14ac:dyDescent="0.3">
      <c r="A561" t="s">
        <v>2304</v>
      </c>
      <c r="B561">
        <f>I230</f>
        <v>120</v>
      </c>
      <c r="E561" s="85" t="s">
        <v>13226</v>
      </c>
      <c r="F561" s="16">
        <v>185</v>
      </c>
      <c r="G561" s="12"/>
      <c r="H561" s="4" t="s">
        <v>11708</v>
      </c>
      <c r="I561" s="5">
        <f>F526</f>
        <v>90</v>
      </c>
      <c r="J561" s="5"/>
      <c r="K561" s="4" t="str">
        <f t="shared" si="532"/>
        <v>Moto G20 c/aro Nac Diamonds = 90,00</v>
      </c>
      <c r="M561" s="4" t="str">
        <f t="shared" si="528"/>
        <v>Moto G20 c/aro Nac Diamonds = 95,00</v>
      </c>
      <c r="O561" s="4" t="str">
        <f t="shared" si="472"/>
        <v>Moto G20 c/aro Nac Diamonds = 85,00</v>
      </c>
      <c r="Q561" s="4" t="str">
        <f t="shared" si="473"/>
        <v>Moto G20 c/aro Nac Diamonds = 100,00</v>
      </c>
    </row>
    <row r="562" spans="1:17" ht="15.75" customHeight="1" x14ac:dyDescent="0.3">
      <c r="A562" t="s">
        <v>2996</v>
      </c>
      <c r="B562">
        <f>I232</f>
        <v>195</v>
      </c>
      <c r="E562" s="85" t="s">
        <v>11721</v>
      </c>
      <c r="F562" s="6">
        <v>195</v>
      </c>
      <c r="G562" s="12"/>
      <c r="H562" s="4" t="s">
        <v>522</v>
      </c>
      <c r="I562" s="5">
        <f>F535</f>
        <v>65</v>
      </c>
      <c r="J562" s="5"/>
      <c r="K562" s="4" t="str">
        <f t="shared" si="532"/>
        <v>Moto G22       = R$ 65,00</v>
      </c>
      <c r="M562" s="4" t="str">
        <f t="shared" si="528"/>
        <v>Moto G22       = R$ 70,00</v>
      </c>
      <c r="O562" s="4" t="str">
        <f t="shared" si="472"/>
        <v>Moto G22       = R$ 60,00</v>
      </c>
      <c r="Q562" s="4" t="str">
        <f t="shared" si="473"/>
        <v>Moto G22       = R$ 75,00</v>
      </c>
    </row>
    <row r="563" spans="1:17" ht="15.75" customHeight="1" x14ac:dyDescent="0.3">
      <c r="A563" t="s">
        <v>2997</v>
      </c>
      <c r="B563">
        <f>I232</f>
        <v>195</v>
      </c>
      <c r="E563" s="85" t="s">
        <v>538</v>
      </c>
      <c r="F563" s="6">
        <v>65</v>
      </c>
      <c r="G563" s="12"/>
      <c r="H563" s="4" t="s">
        <v>524</v>
      </c>
      <c r="I563" s="5">
        <f>F536</f>
        <v>75</v>
      </c>
      <c r="J563" s="5"/>
      <c r="K563" s="4" t="str">
        <f t="shared" si="532"/>
        <v>Moto G22 c/aro         = R$ 75,00</v>
      </c>
      <c r="M563" s="4" t="str">
        <f t="shared" si="528"/>
        <v>Moto G22 c/aro         = R$ 80,00</v>
      </c>
      <c r="O563" s="4" t="str">
        <f t="shared" si="472"/>
        <v>Moto G22 c/aro         = R$ 70,00</v>
      </c>
      <c r="Q563" s="4" t="str">
        <f t="shared" si="473"/>
        <v>Moto G22 c/aro         = R$ 85,00</v>
      </c>
    </row>
    <row r="564" spans="1:17" ht="15.75" customHeight="1" x14ac:dyDescent="0.3">
      <c r="A564" t="s">
        <v>2998</v>
      </c>
      <c r="B564">
        <f>I232</f>
        <v>195</v>
      </c>
      <c r="E564" s="85" t="s">
        <v>540</v>
      </c>
      <c r="F564" s="6">
        <v>80</v>
      </c>
      <c r="G564" s="12"/>
      <c r="H564" s="4" t="s">
        <v>525</v>
      </c>
      <c r="I564" s="5">
        <f>F537</f>
        <v>80</v>
      </c>
      <c r="J564" s="5"/>
      <c r="K564" s="4" t="str">
        <f t="shared" ref="K564" si="558">CONCATENATE(H564,I564,",00")</f>
        <v>Moto G22 c/aro Nacional= 80,00</v>
      </c>
      <c r="M564" s="4" t="str">
        <f t="shared" ref="M564" si="559">CONCATENATE(H564,I564+5,",00")</f>
        <v>Moto G22 c/aro Nacional= 85,00</v>
      </c>
      <c r="O564" s="4" t="str">
        <f t="shared" ref="O564" si="560">CONCATENATE(H564,I564-5,",00")</f>
        <v>Moto G22 c/aro Nacional= 75,00</v>
      </c>
      <c r="Q564" s="4" t="str">
        <f t="shared" ref="Q564" si="561">CONCATENATE(H564,I564+10,",00")</f>
        <v>Moto G22 c/aro Nacional= 90,00</v>
      </c>
    </row>
    <row r="565" spans="1:17" ht="15.75" customHeight="1" x14ac:dyDescent="0.3">
      <c r="A565" t="s">
        <v>2999</v>
      </c>
      <c r="B565">
        <f>I231</f>
        <v>160</v>
      </c>
      <c r="E565" s="85" t="s">
        <v>542</v>
      </c>
      <c r="F565" s="6">
        <v>160</v>
      </c>
      <c r="G565" s="12"/>
      <c r="H565" s="4" t="s">
        <v>11710</v>
      </c>
      <c r="I565" s="5">
        <f>F538</f>
        <v>90</v>
      </c>
      <c r="J565" s="5"/>
      <c r="K565" s="4" t="str">
        <f t="shared" si="532"/>
        <v>Moto G22 c/aro Nac Diamonds = 90,00</v>
      </c>
      <c r="M565" s="4" t="str">
        <f t="shared" si="528"/>
        <v>Moto G22 c/aro Nac Diamonds = 95,00</v>
      </c>
      <c r="O565" s="4" t="str">
        <f t="shared" si="472"/>
        <v>Moto G22 c/aro Nac Diamonds = 85,00</v>
      </c>
      <c r="Q565" s="4" t="str">
        <f t="shared" si="473"/>
        <v>Moto G22 c/aro Nac Diamonds = 100,00</v>
      </c>
    </row>
    <row r="566" spans="1:17" ht="15.75" customHeight="1" x14ac:dyDescent="0.3">
      <c r="A566" t="s">
        <v>3000</v>
      </c>
      <c r="B566">
        <f>I231</f>
        <v>160</v>
      </c>
      <c r="E566" s="85" t="s">
        <v>543</v>
      </c>
      <c r="F566" s="6">
        <v>165</v>
      </c>
      <c r="G566" s="12"/>
      <c r="H566" s="4" t="s">
        <v>527</v>
      </c>
      <c r="I566" s="5">
        <f>F527</f>
        <v>65</v>
      </c>
      <c r="J566" s="5"/>
      <c r="K566" s="4" t="str">
        <f t="shared" si="532"/>
        <v>Moto G23   = R$ 65,00</v>
      </c>
      <c r="M566" s="4" t="str">
        <f t="shared" si="528"/>
        <v>Moto G23   = R$ 70,00</v>
      </c>
      <c r="O566" s="4" t="str">
        <f t="shared" si="472"/>
        <v>Moto G23   = R$ 60,00</v>
      </c>
      <c r="Q566" s="4" t="str">
        <f t="shared" si="473"/>
        <v>Moto G23   = R$ 75,00</v>
      </c>
    </row>
    <row r="567" spans="1:17" ht="15.75" customHeight="1" x14ac:dyDescent="0.3">
      <c r="A567" t="s">
        <v>3001</v>
      </c>
      <c r="B567">
        <f>I231</f>
        <v>160</v>
      </c>
      <c r="E567" s="85" t="s">
        <v>11723</v>
      </c>
      <c r="F567" s="6">
        <v>190</v>
      </c>
      <c r="G567" s="12"/>
      <c r="H567" s="4" t="s">
        <v>528</v>
      </c>
      <c r="I567" s="5">
        <f>F528</f>
        <v>80</v>
      </c>
      <c r="J567" s="5"/>
      <c r="K567" s="4" t="str">
        <f t="shared" si="532"/>
        <v>Moto G23 c/aro     = R$ 80,00</v>
      </c>
      <c r="M567" s="4" t="str">
        <f t="shared" si="528"/>
        <v>Moto G23 c/aro     = R$ 85,00</v>
      </c>
      <c r="O567" s="4" t="str">
        <f t="shared" si="472"/>
        <v>Moto G23 c/aro     = R$ 75,00</v>
      </c>
      <c r="Q567" s="4" t="str">
        <f t="shared" si="473"/>
        <v>Moto G23 c/aro     = R$ 90,00</v>
      </c>
    </row>
    <row r="568" spans="1:17" ht="15.75" customHeight="1" x14ac:dyDescent="0.3">
      <c r="A568" s="83" t="s">
        <v>13092</v>
      </c>
      <c r="B568">
        <f>I233</f>
        <v>220</v>
      </c>
      <c r="E568" s="85" t="s">
        <v>11724</v>
      </c>
      <c r="F568" s="6">
        <v>200</v>
      </c>
      <c r="G568" s="12"/>
      <c r="H568" s="4" t="s">
        <v>979</v>
      </c>
      <c r="I568" s="5">
        <f>F529</f>
        <v>90</v>
      </c>
      <c r="J568" s="5"/>
      <c r="K568" s="4" t="str">
        <f t="shared" si="532"/>
        <v>Moto G23 c/aro Nacional= 90,00</v>
      </c>
      <c r="M568" s="4" t="str">
        <f t="shared" si="528"/>
        <v>Moto G23 c/aro Nacional= 95,00</v>
      </c>
      <c r="O568" s="4" t="str">
        <f t="shared" si="472"/>
        <v>Moto G23 c/aro Nacional= 85,00</v>
      </c>
      <c r="Q568" s="4" t="str">
        <f t="shared" si="473"/>
        <v>Moto G23 c/aro Nacional= 100,00</v>
      </c>
    </row>
    <row r="569" spans="1:17" ht="15.75" customHeight="1" x14ac:dyDescent="0.3">
      <c r="A569" s="83" t="s">
        <v>13093</v>
      </c>
      <c r="B569">
        <f>I233</f>
        <v>220</v>
      </c>
      <c r="E569" s="85" t="s">
        <v>546</v>
      </c>
      <c r="F569" s="6">
        <v>75</v>
      </c>
      <c r="G569" s="12"/>
      <c r="H569" s="4" t="s">
        <v>12564</v>
      </c>
      <c r="I569" s="5">
        <f>F530</f>
        <v>100</v>
      </c>
      <c r="J569" s="5"/>
      <c r="K569" s="4" t="str">
        <f t="shared" ref="K569" si="562">CONCATENATE(H569,I569,",00")</f>
        <v>Moto G23 c/aro Nac Diamonds = 100,00</v>
      </c>
      <c r="M569" s="4" t="str">
        <f t="shared" ref="M569" si="563">CONCATENATE(H569,I569+5,",00")</f>
        <v>Moto G23 c/aro Nac Diamonds = 105,00</v>
      </c>
      <c r="O569" s="4" t="str">
        <f t="shared" ref="O569" si="564">CONCATENATE(H569,I569-5,",00")</f>
        <v>Moto G23 c/aro Nac Diamonds = 95,00</v>
      </c>
      <c r="Q569" s="4" t="str">
        <f t="shared" ref="Q569" si="565">CONCATENATE(H569,I569+10,",00")</f>
        <v>Moto G23 c/aro Nac Diamonds = 110,00</v>
      </c>
    </row>
    <row r="570" spans="1:17" ht="15.75" customHeight="1" x14ac:dyDescent="0.3">
      <c r="A570" s="20" t="s">
        <v>2051</v>
      </c>
      <c r="B570">
        <f>I236</f>
        <v>170</v>
      </c>
      <c r="E570" s="85" t="s">
        <v>548</v>
      </c>
      <c r="F570" s="6">
        <v>90</v>
      </c>
      <c r="G570" s="12"/>
      <c r="H570" s="4" t="s">
        <v>10944</v>
      </c>
      <c r="I570" s="5">
        <f>F459</f>
        <v>65</v>
      </c>
      <c r="J570" s="5"/>
      <c r="K570" s="4" t="str">
        <f t="shared" si="532"/>
        <v>Moto G24/G24 Power   = R$ 65,00</v>
      </c>
      <c r="M570" s="4" t="str">
        <f t="shared" si="528"/>
        <v>Moto G24/G24 Power   = R$ 70,00</v>
      </c>
      <c r="O570" s="4" t="str">
        <f t="shared" si="472"/>
        <v>Moto G24/G24 Power   = R$ 60,00</v>
      </c>
      <c r="Q570" s="4" t="str">
        <f t="shared" si="473"/>
        <v>Moto G24/G24 Power   = R$ 75,00</v>
      </c>
    </row>
    <row r="571" spans="1:17" ht="15" customHeight="1" x14ac:dyDescent="0.3">
      <c r="A571" s="20" t="s">
        <v>2937</v>
      </c>
      <c r="B571">
        <f>I236</f>
        <v>170</v>
      </c>
      <c r="E571" s="85" t="s">
        <v>550</v>
      </c>
      <c r="F571" s="6">
        <v>65</v>
      </c>
      <c r="G571" s="12"/>
      <c r="H571" s="4" t="s">
        <v>10945</v>
      </c>
      <c r="I571" s="5">
        <f t="shared" ref="I571:J583" si="566">F539</f>
        <v>80</v>
      </c>
      <c r="J571" s="5"/>
      <c r="K571" s="4" t="str">
        <f t="shared" si="532"/>
        <v>Moto G24/G24 Power c/aro = 80,00</v>
      </c>
      <c r="M571" s="4" t="str">
        <f t="shared" si="528"/>
        <v>Moto G24/G24 Power c/aro = 85,00</v>
      </c>
      <c r="O571" s="4" t="str">
        <f t="shared" si="472"/>
        <v>Moto G24/G24 Power c/aro = 75,00</v>
      </c>
      <c r="Q571" s="4" t="str">
        <f t="shared" si="473"/>
        <v>Moto G24/G24 Power c/aro = 90,00</v>
      </c>
    </row>
    <row r="572" spans="1:17" ht="15" customHeight="1" x14ac:dyDescent="0.3">
      <c r="A572" s="20" t="s">
        <v>2921</v>
      </c>
      <c r="B572">
        <f>I236</f>
        <v>170</v>
      </c>
      <c r="E572" s="85" t="s">
        <v>552</v>
      </c>
      <c r="F572" s="6">
        <v>80</v>
      </c>
      <c r="G572" s="12"/>
      <c r="H572" s="4" t="s">
        <v>12087</v>
      </c>
      <c r="I572" s="5">
        <f t="shared" si="566"/>
        <v>90</v>
      </c>
      <c r="J572" s="5"/>
      <c r="K572" s="4" t="str">
        <f t="shared" ref="K572:K573" si="567">CONCATENATE(H572,I572,",00")</f>
        <v>G24/G24 Power c/aro Nacional= 90,00</v>
      </c>
      <c r="M572" s="4" t="str">
        <f t="shared" ref="M572:M573" si="568">CONCATENATE(H572,I572+5,",00")</f>
        <v>G24/G24 Power c/aro Nacional= 95,00</v>
      </c>
      <c r="O572" s="4" t="str">
        <f t="shared" ref="O572:O573" si="569">CONCATENATE(H572,I572-5,",00")</f>
        <v>G24/G24 Power c/aro Nacional= 85,00</v>
      </c>
      <c r="Q572" s="4" t="str">
        <f t="shared" ref="Q572:Q573" si="570">CONCATENATE(H572,I572+10,",00")</f>
        <v>G24/G24 Power c/aro Nacional= 100,00</v>
      </c>
    </row>
    <row r="573" spans="1:17" ht="15" customHeight="1" x14ac:dyDescent="0.3">
      <c r="A573" s="20" t="s">
        <v>2922</v>
      </c>
      <c r="B573">
        <f>I236</f>
        <v>170</v>
      </c>
      <c r="E573" s="85" t="s">
        <v>554</v>
      </c>
      <c r="F573" s="6">
        <v>70</v>
      </c>
      <c r="G573" s="12"/>
      <c r="H573" s="4" t="s">
        <v>12086</v>
      </c>
      <c r="I573" s="5">
        <f t="shared" si="566"/>
        <v>100</v>
      </c>
      <c r="J573" s="5"/>
      <c r="K573" s="4" t="str">
        <f t="shared" si="567"/>
        <v>G24/G24 Power c/aro Nac Diamonds=100,00</v>
      </c>
      <c r="M573" s="4" t="str">
        <f t="shared" si="568"/>
        <v>G24/G24 Power c/aro Nac Diamonds=105,00</v>
      </c>
      <c r="O573" s="4" t="str">
        <f t="shared" si="569"/>
        <v>G24/G24 Power c/aro Nac Diamonds=95,00</v>
      </c>
      <c r="Q573" s="4" t="str">
        <f t="shared" si="570"/>
        <v>G24/G24 Power c/aro Nac Diamonds=110,00</v>
      </c>
    </row>
    <row r="574" spans="1:17" ht="15" customHeight="1" x14ac:dyDescent="0.3">
      <c r="A574" s="20" t="s">
        <v>2923</v>
      </c>
      <c r="B574">
        <f>I241</f>
        <v>95</v>
      </c>
      <c r="E574" s="85" t="s">
        <v>556</v>
      </c>
      <c r="F574" s="6">
        <v>85</v>
      </c>
      <c r="G574" s="12"/>
      <c r="H574" s="4" t="s">
        <v>530</v>
      </c>
      <c r="I574" s="5">
        <f t="shared" si="566"/>
        <v>65</v>
      </c>
      <c r="J574" s="5"/>
      <c r="K574" s="4" t="str">
        <f t="shared" si="532"/>
        <v>Moto G31 incell          = R$ 65,00</v>
      </c>
      <c r="M574" s="4" t="str">
        <f t="shared" si="528"/>
        <v>Moto G31 incell          = R$ 70,00</v>
      </c>
      <c r="O574" s="4" t="str">
        <f t="shared" si="472"/>
        <v>Moto G31 incell          = R$ 60,00</v>
      </c>
      <c r="Q574" s="4" t="str">
        <f t="shared" si="473"/>
        <v>Moto G31 incell          = R$ 75,00</v>
      </c>
    </row>
    <row r="575" spans="1:17" ht="15" customHeight="1" x14ac:dyDescent="0.3">
      <c r="A575" s="28" t="s">
        <v>2946</v>
      </c>
      <c r="B575">
        <f>I241</f>
        <v>95</v>
      </c>
      <c r="E575" s="85" t="s">
        <v>558</v>
      </c>
      <c r="F575" s="6">
        <v>100</v>
      </c>
      <c r="G575" s="12"/>
      <c r="H575" s="4" t="s">
        <v>531</v>
      </c>
      <c r="I575" s="5">
        <f t="shared" si="566"/>
        <v>80</v>
      </c>
      <c r="J575" s="5"/>
      <c r="K575" s="4" t="str">
        <f t="shared" si="532"/>
        <v>Moto G31 incell c/aro = R$ 80,00</v>
      </c>
      <c r="M575" s="4" t="str">
        <f t="shared" si="528"/>
        <v>Moto G31 incell c/aro = R$ 85,00</v>
      </c>
      <c r="O575" s="4" t="str">
        <f t="shared" si="472"/>
        <v>Moto G31 incell c/aro = R$ 75,00</v>
      </c>
      <c r="Q575" s="4" t="str">
        <f t="shared" si="473"/>
        <v>Moto G31 incell c/aro = R$ 90,00</v>
      </c>
    </row>
    <row r="576" spans="1:17" ht="15" customHeight="1" x14ac:dyDescent="0.3">
      <c r="A576" s="20" t="s">
        <v>2924</v>
      </c>
      <c r="B576">
        <f>I241</f>
        <v>95</v>
      </c>
      <c r="E576" s="85" t="s">
        <v>11726</v>
      </c>
      <c r="F576" s="6">
        <v>110</v>
      </c>
      <c r="G576" s="12"/>
      <c r="H576" s="4" t="s">
        <v>533</v>
      </c>
      <c r="I576" s="5">
        <f t="shared" si="566"/>
        <v>155</v>
      </c>
      <c r="J576" s="5"/>
      <c r="K576" s="4" t="str">
        <f t="shared" si="532"/>
        <v>Moto G31 original    = R$ 155,00</v>
      </c>
      <c r="M576" s="4" t="str">
        <f t="shared" si="528"/>
        <v>Moto G31 original    = R$ 160,00</v>
      </c>
      <c r="O576" s="4" t="str">
        <f t="shared" si="472"/>
        <v>Moto G31 original    = R$ 150,00</v>
      </c>
      <c r="Q576" s="4" t="str">
        <f t="shared" si="473"/>
        <v>Moto G31 original    = R$ 165,00</v>
      </c>
    </row>
    <row r="577" spans="1:17" ht="15" customHeight="1" x14ac:dyDescent="0.3">
      <c r="A577" s="28" t="s">
        <v>2947</v>
      </c>
      <c r="B577">
        <f>I241</f>
        <v>95</v>
      </c>
      <c r="E577" s="85" t="s">
        <v>560</v>
      </c>
      <c r="F577" s="6">
        <v>85</v>
      </c>
      <c r="G577" s="12"/>
      <c r="H577" s="4" t="s">
        <v>534</v>
      </c>
      <c r="I577" s="5">
        <f t="shared" si="566"/>
        <v>165</v>
      </c>
      <c r="J577" s="5"/>
      <c r="K577" s="4" t="str">
        <f t="shared" si="532"/>
        <v>Moto G31 orig c/aro = R$ 165,00</v>
      </c>
      <c r="M577" s="4" t="str">
        <f t="shared" si="528"/>
        <v>Moto G31 orig c/aro = R$ 170,00</v>
      </c>
      <c r="O577" s="4" t="str">
        <f t="shared" si="472"/>
        <v>Moto G31 orig c/aro = R$ 160,00</v>
      </c>
      <c r="Q577" s="4" t="str">
        <f t="shared" si="473"/>
        <v>Moto G31 orig c/aro = R$ 175,00</v>
      </c>
    </row>
    <row r="578" spans="1:17" ht="15" customHeight="1" x14ac:dyDescent="0.3">
      <c r="A578" s="20" t="s">
        <v>2925</v>
      </c>
      <c r="B578">
        <f>I242</f>
        <v>130</v>
      </c>
      <c r="E578" s="85" t="s">
        <v>562</v>
      </c>
      <c r="F578" s="6">
        <v>95</v>
      </c>
      <c r="G578" s="12"/>
      <c r="H578" s="4" t="s">
        <v>535</v>
      </c>
      <c r="I578" s="5">
        <f t="shared" si="566"/>
        <v>185</v>
      </c>
      <c r="J578" s="5"/>
      <c r="K578" s="4" t="str">
        <f t="shared" ref="K578" si="571">CONCATENATE(H578,I578,",00")</f>
        <v>Moto G31 c/aro Nacional= 185,00</v>
      </c>
      <c r="M578" s="4" t="str">
        <f t="shared" ref="M578" si="572">CONCATENATE(H578,I578+5,",00")</f>
        <v>Moto G31 c/aro Nacional= 190,00</v>
      </c>
      <c r="O578" s="4" t="str">
        <f t="shared" ref="O578" si="573">CONCATENATE(H578,I578-5,",00")</f>
        <v>Moto G31 c/aro Nacional= 180,00</v>
      </c>
      <c r="Q578" s="4" t="str">
        <f t="shared" ref="Q578" si="574">CONCATENATE(H578,I578+10,",00")</f>
        <v>Moto G31 c/aro Nacional= 195,00</v>
      </c>
    </row>
    <row r="579" spans="1:17" ht="15" customHeight="1" x14ac:dyDescent="0.3">
      <c r="A579" s="20" t="s">
        <v>2938</v>
      </c>
      <c r="B579">
        <f>I242</f>
        <v>130</v>
      </c>
      <c r="E579" s="85" t="s">
        <v>11727</v>
      </c>
      <c r="F579" s="6">
        <v>105</v>
      </c>
      <c r="G579" s="12"/>
      <c r="H579" s="4" t="s">
        <v>11712</v>
      </c>
      <c r="I579" s="5">
        <f t="shared" si="566"/>
        <v>195</v>
      </c>
      <c r="J579" s="5"/>
      <c r="K579" s="4" t="str">
        <f t="shared" si="532"/>
        <v>Moto G31 c/aro Nac Diamonds = 195,00</v>
      </c>
      <c r="M579" s="4" t="str">
        <f t="shared" si="528"/>
        <v>Moto G31 c/aro Nac Diamonds = 200,00</v>
      </c>
      <c r="O579" s="4" t="str">
        <f t="shared" si="472"/>
        <v>Moto G31 c/aro Nac Diamonds = 190,00</v>
      </c>
      <c r="Q579" s="4" t="str">
        <f t="shared" si="473"/>
        <v>Moto G31 c/aro Nac Diamonds = 205,00</v>
      </c>
    </row>
    <row r="580" spans="1:17" ht="15" customHeight="1" x14ac:dyDescent="0.3">
      <c r="A580" s="20" t="s">
        <v>2936</v>
      </c>
      <c r="B580">
        <f>I242</f>
        <v>130</v>
      </c>
      <c r="E580" s="85" t="s">
        <v>10590</v>
      </c>
      <c r="F580" s="6">
        <v>75</v>
      </c>
      <c r="G580" s="12"/>
      <c r="H580" s="4" t="s">
        <v>536</v>
      </c>
      <c r="I580" s="5">
        <f t="shared" si="566"/>
        <v>75</v>
      </c>
      <c r="J580" s="5"/>
      <c r="K580" s="4" t="str">
        <f t="shared" si="532"/>
        <v>Moto G32     = R$ 75,00</v>
      </c>
      <c r="M580" s="4" t="str">
        <f t="shared" si="528"/>
        <v>Moto G32     = R$ 80,00</v>
      </c>
      <c r="O580" s="4" t="str">
        <f t="shared" si="472"/>
        <v>Moto G32     = R$ 70,00</v>
      </c>
      <c r="Q580" s="4" t="str">
        <f t="shared" si="473"/>
        <v>Moto G32     = R$ 85,00</v>
      </c>
    </row>
    <row r="581" spans="1:17" ht="15" customHeight="1" x14ac:dyDescent="0.3">
      <c r="A581" s="20" t="s">
        <v>2939</v>
      </c>
      <c r="B581">
        <f>I242</f>
        <v>130</v>
      </c>
      <c r="E581" s="85" t="s">
        <v>565</v>
      </c>
      <c r="F581" s="6">
        <v>85</v>
      </c>
      <c r="G581" s="12"/>
      <c r="H581" s="4" t="s">
        <v>537</v>
      </c>
      <c r="I581" s="5">
        <f t="shared" si="566"/>
        <v>85</v>
      </c>
      <c r="J581" s="5"/>
      <c r="K581" s="4" t="str">
        <f t="shared" si="532"/>
        <v>Moto G32 c/aro           = R$ 85,00</v>
      </c>
      <c r="M581" s="4" t="str">
        <f t="shared" si="528"/>
        <v>Moto G32 c/aro           = R$ 90,00</v>
      </c>
      <c r="O581" s="4" t="str">
        <f t="shared" si="472"/>
        <v>Moto G32 c/aro           = R$ 80,00</v>
      </c>
      <c r="Q581" s="4" t="str">
        <f t="shared" si="473"/>
        <v>Moto G32 c/aro           = R$ 95,00</v>
      </c>
    </row>
    <row r="582" spans="1:17" ht="15" customHeight="1" x14ac:dyDescent="0.3">
      <c r="A582" s="20" t="s">
        <v>2926</v>
      </c>
      <c r="B582">
        <f>I242</f>
        <v>130</v>
      </c>
      <c r="E582" s="85" t="s">
        <v>10591</v>
      </c>
      <c r="F582" s="6">
        <v>180</v>
      </c>
      <c r="G582" s="12"/>
      <c r="H582" s="4" t="s">
        <v>11716</v>
      </c>
      <c r="I582" s="5">
        <f t="shared" si="566"/>
        <v>95</v>
      </c>
      <c r="J582" s="5"/>
      <c r="K582" s="4" t="str">
        <f t="shared" si="532"/>
        <v>Moto G32 c/aro Nacional = 95,00</v>
      </c>
      <c r="M582" s="4" t="str">
        <f t="shared" si="528"/>
        <v>Moto G32 c/aro Nacional = 100,00</v>
      </c>
      <c r="O582" s="4" t="str">
        <f t="shared" si="472"/>
        <v>Moto G32 c/aro Nacional = 90,00</v>
      </c>
      <c r="Q582" s="4" t="str">
        <f t="shared" si="473"/>
        <v>Moto G32 c/aro Nacional = 105,00</v>
      </c>
    </row>
    <row r="583" spans="1:17" ht="15" customHeight="1" x14ac:dyDescent="0.3">
      <c r="A583" s="20" t="s">
        <v>2940</v>
      </c>
      <c r="B583">
        <f>I242</f>
        <v>130</v>
      </c>
      <c r="E583" s="85" t="s">
        <v>568</v>
      </c>
      <c r="F583" s="6">
        <v>205</v>
      </c>
      <c r="G583" s="12"/>
      <c r="H583" s="4" t="s">
        <v>11715</v>
      </c>
      <c r="I583" s="5">
        <f t="shared" si="566"/>
        <v>105</v>
      </c>
      <c r="J583" s="5"/>
      <c r="K583" s="4" t="str">
        <f t="shared" ref="K583" si="575">CONCATENATE(H583,I583,",00")</f>
        <v>Moto G32 c/aro Nac Diamonds = 105,00</v>
      </c>
      <c r="M583" s="4" t="str">
        <f t="shared" ref="M583" si="576">CONCATENATE(H583,I583+5,",00")</f>
        <v>Moto G32 c/aro Nac Diamonds = 110,00</v>
      </c>
      <c r="O583" s="4" t="str">
        <f t="shared" ref="O583" si="577">CONCATENATE(H583,I583-5,",00")</f>
        <v>Moto G32 c/aro Nac Diamonds = 100,00</v>
      </c>
      <c r="Q583" s="4" t="str">
        <f t="shared" ref="Q583" si="578">CONCATENATE(H583,I583+10,",00")</f>
        <v>Moto G32 c/aro Nac Diamonds = 115,00</v>
      </c>
    </row>
    <row r="584" spans="1:17" ht="15" customHeight="1" x14ac:dyDescent="0.3">
      <c r="A584" s="20" t="s">
        <v>2942</v>
      </c>
      <c r="B584">
        <f>I242</f>
        <v>130</v>
      </c>
      <c r="E584" s="85" t="s">
        <v>11733</v>
      </c>
      <c r="F584" s="6">
        <v>215</v>
      </c>
      <c r="G584" s="12"/>
      <c r="H584" s="4" t="s">
        <v>539</v>
      </c>
      <c r="I584" s="5">
        <f>F527</f>
        <v>65</v>
      </c>
      <c r="J584" s="5"/>
      <c r="K584" s="4" t="str">
        <f t="shared" si="532"/>
        <v>Moto G34    = R$ 65,00</v>
      </c>
      <c r="M584" s="4" t="str">
        <f t="shared" si="528"/>
        <v>Moto G34    = R$ 70,00</v>
      </c>
      <c r="O584" s="4" t="str">
        <f t="shared" si="472"/>
        <v>Moto G34    = R$ 60,00</v>
      </c>
      <c r="Q584" s="4" t="str">
        <f t="shared" si="473"/>
        <v>Moto G34    = R$ 75,00</v>
      </c>
    </row>
    <row r="585" spans="1:17" ht="15" customHeight="1" x14ac:dyDescent="0.3">
      <c r="A585" s="20" t="s">
        <v>2941</v>
      </c>
      <c r="B585">
        <f>I242</f>
        <v>130</v>
      </c>
      <c r="E585" s="85" t="s">
        <v>11732</v>
      </c>
      <c r="F585" s="6">
        <v>225</v>
      </c>
      <c r="G585" s="12"/>
      <c r="H585" s="4" t="s">
        <v>541</v>
      </c>
      <c r="I585" s="5">
        <f t="shared" ref="I585:J591" si="579">F552</f>
        <v>80</v>
      </c>
      <c r="J585" s="5"/>
      <c r="K585" s="4" t="str">
        <f t="shared" si="532"/>
        <v>Moto G34 c/aro           = R$ 80,00</v>
      </c>
      <c r="M585" s="4" t="str">
        <f t="shared" si="528"/>
        <v>Moto G34 c/aro           = R$ 85,00</v>
      </c>
      <c r="O585" s="4" t="str">
        <f t="shared" si="472"/>
        <v>Moto G34 c/aro           = R$ 75,00</v>
      </c>
      <c r="Q585" s="4" t="str">
        <f t="shared" si="473"/>
        <v>Moto G34 c/aro           = R$ 90,00</v>
      </c>
    </row>
    <row r="586" spans="1:17" ht="15" customHeight="1" x14ac:dyDescent="0.3">
      <c r="A586" s="20" t="s">
        <v>2943</v>
      </c>
      <c r="B586">
        <f>I243</f>
        <v>95</v>
      </c>
      <c r="E586" s="85" t="s">
        <v>572</v>
      </c>
      <c r="F586" s="6">
        <v>80</v>
      </c>
      <c r="G586" s="12"/>
      <c r="H586" s="4" t="s">
        <v>11719</v>
      </c>
      <c r="I586" s="5">
        <f t="shared" si="579"/>
        <v>90</v>
      </c>
      <c r="J586" s="5"/>
      <c r="K586" s="4" t="str">
        <f t="shared" ref="K586" si="580">CONCATENATE(H586,I586,",00")</f>
        <v>Moto G34 c/aro Nacional = 90,00</v>
      </c>
      <c r="M586" s="4" t="str">
        <f t="shared" ref="M586" si="581">CONCATENATE(H586,I586+5,",00")</f>
        <v>Moto G34 c/aro Nacional = 95,00</v>
      </c>
      <c r="O586" s="4" t="str">
        <f t="shared" ref="O586" si="582">CONCATENATE(H586,I586-5,",00")</f>
        <v>Moto G34 c/aro Nacional = 85,00</v>
      </c>
      <c r="Q586" s="4" t="str">
        <f t="shared" ref="Q586" si="583">CONCATENATE(H586,I586+10,",00")</f>
        <v>Moto G34 c/aro Nacional = 100,00</v>
      </c>
    </row>
    <row r="587" spans="1:17" ht="15" customHeight="1" x14ac:dyDescent="0.3">
      <c r="A587" s="20" t="s">
        <v>2944</v>
      </c>
      <c r="B587">
        <f>I243</f>
        <v>95</v>
      </c>
      <c r="E587" s="85" t="s">
        <v>574</v>
      </c>
      <c r="F587" s="6">
        <v>90</v>
      </c>
      <c r="G587" s="12"/>
      <c r="H587" s="4" t="s">
        <v>11720</v>
      </c>
      <c r="I587" s="5">
        <f t="shared" si="579"/>
        <v>100</v>
      </c>
      <c r="J587" s="5"/>
      <c r="K587" s="4" t="str">
        <f t="shared" si="532"/>
        <v>Moto G34 c/aro Nac Diamonds = 100,00</v>
      </c>
      <c r="M587" s="4" t="str">
        <f t="shared" si="528"/>
        <v>Moto G34 c/aro Nac Diamonds = 105,00</v>
      </c>
      <c r="O587" s="4" t="str">
        <f t="shared" si="472"/>
        <v>Moto G34 c/aro Nac Diamonds = 95,00</v>
      </c>
      <c r="Q587" s="4" t="str">
        <f t="shared" si="473"/>
        <v>Moto G34 c/aro Nac Diamonds = 110,00</v>
      </c>
    </row>
    <row r="588" spans="1:17" ht="15" customHeight="1" x14ac:dyDescent="0.3">
      <c r="A588" s="29" t="s">
        <v>2927</v>
      </c>
      <c r="B588">
        <f>I243</f>
        <v>95</v>
      </c>
      <c r="E588" s="85" t="s">
        <v>11736</v>
      </c>
      <c r="F588" s="6">
        <v>100</v>
      </c>
      <c r="G588" s="12"/>
      <c r="H588" s="4" t="s">
        <v>6946</v>
      </c>
      <c r="I588" s="5">
        <f t="shared" si="579"/>
        <v>70</v>
      </c>
      <c r="J588" s="5"/>
      <c r="K588" s="4" t="str">
        <f t="shared" ref="K588:K591" si="584">CONCATENATE(H588,I588,",00")</f>
        <v>Moto G35        = R$ 70,00</v>
      </c>
      <c r="M588" s="4" t="str">
        <f t="shared" ref="M588:M591" si="585">CONCATENATE(H588,I588+5,",00")</f>
        <v>Moto G35        = R$ 75,00</v>
      </c>
      <c r="O588" s="4" t="str">
        <f t="shared" ref="O588:O591" si="586">CONCATENATE(H588,I588-5,",00")</f>
        <v>Moto G35        = R$ 65,00</v>
      </c>
      <c r="Q588" s="4" t="str">
        <f t="shared" ref="Q588:Q591" si="587">CONCATENATE(H588,I588+10,",00")</f>
        <v>Moto G35        = R$ 80,00</v>
      </c>
    </row>
    <row r="589" spans="1:17" ht="15" customHeight="1" x14ac:dyDescent="0.3">
      <c r="A589" s="20" t="s">
        <v>2945</v>
      </c>
      <c r="B589">
        <f>I243</f>
        <v>95</v>
      </c>
      <c r="E589" s="85" t="s">
        <v>576</v>
      </c>
      <c r="F589" s="6">
        <v>80</v>
      </c>
      <c r="G589" s="12"/>
      <c r="H589" s="24" t="s">
        <v>6947</v>
      </c>
      <c r="I589" s="5">
        <f t="shared" si="579"/>
        <v>85</v>
      </c>
      <c r="J589" s="5"/>
      <c r="K589" s="4" t="str">
        <f t="shared" si="584"/>
        <v>Moto G35 c/aro   = R$  85,00</v>
      </c>
      <c r="M589" s="4" t="str">
        <f t="shared" si="585"/>
        <v>Moto G35 c/aro   = R$  90,00</v>
      </c>
      <c r="O589" s="4" t="str">
        <f t="shared" si="586"/>
        <v>Moto G35 c/aro   = R$  80,00</v>
      </c>
      <c r="Q589" s="4" t="str">
        <f t="shared" si="587"/>
        <v>Moto G35 c/aro   = R$  95,00</v>
      </c>
    </row>
    <row r="590" spans="1:17" ht="15" customHeight="1" x14ac:dyDescent="0.3">
      <c r="A590" s="20" t="s">
        <v>2928</v>
      </c>
      <c r="B590">
        <f>I244</f>
        <v>130</v>
      </c>
      <c r="E590" s="85" t="s">
        <v>578</v>
      </c>
      <c r="F590" s="6">
        <v>90</v>
      </c>
      <c r="G590" s="12"/>
      <c r="H590" s="4" t="s">
        <v>12487</v>
      </c>
      <c r="I590" s="5">
        <f t="shared" si="579"/>
        <v>100</v>
      </c>
      <c r="J590" s="5"/>
      <c r="K590" s="4" t="str">
        <f t="shared" si="584"/>
        <v>Moto G35 c/aro Nacional = 100,00</v>
      </c>
      <c r="M590" s="4" t="str">
        <f t="shared" si="585"/>
        <v>Moto G35 c/aro Nacional = 105,00</v>
      </c>
      <c r="O590" s="4" t="str">
        <f t="shared" si="586"/>
        <v>Moto G35 c/aro Nacional = 95,00</v>
      </c>
      <c r="Q590" s="4" t="str">
        <f t="shared" si="587"/>
        <v>Moto G35 c/aro Nacional = 110,00</v>
      </c>
    </row>
    <row r="591" spans="1:17" ht="15" customHeight="1" x14ac:dyDescent="0.3">
      <c r="A591" s="30" t="s">
        <v>2948</v>
      </c>
      <c r="B591">
        <f>I244</f>
        <v>130</v>
      </c>
      <c r="E591" s="85" t="s">
        <v>11738</v>
      </c>
      <c r="F591" s="6">
        <v>100</v>
      </c>
      <c r="G591" s="12"/>
      <c r="H591" s="4" t="s">
        <v>12488</v>
      </c>
      <c r="I591" s="5">
        <f t="shared" si="579"/>
        <v>130</v>
      </c>
      <c r="J591" s="5"/>
      <c r="K591" s="4" t="str">
        <f t="shared" si="584"/>
        <v>Moto G35 c/aro Nac Diamonds = 130,00</v>
      </c>
      <c r="M591" s="4" t="str">
        <f t="shared" si="585"/>
        <v>Moto G35 c/aro Nac Diamonds = 135,00</v>
      </c>
      <c r="O591" s="4" t="str">
        <f t="shared" si="586"/>
        <v>Moto G35 c/aro Nac Diamonds = 125,00</v>
      </c>
      <c r="Q591" s="4" t="str">
        <f t="shared" si="587"/>
        <v>Moto G35 c/aro Nac Diamonds = 140,00</v>
      </c>
    </row>
    <row r="592" spans="1:17" ht="15" customHeight="1" x14ac:dyDescent="0.3">
      <c r="A592" s="30" t="s">
        <v>2949</v>
      </c>
      <c r="B592">
        <f>I244</f>
        <v>130</v>
      </c>
      <c r="E592" s="85" t="s">
        <v>11074</v>
      </c>
      <c r="F592" s="16">
        <v>85</v>
      </c>
      <c r="G592" s="12"/>
      <c r="H592" s="4" t="s">
        <v>544</v>
      </c>
      <c r="I592" s="5">
        <f>F542</f>
        <v>65</v>
      </c>
      <c r="J592" s="5"/>
      <c r="K592" s="4" t="str">
        <f t="shared" si="532"/>
        <v>Moto G41 incell         = R$ 65,00</v>
      </c>
      <c r="M592" s="4" t="str">
        <f t="shared" si="528"/>
        <v>Moto G41 incell         = R$ 70,00</v>
      </c>
      <c r="O592" s="4" t="str">
        <f t="shared" si="472"/>
        <v>Moto G41 incell         = R$ 60,00</v>
      </c>
      <c r="Q592" s="4" t="str">
        <f t="shared" si="473"/>
        <v>Moto G41 incell         = R$ 75,00</v>
      </c>
    </row>
    <row r="593" spans="1:17" ht="15" customHeight="1" x14ac:dyDescent="0.3">
      <c r="A593" s="30" t="s">
        <v>2950</v>
      </c>
      <c r="B593">
        <f>I244</f>
        <v>130</v>
      </c>
      <c r="E593" s="85" t="s">
        <v>11075</v>
      </c>
      <c r="F593" s="16">
        <v>95</v>
      </c>
      <c r="G593" s="12"/>
      <c r="H593" s="4" t="s">
        <v>545</v>
      </c>
      <c r="I593" s="5">
        <f>F544</f>
        <v>155</v>
      </c>
      <c r="J593" s="5"/>
      <c r="K593" s="4" t="str">
        <f t="shared" si="532"/>
        <v>Moto G41 original = R$  155,00</v>
      </c>
      <c r="M593" s="4" t="str">
        <f t="shared" si="528"/>
        <v>Moto G41 original = R$  160,00</v>
      </c>
      <c r="O593" s="4" t="str">
        <f t="shared" si="472"/>
        <v>Moto G41 original = R$  150,00</v>
      </c>
      <c r="Q593" s="4" t="str">
        <f t="shared" si="473"/>
        <v>Moto G41 original = R$  165,00</v>
      </c>
    </row>
    <row r="594" spans="1:17" ht="15" customHeight="1" x14ac:dyDescent="0.3">
      <c r="A594" s="20" t="s">
        <v>2929</v>
      </c>
      <c r="B594">
        <f>I244</f>
        <v>130</v>
      </c>
      <c r="E594" s="85" t="s">
        <v>11740</v>
      </c>
      <c r="F594" s="16">
        <v>105</v>
      </c>
      <c r="G594" s="12"/>
      <c r="H594" s="4" t="s">
        <v>547</v>
      </c>
      <c r="I594" s="5">
        <f t="shared" ref="I594:J608" si="588">F559</f>
        <v>80</v>
      </c>
      <c r="J594" s="5"/>
      <c r="K594" s="4" t="str">
        <f t="shared" si="532"/>
        <v>Moto G41 incell c/aro = R$ 80,00</v>
      </c>
      <c r="M594" s="4" t="str">
        <f t="shared" si="528"/>
        <v>Moto G41 incell c/aro = R$ 85,00</v>
      </c>
      <c r="O594" s="4" t="str">
        <f t="shared" si="472"/>
        <v>Moto G41 incell c/aro = R$ 75,00</v>
      </c>
      <c r="Q594" s="4" t="str">
        <f t="shared" si="473"/>
        <v>Moto G41 incell c/aro = R$ 90,00</v>
      </c>
    </row>
    <row r="595" spans="1:17" ht="15" customHeight="1" x14ac:dyDescent="0.3">
      <c r="A595" s="20" t="s">
        <v>2930</v>
      </c>
      <c r="B595">
        <f>I246</f>
        <v>105</v>
      </c>
      <c r="E595" s="85" t="s">
        <v>580</v>
      </c>
      <c r="F595" s="6">
        <v>70</v>
      </c>
      <c r="G595" s="12"/>
      <c r="H595" s="4" t="s">
        <v>549</v>
      </c>
      <c r="I595" s="5">
        <f t="shared" si="588"/>
        <v>165</v>
      </c>
      <c r="J595" s="5"/>
      <c r="K595" s="4" t="str">
        <f t="shared" si="532"/>
        <v>Moto G41 orig c/aro= R$ 165,00</v>
      </c>
      <c r="M595" s="4" t="str">
        <f t="shared" si="528"/>
        <v>Moto G41 orig c/aro= R$ 170,00</v>
      </c>
      <c r="O595" s="4" t="str">
        <f t="shared" si="472"/>
        <v>Moto G41 orig c/aro= R$ 160,00</v>
      </c>
      <c r="Q595" s="4" t="str">
        <f t="shared" si="473"/>
        <v>Moto G41 orig c/aro= R$ 175,00</v>
      </c>
    </row>
    <row r="596" spans="1:17" ht="15" customHeight="1" x14ac:dyDescent="0.3">
      <c r="A596" s="30" t="s">
        <v>2951</v>
      </c>
      <c r="B596">
        <f>I246</f>
        <v>105</v>
      </c>
      <c r="E596" s="85" t="s">
        <v>582</v>
      </c>
      <c r="F596" s="6">
        <v>85</v>
      </c>
      <c r="G596" s="12"/>
      <c r="H596" s="4" t="s">
        <v>551</v>
      </c>
      <c r="I596" s="5">
        <f t="shared" si="588"/>
        <v>185</v>
      </c>
      <c r="J596" s="5"/>
      <c r="K596" s="4" t="str">
        <f t="shared" ref="K596" si="589">CONCATENATE(H596,I596,",00")</f>
        <v>Moto G41 c/aro Nacional = 185,00</v>
      </c>
      <c r="M596" s="4" t="str">
        <f t="shared" ref="M596" si="590">CONCATENATE(H596,I596+5,",00")</f>
        <v>Moto G41 c/aro Nacional = 190,00</v>
      </c>
      <c r="O596" s="4" t="str">
        <f t="shared" ref="O596" si="591">CONCATENATE(H596,I596-5,",00")</f>
        <v>Moto G41 c/aro Nacional = 180,00</v>
      </c>
      <c r="Q596" s="4" t="str">
        <f t="shared" ref="Q596" si="592">CONCATENATE(H596,I596+10,",00")</f>
        <v>Moto G41 c/aro Nacional = 195,00</v>
      </c>
    </row>
    <row r="597" spans="1:17" ht="15" customHeight="1" x14ac:dyDescent="0.3">
      <c r="A597" s="20" t="s">
        <v>2931</v>
      </c>
      <c r="B597">
        <f>I246</f>
        <v>105</v>
      </c>
      <c r="E597" s="85" t="s">
        <v>13283</v>
      </c>
      <c r="F597" s="16">
        <v>110</v>
      </c>
      <c r="G597" s="12"/>
      <c r="H597" s="4" t="s">
        <v>11722</v>
      </c>
      <c r="I597" s="5">
        <f t="shared" si="588"/>
        <v>195</v>
      </c>
      <c r="J597" s="5"/>
      <c r="K597" s="4" t="str">
        <f t="shared" si="532"/>
        <v>Moto G41 c/aro Nac Diamonds = 195,00</v>
      </c>
      <c r="M597" s="4" t="str">
        <f t="shared" si="528"/>
        <v>Moto G41 c/aro Nac Diamonds = 200,00</v>
      </c>
      <c r="O597" s="4" t="str">
        <f t="shared" si="472"/>
        <v>Moto G41 c/aro Nac Diamonds = 190,00</v>
      </c>
      <c r="Q597" s="4" t="str">
        <f t="shared" si="473"/>
        <v>Moto G41 c/aro Nac Diamonds = 205,00</v>
      </c>
    </row>
    <row r="598" spans="1:17" ht="15" customHeight="1" x14ac:dyDescent="0.3">
      <c r="A598" s="30" t="s">
        <v>2952</v>
      </c>
      <c r="B598">
        <f>I246</f>
        <v>105</v>
      </c>
      <c r="E598" s="85" t="s">
        <v>13284</v>
      </c>
      <c r="F598" s="16">
        <v>105</v>
      </c>
      <c r="G598" s="12"/>
      <c r="H598" s="4" t="s">
        <v>553</v>
      </c>
      <c r="I598" s="5">
        <f t="shared" si="588"/>
        <v>65</v>
      </c>
      <c r="J598" s="5"/>
      <c r="K598" s="4" t="str">
        <f t="shared" si="532"/>
        <v>Moto G42 incell      = R$ 65,00</v>
      </c>
      <c r="M598" s="4" t="str">
        <f t="shared" si="528"/>
        <v>Moto G42 incell      = R$ 70,00</v>
      </c>
      <c r="O598" s="4" t="str">
        <f t="shared" si="472"/>
        <v>Moto G42 incell      = R$ 60,00</v>
      </c>
      <c r="Q598" s="4" t="str">
        <f t="shared" si="473"/>
        <v>Moto G42 incell      = R$ 75,00</v>
      </c>
    </row>
    <row r="599" spans="1:17" ht="15" customHeight="1" x14ac:dyDescent="0.3">
      <c r="A599" s="20" t="s">
        <v>2932</v>
      </c>
      <c r="B599">
        <f>I245</f>
        <v>90</v>
      </c>
      <c r="E599" s="85" t="s">
        <v>13234</v>
      </c>
      <c r="F599" s="16">
        <v>80</v>
      </c>
      <c r="G599" s="12"/>
      <c r="H599" s="4" t="s">
        <v>555</v>
      </c>
      <c r="I599" s="5">
        <f t="shared" si="588"/>
        <v>80</v>
      </c>
      <c r="J599" s="5"/>
      <c r="K599" s="4" t="str">
        <f t="shared" si="532"/>
        <v>Moto G42 incell c/aro= R$ 80,00</v>
      </c>
      <c r="M599" s="4" t="str">
        <f t="shared" si="528"/>
        <v>Moto G42 incell c/aro= R$ 85,00</v>
      </c>
      <c r="O599" s="4" t="str">
        <f t="shared" si="472"/>
        <v>Moto G42 incell c/aro= R$ 75,00</v>
      </c>
      <c r="Q599" s="4" t="str">
        <f t="shared" si="473"/>
        <v>Moto G42 incell c/aro= R$ 90,00</v>
      </c>
    </row>
    <row r="600" spans="1:17" ht="15" customHeight="1" x14ac:dyDescent="0.3">
      <c r="A600" s="30" t="s">
        <v>2953</v>
      </c>
      <c r="B600">
        <f>I245</f>
        <v>90</v>
      </c>
      <c r="E600" s="85" t="s">
        <v>13235</v>
      </c>
      <c r="F600" s="16">
        <v>165</v>
      </c>
      <c r="G600" s="12"/>
      <c r="H600" s="4" t="s">
        <v>557</v>
      </c>
      <c r="I600" s="5">
        <f t="shared" si="588"/>
        <v>160</v>
      </c>
      <c r="J600" s="5"/>
      <c r="K600" s="4" t="str">
        <f t="shared" si="532"/>
        <v>Moto G42 original   = R$ 160,00</v>
      </c>
      <c r="M600" s="4" t="str">
        <f t="shared" si="528"/>
        <v>Moto G42 original   = R$ 165,00</v>
      </c>
      <c r="O600" s="4" t="str">
        <f t="shared" si="472"/>
        <v>Moto G42 original   = R$ 155,00</v>
      </c>
      <c r="Q600" s="4" t="str">
        <f t="shared" si="473"/>
        <v>Moto G42 original   = R$ 170,00</v>
      </c>
    </row>
    <row r="601" spans="1:17" ht="15" customHeight="1" x14ac:dyDescent="0.3">
      <c r="A601" s="30" t="s">
        <v>2954</v>
      </c>
      <c r="B601">
        <f>I245</f>
        <v>90</v>
      </c>
      <c r="E601" s="85" t="s">
        <v>13230</v>
      </c>
      <c r="F601" s="16">
        <v>185</v>
      </c>
      <c r="G601" s="12"/>
      <c r="H601" s="4" t="s">
        <v>559</v>
      </c>
      <c r="I601" s="5">
        <f t="shared" si="588"/>
        <v>165</v>
      </c>
      <c r="J601" s="5"/>
      <c r="K601" s="4" t="str">
        <f t="shared" si="532"/>
        <v>Moto G42 orig c/aro= R$ 165,00</v>
      </c>
      <c r="M601" s="4" t="str">
        <f t="shared" si="528"/>
        <v>Moto G42 orig c/aro= R$ 170,00</v>
      </c>
      <c r="O601" s="4" t="str">
        <f t="shared" si="472"/>
        <v>Moto G42 orig c/aro= R$ 160,00</v>
      </c>
      <c r="Q601" s="4" t="str">
        <f t="shared" si="473"/>
        <v>Moto G42 orig c/aro= R$ 175,00</v>
      </c>
    </row>
    <row r="602" spans="1:17" ht="15" customHeight="1" x14ac:dyDescent="0.3">
      <c r="A602" s="20" t="s">
        <v>2933</v>
      </c>
      <c r="B602">
        <f>I245</f>
        <v>90</v>
      </c>
      <c r="E602" s="85" t="s">
        <v>13231</v>
      </c>
      <c r="F602" s="16">
        <v>195</v>
      </c>
      <c r="G602" s="12"/>
      <c r="H602" s="4" t="s">
        <v>561</v>
      </c>
      <c r="I602" s="5">
        <f t="shared" si="588"/>
        <v>190</v>
      </c>
      <c r="J602" s="5"/>
      <c r="K602" s="4" t="str">
        <f t="shared" ref="K602" si="593">CONCATENATE(H602,I602,",00")</f>
        <v>Moto G42 c/aro Nacional = 190,00</v>
      </c>
      <c r="M602" s="4" t="str">
        <f t="shared" ref="M602" si="594">CONCATENATE(H602,I602+5,",00")</f>
        <v>Moto G42 c/aro Nacional = 195,00</v>
      </c>
      <c r="O602" s="4" t="str">
        <f t="shared" ref="O602" si="595">CONCATENATE(H602,I602-5,",00")</f>
        <v>Moto G42 c/aro Nacional = 185,00</v>
      </c>
      <c r="Q602" s="4" t="str">
        <f t="shared" ref="Q602" si="596">CONCATENATE(H602,I602+10,",00")</f>
        <v>Moto G42 c/aro Nacional = 200,00</v>
      </c>
    </row>
    <row r="603" spans="1:17" ht="15" customHeight="1" x14ac:dyDescent="0.3">
      <c r="A603" s="20" t="s">
        <v>2935</v>
      </c>
      <c r="B603">
        <f>I248</f>
        <v>180</v>
      </c>
      <c r="E603" s="85" t="s">
        <v>584</v>
      </c>
      <c r="F603" s="6">
        <v>100</v>
      </c>
      <c r="G603" s="12"/>
      <c r="H603" s="4" t="s">
        <v>11725</v>
      </c>
      <c r="I603" s="5">
        <f t="shared" si="588"/>
        <v>200</v>
      </c>
      <c r="J603" s="5"/>
      <c r="K603" s="4" t="str">
        <f t="shared" si="532"/>
        <v>Moto G42 c/aro Nac Diamonds = 200,00</v>
      </c>
      <c r="M603" s="4" t="str">
        <f t="shared" si="528"/>
        <v>Moto G42 c/aro Nac Diamonds = 205,00</v>
      </c>
      <c r="O603" s="4" t="str">
        <f t="shared" si="472"/>
        <v>Moto G42 c/aro Nac Diamonds = 195,00</v>
      </c>
      <c r="Q603" s="4" t="str">
        <f t="shared" si="473"/>
        <v>Moto G42 c/aro Nac Diamonds = 210,00</v>
      </c>
    </row>
    <row r="604" spans="1:17" ht="15" customHeight="1" x14ac:dyDescent="0.3">
      <c r="A604" s="30" t="s">
        <v>2955</v>
      </c>
      <c r="B604">
        <f>I248</f>
        <v>180</v>
      </c>
      <c r="E604" s="85" t="s">
        <v>586</v>
      </c>
      <c r="F604" s="6">
        <v>215</v>
      </c>
      <c r="G604" s="12"/>
      <c r="H604" s="4" t="s">
        <v>563</v>
      </c>
      <c r="I604" s="5">
        <f t="shared" si="588"/>
        <v>75</v>
      </c>
      <c r="J604" s="5"/>
      <c r="K604" s="4" t="str">
        <f t="shared" si="532"/>
        <v>Moto G50 4G             = R$ 75,00</v>
      </c>
      <c r="M604" s="4" t="str">
        <f t="shared" si="528"/>
        <v>Moto G50 4G             = R$ 80,00</v>
      </c>
      <c r="O604" s="4" t="str">
        <f t="shared" si="472"/>
        <v>Moto G50 4G             = R$ 70,00</v>
      </c>
      <c r="Q604" s="4" t="str">
        <f t="shared" si="473"/>
        <v>Moto G50 4G             = R$ 85,00</v>
      </c>
    </row>
    <row r="605" spans="1:17" ht="15" customHeight="1" x14ac:dyDescent="0.3">
      <c r="A605" s="30" t="s">
        <v>2956</v>
      </c>
      <c r="B605">
        <f>I248</f>
        <v>180</v>
      </c>
      <c r="E605" s="85" t="s">
        <v>11744</v>
      </c>
      <c r="F605" s="16">
        <v>275</v>
      </c>
      <c r="G605" s="12"/>
      <c r="H605" s="4" t="s">
        <v>564</v>
      </c>
      <c r="I605" s="5">
        <f t="shared" si="588"/>
        <v>90</v>
      </c>
      <c r="J605" s="5"/>
      <c r="K605" s="4" t="str">
        <f t="shared" si="532"/>
        <v>Moto G50 4G c/aro = R$ 90,00</v>
      </c>
      <c r="M605" s="4" t="str">
        <f t="shared" si="528"/>
        <v>Moto G50 4G c/aro = R$ 95,00</v>
      </c>
      <c r="O605" s="4" t="str">
        <f t="shared" si="472"/>
        <v>Moto G50 4G c/aro = R$ 85,00</v>
      </c>
      <c r="Q605" s="4" t="str">
        <f t="shared" si="473"/>
        <v>Moto G50 4G c/aro = R$ 100,00</v>
      </c>
    </row>
    <row r="606" spans="1:17" ht="15" customHeight="1" x14ac:dyDescent="0.3">
      <c r="A606" s="30" t="s">
        <v>2957</v>
      </c>
      <c r="B606">
        <f>I248</f>
        <v>180</v>
      </c>
      <c r="E606" s="85" t="s">
        <v>11743</v>
      </c>
      <c r="F606" s="16">
        <v>285</v>
      </c>
      <c r="G606" s="12"/>
      <c r="H606" s="4" t="s">
        <v>566</v>
      </c>
      <c r="I606" s="5">
        <f t="shared" si="588"/>
        <v>65</v>
      </c>
      <c r="J606" s="5"/>
      <c r="K606" s="4" t="str">
        <f t="shared" si="532"/>
        <v>Moto G50 5G             = R$ 65,00</v>
      </c>
      <c r="M606" s="4" t="str">
        <f t="shared" si="528"/>
        <v>Moto G50 5G             = R$ 70,00</v>
      </c>
      <c r="O606" s="4" t="str">
        <f t="shared" si="472"/>
        <v>Moto G50 5G             = R$ 60,00</v>
      </c>
      <c r="Q606" s="4" t="str">
        <f t="shared" si="473"/>
        <v>Moto G50 5G             = R$ 75,00</v>
      </c>
    </row>
    <row r="607" spans="1:17" ht="15" customHeight="1" x14ac:dyDescent="0.3">
      <c r="A607" s="20" t="s">
        <v>2934</v>
      </c>
      <c r="B607">
        <f>I248</f>
        <v>180</v>
      </c>
      <c r="E607" s="85" t="s">
        <v>589</v>
      </c>
      <c r="F607" s="6">
        <v>95</v>
      </c>
      <c r="G607" s="12"/>
      <c r="H607" s="4" t="s">
        <v>567</v>
      </c>
      <c r="I607" s="5">
        <f t="shared" si="588"/>
        <v>80</v>
      </c>
      <c r="J607" s="5"/>
      <c r="K607" s="4" t="str">
        <f t="shared" si="532"/>
        <v>Moto G50 5G c/aro  = R$ 80,00</v>
      </c>
      <c r="M607" s="4" t="str">
        <f t="shared" si="528"/>
        <v>Moto G50 5G c/aro  = R$ 85,00</v>
      </c>
      <c r="O607" s="4" t="str">
        <f t="shared" si="472"/>
        <v>Moto G50 5G c/aro  = R$ 75,00</v>
      </c>
      <c r="Q607" s="4" t="str">
        <f t="shared" si="473"/>
        <v>Moto G50 5G c/aro  = R$ 90,00</v>
      </c>
    </row>
    <row r="608" spans="1:17" ht="15" customHeight="1" x14ac:dyDescent="0.3">
      <c r="A608" s="30" t="s">
        <v>2958</v>
      </c>
      <c r="B608">
        <f>I248</f>
        <v>180</v>
      </c>
      <c r="E608" s="85" t="s">
        <v>591</v>
      </c>
      <c r="F608" s="6">
        <v>110</v>
      </c>
      <c r="G608" s="12"/>
      <c r="H608" s="4" t="s">
        <v>569</v>
      </c>
      <c r="I608" s="5">
        <f t="shared" si="588"/>
        <v>70</v>
      </c>
      <c r="J608" s="5"/>
      <c r="K608" s="4" t="str">
        <f t="shared" si="532"/>
        <v>Moto G51     = R$ 70,00</v>
      </c>
      <c r="M608" s="4" t="str">
        <f t="shared" si="528"/>
        <v>Moto G51     = R$ 75,00</v>
      </c>
      <c r="O608" s="4" t="str">
        <f t="shared" si="472"/>
        <v>Moto G51     = R$ 65,00</v>
      </c>
      <c r="Q608" s="4" t="str">
        <f t="shared" si="473"/>
        <v>Moto G51     = R$ 80,00</v>
      </c>
    </row>
    <row r="609" spans="1:17" ht="15" customHeight="1" x14ac:dyDescent="0.3">
      <c r="A609" s="30" t="s">
        <v>2959</v>
      </c>
      <c r="B609">
        <f>I248</f>
        <v>180</v>
      </c>
      <c r="E609" s="85" t="s">
        <v>11745</v>
      </c>
      <c r="F609" s="6">
        <v>120</v>
      </c>
      <c r="G609" s="12"/>
      <c r="H609" s="4" t="s">
        <v>570</v>
      </c>
      <c r="I609" s="5">
        <f t="shared" ref="I609:J614" si="597">F580</f>
        <v>75</v>
      </c>
      <c r="J609" s="5"/>
      <c r="K609" s="4" t="str">
        <f t="shared" si="532"/>
        <v>Moto G52 incell        = R$ 75,00</v>
      </c>
      <c r="M609" s="4" t="str">
        <f t="shared" si="528"/>
        <v>Moto G52 incell        = R$ 80,00</v>
      </c>
      <c r="O609" s="4" t="str">
        <f t="shared" si="472"/>
        <v>Moto G52 incell        = R$ 70,00</v>
      </c>
      <c r="Q609" s="4" t="str">
        <f t="shared" si="473"/>
        <v>Moto G52 incell        = R$ 85,00</v>
      </c>
    </row>
    <row r="610" spans="1:17" ht="15" customHeight="1" x14ac:dyDescent="0.3">
      <c r="A610" s="30" t="s">
        <v>2960</v>
      </c>
      <c r="B610">
        <f>I248</f>
        <v>180</v>
      </c>
      <c r="E610" s="85" t="s">
        <v>11117</v>
      </c>
      <c r="F610" s="16">
        <v>85</v>
      </c>
      <c r="G610" s="12"/>
      <c r="H610" s="4" t="s">
        <v>571</v>
      </c>
      <c r="I610" s="5">
        <f t="shared" si="597"/>
        <v>85</v>
      </c>
      <c r="J610" s="5"/>
      <c r="K610" s="4" t="str">
        <f t="shared" si="532"/>
        <v>Moto G52 incell c/aro= R$ 85,00</v>
      </c>
      <c r="M610" s="4" t="str">
        <f t="shared" si="528"/>
        <v>Moto G52 incell c/aro= R$ 90,00</v>
      </c>
      <c r="O610" s="4" t="str">
        <f t="shared" si="472"/>
        <v>Moto G52 incell c/aro= R$ 80,00</v>
      </c>
      <c r="Q610" s="4" t="str">
        <f t="shared" si="473"/>
        <v>Moto G52 incell c/aro= R$ 95,00</v>
      </c>
    </row>
    <row r="611" spans="1:17" ht="15" customHeight="1" x14ac:dyDescent="0.3">
      <c r="A611" t="s">
        <v>2961</v>
      </c>
      <c r="B611">
        <f>I247</f>
        <v>160</v>
      </c>
      <c r="E611" s="85" t="s">
        <v>13330</v>
      </c>
      <c r="F611" s="16">
        <v>130</v>
      </c>
      <c r="G611" s="12"/>
      <c r="H611" s="4" t="s">
        <v>573</v>
      </c>
      <c r="I611" s="5">
        <f t="shared" si="597"/>
        <v>180</v>
      </c>
      <c r="J611" s="5"/>
      <c r="K611" s="4" t="str">
        <f t="shared" si="532"/>
        <v>Moto G52 original    = R$ 180,00</v>
      </c>
      <c r="M611" s="4" t="str">
        <f t="shared" si="528"/>
        <v>Moto G52 original    = R$ 185,00</v>
      </c>
      <c r="O611" s="4" t="str">
        <f t="shared" si="472"/>
        <v>Moto G52 original    = R$ 175,00</v>
      </c>
      <c r="Q611" s="4" t="str">
        <f t="shared" si="473"/>
        <v>Moto G52 original    = R$ 190,00</v>
      </c>
    </row>
    <row r="612" spans="1:17" ht="15" customHeight="1" x14ac:dyDescent="0.3">
      <c r="A612" t="s">
        <v>2962</v>
      </c>
      <c r="B612">
        <f>I247</f>
        <v>160</v>
      </c>
      <c r="E612" s="85" t="s">
        <v>593</v>
      </c>
      <c r="F612" s="6">
        <v>70</v>
      </c>
      <c r="G612" s="12"/>
      <c r="H612" s="4" t="s">
        <v>575</v>
      </c>
      <c r="I612" s="5">
        <f t="shared" si="597"/>
        <v>205</v>
      </c>
      <c r="J612" s="5"/>
      <c r="K612" s="4" t="str">
        <f t="shared" si="532"/>
        <v>Moto G52 orig c/aro = R$ 205,00</v>
      </c>
      <c r="M612" s="4" t="str">
        <f t="shared" si="528"/>
        <v>Moto G52 orig c/aro = R$ 210,00</v>
      </c>
      <c r="O612" s="4" t="str">
        <f t="shared" si="472"/>
        <v>Moto G52 orig c/aro = R$ 200,00</v>
      </c>
      <c r="Q612" s="4" t="str">
        <f t="shared" si="473"/>
        <v>Moto G52 orig c/aro = R$ 215,00</v>
      </c>
    </row>
    <row r="613" spans="1:17" ht="15" customHeight="1" x14ac:dyDescent="0.3">
      <c r="A613" t="s">
        <v>2963</v>
      </c>
      <c r="B613">
        <f>I247</f>
        <v>160</v>
      </c>
      <c r="E613" s="85" t="s">
        <v>594</v>
      </c>
      <c r="F613" s="6">
        <v>90</v>
      </c>
      <c r="G613" s="12"/>
      <c r="H613" s="4" t="s">
        <v>577</v>
      </c>
      <c r="I613" s="5">
        <f t="shared" si="597"/>
        <v>215</v>
      </c>
      <c r="J613" s="5"/>
      <c r="K613" s="4" t="str">
        <f t="shared" ref="K613" si="598">CONCATENATE(H613,I613,",00")</f>
        <v>Moto G52 Nacional c/aro = 215,00</v>
      </c>
      <c r="M613" s="4" t="str">
        <f t="shared" ref="M613" si="599">CONCATENATE(H613,I613+5,",00")</f>
        <v>Moto G52 Nacional c/aro = 220,00</v>
      </c>
      <c r="O613" s="4" t="str">
        <f t="shared" ref="O613" si="600">CONCATENATE(H613,I613-5,",00")</f>
        <v>Moto G52 Nacional c/aro = 210,00</v>
      </c>
      <c r="Q613" s="4" t="str">
        <f t="shared" ref="Q613" si="601">CONCATENATE(H614,I614+10,",00")</f>
        <v>Moto G52 c/aro Nac Diamonds = 235,00</v>
      </c>
    </row>
    <row r="614" spans="1:17" ht="15" customHeight="1" x14ac:dyDescent="0.3">
      <c r="A614" t="s">
        <v>2964</v>
      </c>
      <c r="B614">
        <f>I247</f>
        <v>160</v>
      </c>
      <c r="E614" s="85" t="s">
        <v>10840</v>
      </c>
      <c r="F614" s="16">
        <v>185</v>
      </c>
      <c r="G614" s="12"/>
      <c r="H614" s="4" t="s">
        <v>11734</v>
      </c>
      <c r="I614" s="5">
        <f t="shared" si="597"/>
        <v>225</v>
      </c>
      <c r="J614" s="5"/>
      <c r="K614" s="4" t="str">
        <f t="shared" si="532"/>
        <v>Moto G52 c/aro Nac Diamonds = 225,00</v>
      </c>
      <c r="M614" s="4" t="str">
        <f t="shared" si="528"/>
        <v>Moto G52 c/aro Nac Diamonds = 230,00</v>
      </c>
      <c r="O614" s="4" t="str">
        <f t="shared" si="472"/>
        <v>Moto G52 c/aro Nac Diamonds = 220,00</v>
      </c>
      <c r="Q614" s="4" t="str">
        <f t="shared" ref="Q614:Q615" si="602">CONCATENATE(H615,I615+10,",00")</f>
        <v>Moto G53   = R$ 75,00</v>
      </c>
    </row>
    <row r="615" spans="1:17" ht="15" customHeight="1" x14ac:dyDescent="0.3">
      <c r="A615" t="s">
        <v>2965</v>
      </c>
      <c r="B615">
        <f>I247</f>
        <v>160</v>
      </c>
      <c r="E615" s="85" t="s">
        <v>596</v>
      </c>
      <c r="F615" s="6">
        <v>200</v>
      </c>
      <c r="G615" s="12"/>
      <c r="H615" s="4" t="s">
        <v>579</v>
      </c>
      <c r="I615" s="5">
        <f>F527</f>
        <v>65</v>
      </c>
      <c r="J615" s="5"/>
      <c r="K615" s="4" t="str">
        <f t="shared" si="532"/>
        <v>Moto G53   = R$ 65,00</v>
      </c>
      <c r="M615" s="4" t="str">
        <f t="shared" si="528"/>
        <v>Moto G53   = R$ 70,00</v>
      </c>
      <c r="O615" s="4" t="str">
        <f t="shared" si="472"/>
        <v>Moto G53   = R$ 60,00</v>
      </c>
      <c r="Q615" s="4" t="str">
        <f t="shared" si="602"/>
        <v>Moto G53 c/aro      = R$ 90,00</v>
      </c>
    </row>
    <row r="616" spans="1:17" ht="15" customHeight="1" x14ac:dyDescent="0.3">
      <c r="A616" t="s">
        <v>2966</v>
      </c>
      <c r="B616">
        <f>I247</f>
        <v>160</v>
      </c>
      <c r="E616" s="85" t="s">
        <v>10617</v>
      </c>
      <c r="F616" s="16">
        <v>235</v>
      </c>
      <c r="G616" s="12"/>
      <c r="H616" s="4" t="s">
        <v>581</v>
      </c>
      <c r="I616" s="5">
        <f>F586</f>
        <v>80</v>
      </c>
      <c r="J616" s="5"/>
      <c r="K616" s="4" t="str">
        <f t="shared" si="532"/>
        <v>Moto G53 c/aro      = R$ 80,00</v>
      </c>
      <c r="M616" s="4" t="str">
        <f t="shared" si="528"/>
        <v>Moto G53 c/aro      = R$ 85,00</v>
      </c>
      <c r="O616" s="4" t="str">
        <f t="shared" si="472"/>
        <v>Moto G53 c/aro      = R$ 75,00</v>
      </c>
      <c r="Q616" s="4" t="str">
        <f t="shared" ref="Q616:Q683" si="603">CONCATENATE(H616,I616+10,",00")</f>
        <v>Moto G53 c/aro      = R$ 90,00</v>
      </c>
    </row>
    <row r="617" spans="1:17" ht="15" customHeight="1" x14ac:dyDescent="0.3">
      <c r="A617" t="s">
        <v>2967</v>
      </c>
      <c r="B617">
        <f>I247</f>
        <v>160</v>
      </c>
      <c r="E617" s="85" t="s">
        <v>11749</v>
      </c>
      <c r="F617" s="16">
        <v>245</v>
      </c>
      <c r="G617" s="12"/>
      <c r="H617" s="4" t="s">
        <v>583</v>
      </c>
      <c r="I617" s="5">
        <f>F587</f>
        <v>90</v>
      </c>
      <c r="J617" s="5"/>
      <c r="K617" s="4" t="str">
        <f t="shared" ref="K617" si="604">CONCATENATE(H617,I617,",00")</f>
        <v>Moto G53 c/aro Nacional = 90,00</v>
      </c>
      <c r="M617" s="4" t="str">
        <f t="shared" ref="M617" si="605">CONCATENATE(H617,I617+5,",00")</f>
        <v>Moto G53 c/aro Nacional = 95,00</v>
      </c>
      <c r="O617" s="4" t="str">
        <f t="shared" ref="O617" si="606">CONCATENATE(H617,I617-5,",00")</f>
        <v>Moto G53 c/aro Nacional = 85,00</v>
      </c>
      <c r="Q617" s="4" t="str">
        <f t="shared" ref="Q617" si="607">CONCATENATE(H617,I617+10,",00")</f>
        <v>Moto G53 c/aro Nacional = 100,00</v>
      </c>
    </row>
    <row r="618" spans="1:17" ht="15" customHeight="1" x14ac:dyDescent="0.3">
      <c r="A618" t="s">
        <v>2968</v>
      </c>
      <c r="B618">
        <f>I247</f>
        <v>160</v>
      </c>
      <c r="E618" s="85" t="s">
        <v>12580</v>
      </c>
      <c r="F618" s="16">
        <v>160</v>
      </c>
      <c r="G618" s="12"/>
      <c r="H618" s="4" t="s">
        <v>11737</v>
      </c>
      <c r="I618" s="5">
        <f>F588</f>
        <v>100</v>
      </c>
      <c r="J618" s="5"/>
      <c r="K618" s="4" t="str">
        <f t="shared" si="532"/>
        <v>Moto G53 c/aro Nac Diamonds = 100,00</v>
      </c>
      <c r="M618" s="4" t="str">
        <f t="shared" si="528"/>
        <v>Moto G53 c/aro Nac Diamonds = 105,00</v>
      </c>
      <c r="O618" s="4" t="str">
        <f t="shared" si="472"/>
        <v>Moto G53 c/aro Nac Diamonds = 95,00</v>
      </c>
      <c r="Q618" s="4" t="str">
        <f t="shared" si="603"/>
        <v>Moto G53 c/aro Nac Diamonds = 110,00</v>
      </c>
    </row>
    <row r="619" spans="1:17" ht="15" customHeight="1" x14ac:dyDescent="0.3">
      <c r="A619" t="s">
        <v>3002</v>
      </c>
      <c r="B619">
        <f>I249</f>
        <v>95</v>
      </c>
      <c r="E619" s="85" t="s">
        <v>13071</v>
      </c>
      <c r="F619" s="16">
        <v>170</v>
      </c>
      <c r="G619" s="12"/>
      <c r="H619" s="4" t="s">
        <v>585</v>
      </c>
      <c r="I619" s="5">
        <f>F531</f>
        <v>65</v>
      </c>
      <c r="J619" s="5"/>
      <c r="K619" s="4" t="str">
        <f t="shared" si="532"/>
        <v>Moto G54   = R$ 65,00</v>
      </c>
      <c r="M619" s="4" t="str">
        <f t="shared" si="528"/>
        <v>Moto G54   = R$ 70,00</v>
      </c>
      <c r="O619" s="4" t="str">
        <f t="shared" si="472"/>
        <v>Moto G54   = R$ 60,00</v>
      </c>
      <c r="Q619" s="4" t="str">
        <f t="shared" si="603"/>
        <v>Moto G54   = R$ 75,00</v>
      </c>
    </row>
    <row r="620" spans="1:17" ht="15" customHeight="1" x14ac:dyDescent="0.3">
      <c r="A620" t="s">
        <v>3003</v>
      </c>
      <c r="B620">
        <f>I249</f>
        <v>95</v>
      </c>
      <c r="E620" s="85" t="s">
        <v>10984</v>
      </c>
      <c r="F620" s="6">
        <v>290</v>
      </c>
      <c r="G620" s="12"/>
      <c r="H620" s="4" t="s">
        <v>587</v>
      </c>
      <c r="I620" s="5">
        <f>F589</f>
        <v>80</v>
      </c>
      <c r="J620" s="5"/>
      <c r="K620" s="4" t="str">
        <f t="shared" si="532"/>
        <v>Moto G54 c/aro        = R$ 80,00</v>
      </c>
      <c r="M620" s="4" t="str">
        <f t="shared" si="528"/>
        <v>Moto G54 c/aro        = R$ 85,00</v>
      </c>
      <c r="O620" s="4" t="str">
        <f t="shared" si="472"/>
        <v>Moto G54 c/aro        = R$ 75,00</v>
      </c>
      <c r="Q620" s="4" t="str">
        <f t="shared" si="603"/>
        <v>Moto G54 c/aro        = R$ 90,00</v>
      </c>
    </row>
    <row r="621" spans="1:17" ht="15" customHeight="1" x14ac:dyDescent="0.3">
      <c r="A621" t="s">
        <v>3004</v>
      </c>
      <c r="B621">
        <f>I249</f>
        <v>95</v>
      </c>
      <c r="E621" s="85" t="s">
        <v>13041</v>
      </c>
      <c r="F621" s="16">
        <v>310</v>
      </c>
      <c r="G621" s="12"/>
      <c r="H621" s="4" t="s">
        <v>588</v>
      </c>
      <c r="I621" s="5">
        <f>F590</f>
        <v>90</v>
      </c>
      <c r="J621" s="5"/>
      <c r="K621" s="4" t="str">
        <f t="shared" ref="K621" si="608">CONCATENATE(H621,I621,",00")</f>
        <v>Moto G54 c/aro Nacional = 90,00</v>
      </c>
      <c r="M621" s="4" t="str">
        <f t="shared" ref="M621" si="609">CONCATENATE(H621,I621+5,",00")</f>
        <v>Moto G54 c/aro Nacional = 95,00</v>
      </c>
      <c r="O621" s="4" t="str">
        <f t="shared" ref="O621" si="610">CONCATENATE(H621,I621-5,",00")</f>
        <v>Moto G54 c/aro Nacional = 85,00</v>
      </c>
      <c r="Q621" s="4" t="str">
        <f t="shared" ref="Q621" si="611">CONCATENATE(H621,I621+10,",00")</f>
        <v>Moto G54 c/aro Nacional = 100,00</v>
      </c>
    </row>
    <row r="622" spans="1:17" ht="15" customHeight="1" x14ac:dyDescent="0.3">
      <c r="A622" t="s">
        <v>3005</v>
      </c>
      <c r="B622">
        <f>I249</f>
        <v>95</v>
      </c>
      <c r="E622" s="85" t="s">
        <v>12096</v>
      </c>
      <c r="F622" s="16">
        <v>370</v>
      </c>
      <c r="G622" s="12"/>
      <c r="H622" s="4" t="s">
        <v>11739</v>
      </c>
      <c r="I622" s="5">
        <f>F591</f>
        <v>100</v>
      </c>
      <c r="J622" s="5"/>
      <c r="K622" s="4" t="str">
        <f t="shared" si="532"/>
        <v>Moto G54 c/aro Nac Diamonds = 100,00</v>
      </c>
      <c r="M622" s="4" t="str">
        <f t="shared" si="528"/>
        <v>Moto G54 c/aro Nac Diamonds = 105,00</v>
      </c>
      <c r="O622" s="4" t="str">
        <f t="shared" si="472"/>
        <v>Moto G54 c/aro Nac Diamonds = 95,00</v>
      </c>
      <c r="Q622" s="4" t="str">
        <f t="shared" si="603"/>
        <v>Moto G54 c/aro Nac Diamonds = 110,00</v>
      </c>
    </row>
    <row r="623" spans="1:17" ht="15" customHeight="1" x14ac:dyDescent="0.3">
      <c r="A623" t="s">
        <v>3006</v>
      </c>
      <c r="B623">
        <f>I250</f>
        <v>195</v>
      </c>
      <c r="E623" s="85" t="s">
        <v>12097</v>
      </c>
      <c r="F623" s="16">
        <v>380</v>
      </c>
      <c r="G623" s="12"/>
      <c r="H623" s="4" t="s">
        <v>11076</v>
      </c>
      <c r="I623" s="5">
        <f>F531</f>
        <v>65</v>
      </c>
      <c r="J623" s="5"/>
      <c r="K623" s="4" t="str">
        <f t="shared" ref="K623:K626" si="612">CONCATENATE(H623,I623,",00")</f>
        <v>Moto G55        = R$ 65,00</v>
      </c>
      <c r="M623" s="4" t="str">
        <f t="shared" ref="M623:M626" si="613">CONCATENATE(H623,I623+5,",00")</f>
        <v>Moto G55        = R$ 70,00</v>
      </c>
      <c r="O623" s="4" t="str">
        <f t="shared" ref="O623:O626" si="614">CONCATENATE(H623,I623-5,",00")</f>
        <v>Moto G55        = R$ 60,00</v>
      </c>
      <c r="Q623" s="4" t="str">
        <f t="shared" ref="Q623:Q626" si="615">CONCATENATE(H623,I623+10,",00")</f>
        <v>Moto G55        = R$ 75,00</v>
      </c>
    </row>
    <row r="624" spans="1:17" ht="15" customHeight="1" x14ac:dyDescent="0.3">
      <c r="A624" t="s">
        <v>3007</v>
      </c>
      <c r="B624">
        <f>I250</f>
        <v>195</v>
      </c>
      <c r="E624" s="85" t="s">
        <v>13178</v>
      </c>
      <c r="F624" s="16">
        <v>240</v>
      </c>
      <c r="G624" s="12"/>
      <c r="H624" s="4" t="s">
        <v>11077</v>
      </c>
      <c r="I624" s="5">
        <f>F592</f>
        <v>85</v>
      </c>
      <c r="J624" s="5"/>
      <c r="K624" s="4" t="str">
        <f t="shared" si="612"/>
        <v>Moto G55 c/aro      = R$ 85,00</v>
      </c>
      <c r="M624" s="4" t="str">
        <f t="shared" si="613"/>
        <v>Moto G55 c/aro      = R$ 90,00</v>
      </c>
      <c r="O624" s="4" t="str">
        <f t="shared" si="614"/>
        <v>Moto G55 c/aro      = R$ 80,00</v>
      </c>
      <c r="Q624" s="4" t="str">
        <f t="shared" si="615"/>
        <v>Moto G55 c/aro      = R$ 95,00</v>
      </c>
    </row>
    <row r="625" spans="1:17" ht="15" customHeight="1" x14ac:dyDescent="0.3">
      <c r="A625" t="s">
        <v>3008</v>
      </c>
      <c r="B625">
        <f>I250</f>
        <v>195</v>
      </c>
      <c r="E625" s="85" t="s">
        <v>13040</v>
      </c>
      <c r="F625" s="16">
        <v>360</v>
      </c>
      <c r="G625" s="12"/>
      <c r="H625" s="4" t="s">
        <v>11742</v>
      </c>
      <c r="I625" s="5">
        <f>F593</f>
        <v>95</v>
      </c>
      <c r="J625" s="5"/>
      <c r="K625" s="4" t="str">
        <f t="shared" ref="K625" si="616">CONCATENATE(H625,I625,",00")</f>
        <v>Moto G55 c/aro Nacional = R$ 95,00</v>
      </c>
      <c r="M625" s="4" t="str">
        <f t="shared" ref="M625" si="617">CONCATENATE(H625,I625+5,",00")</f>
        <v>Moto G55 c/aro Nacional = R$ 100,00</v>
      </c>
      <c r="O625" s="4" t="str">
        <f t="shared" ref="O625" si="618">CONCATENATE(H625,I625-5,",00")</f>
        <v>Moto G55 c/aro Nacional = R$ 90,00</v>
      </c>
      <c r="Q625" s="4" t="str">
        <f t="shared" ref="Q625" si="619">CONCATENATE(H625,I625+10,",00")</f>
        <v>Moto G55 c/aro Nacional = R$ 105,00</v>
      </c>
    </row>
    <row r="626" spans="1:17" ht="15" customHeight="1" x14ac:dyDescent="0.3">
      <c r="A626" t="s">
        <v>3009</v>
      </c>
      <c r="B626">
        <f>I250</f>
        <v>195</v>
      </c>
      <c r="E626" s="85" t="s">
        <v>597</v>
      </c>
      <c r="F626" s="6">
        <v>100</v>
      </c>
      <c r="G626" s="12"/>
      <c r="H626" s="4" t="s">
        <v>11741</v>
      </c>
      <c r="I626" s="5">
        <f>F594</f>
        <v>105</v>
      </c>
      <c r="J626" s="5"/>
      <c r="K626" s="4" t="str">
        <f t="shared" si="612"/>
        <v>G55 c/aro Nac Diamonds = 105,00</v>
      </c>
      <c r="M626" s="4" t="str">
        <f t="shared" si="613"/>
        <v>G55 c/aro Nac Diamonds = 110,00</v>
      </c>
      <c r="O626" s="4" t="str">
        <f t="shared" si="614"/>
        <v>G55 c/aro Nac Diamonds = 100,00</v>
      </c>
      <c r="Q626" s="4" t="str">
        <f t="shared" si="615"/>
        <v>G55 c/aro Nac Diamonds = 115,00</v>
      </c>
    </row>
    <row r="627" spans="1:17" ht="15" customHeight="1" x14ac:dyDescent="0.3">
      <c r="A627" t="s">
        <v>3010</v>
      </c>
      <c r="B627">
        <f>I250</f>
        <v>195</v>
      </c>
      <c r="E627" s="85" t="s">
        <v>599</v>
      </c>
      <c r="F627" s="6">
        <v>160</v>
      </c>
      <c r="G627" s="12"/>
      <c r="H627" s="4" t="s">
        <v>590</v>
      </c>
      <c r="I627" s="5">
        <f t="shared" ref="I627:J633" si="620">F573</f>
        <v>70</v>
      </c>
      <c r="J627" s="5"/>
      <c r="K627" s="4" t="str">
        <f t="shared" si="532"/>
        <v>Moto G60/G60s        = R$ 70,00</v>
      </c>
      <c r="M627" s="4" t="str">
        <f t="shared" si="528"/>
        <v>Moto G60/G60s        = R$ 75,00</v>
      </c>
      <c r="O627" s="4" t="str">
        <f t="shared" si="472"/>
        <v>Moto G60/G60s        = R$ 65,00</v>
      </c>
      <c r="Q627" s="4" t="str">
        <f t="shared" si="603"/>
        <v>Moto G60/G60s        = R$ 80,00</v>
      </c>
    </row>
    <row r="628" spans="1:17" ht="15" customHeight="1" x14ac:dyDescent="0.3">
      <c r="A628" t="s">
        <v>3011</v>
      </c>
      <c r="B628">
        <f>I250</f>
        <v>195</v>
      </c>
      <c r="E628" s="85" t="s">
        <v>12115</v>
      </c>
      <c r="F628" s="16">
        <v>180</v>
      </c>
      <c r="G628" s="12"/>
      <c r="H628" s="4" t="s">
        <v>592</v>
      </c>
      <c r="I628" s="5">
        <f t="shared" si="620"/>
        <v>85</v>
      </c>
      <c r="J628" s="5"/>
      <c r="K628" s="4" t="str">
        <f t="shared" si="532"/>
        <v>Moto G60 c/aro        = R$ 85,00</v>
      </c>
      <c r="M628" s="4" t="str">
        <f t="shared" si="528"/>
        <v>Moto G60 c/aro        = R$ 90,00</v>
      </c>
      <c r="O628" s="4" t="str">
        <f t="shared" si="472"/>
        <v>Moto G60 c/aro        = R$ 80,00</v>
      </c>
      <c r="Q628" s="4" t="str">
        <f t="shared" si="603"/>
        <v>Moto G60 c/aro        = R$ 95,00</v>
      </c>
    </row>
    <row r="629" spans="1:17" ht="15" customHeight="1" x14ac:dyDescent="0.3">
      <c r="A629" t="s">
        <v>3012</v>
      </c>
      <c r="B629">
        <f>I250</f>
        <v>195</v>
      </c>
      <c r="E629" s="85" t="s">
        <v>12114</v>
      </c>
      <c r="F629" s="16">
        <v>190</v>
      </c>
      <c r="G629" s="12"/>
      <c r="H629" s="4" t="s">
        <v>11728</v>
      </c>
      <c r="I629" s="5">
        <f t="shared" si="620"/>
        <v>100</v>
      </c>
      <c r="J629" s="5"/>
      <c r="K629" s="4" t="str">
        <f t="shared" ref="K629" si="621">CONCATENATE(H629,I629,",00")</f>
        <v>Moto G60 c/aro Nacional=R$ 100,00</v>
      </c>
      <c r="M629" s="4" t="str">
        <f t="shared" ref="M629" si="622">CONCATENATE(H629,I629+5,",00")</f>
        <v>Moto G60 c/aro Nacional=R$ 105,00</v>
      </c>
      <c r="O629" s="4" t="str">
        <f t="shared" ref="O629" si="623">CONCATENATE(H629,I629-5,",00")</f>
        <v>Moto G60 c/aro Nacional=R$ 95,00</v>
      </c>
      <c r="Q629" s="4" t="str">
        <f t="shared" ref="Q629" si="624">CONCATENATE(H629,I629+10,",00")</f>
        <v>Moto G60 c/aro Nacional=R$ 110,00</v>
      </c>
    </row>
    <row r="630" spans="1:17" ht="15" customHeight="1" x14ac:dyDescent="0.3">
      <c r="A630" t="s">
        <v>3013</v>
      </c>
      <c r="B630">
        <f>I250</f>
        <v>195</v>
      </c>
      <c r="E630" s="85" t="s">
        <v>601</v>
      </c>
      <c r="F630" s="6">
        <v>100</v>
      </c>
      <c r="G630" s="12"/>
      <c r="H630" s="4" t="s">
        <v>11729</v>
      </c>
      <c r="I630" s="5">
        <f t="shared" si="620"/>
        <v>110</v>
      </c>
      <c r="J630" s="5"/>
      <c r="K630" s="4" t="str">
        <f t="shared" si="532"/>
        <v>G60 c/aro Nac Diamonds = 110,00</v>
      </c>
      <c r="M630" s="4" t="str">
        <f t="shared" si="528"/>
        <v>G60 c/aro Nac Diamonds = 115,00</v>
      </c>
      <c r="O630" s="4" t="str">
        <f t="shared" si="472"/>
        <v>G60 c/aro Nac Diamonds = 105,00</v>
      </c>
      <c r="Q630" s="4" t="str">
        <f t="shared" si="603"/>
        <v>G60 c/aro Nac Diamonds = 120,00</v>
      </c>
    </row>
    <row r="631" spans="1:17" ht="15" customHeight="1" x14ac:dyDescent="0.3">
      <c r="A631" t="s">
        <v>3014</v>
      </c>
      <c r="B631">
        <f>I251</f>
        <v>95</v>
      </c>
      <c r="E631" s="85" t="s">
        <v>11259</v>
      </c>
      <c r="F631" s="16">
        <v>140</v>
      </c>
      <c r="G631" s="12"/>
      <c r="H631" s="4" t="s">
        <v>595</v>
      </c>
      <c r="I631" s="5">
        <f t="shared" si="620"/>
        <v>85</v>
      </c>
      <c r="J631" s="5"/>
      <c r="K631" s="4" t="str">
        <f t="shared" si="532"/>
        <v>Moto G60s c/aro     = R$ 85,00</v>
      </c>
      <c r="M631" s="4" t="str">
        <f t="shared" si="528"/>
        <v>Moto G60s c/aro     = R$ 90,00</v>
      </c>
      <c r="O631" s="4" t="str">
        <f t="shared" si="472"/>
        <v>Moto G60s c/aro     = R$ 80,00</v>
      </c>
      <c r="Q631" s="4" t="str">
        <f t="shared" si="603"/>
        <v>Moto G60s c/aro     = R$ 95,00</v>
      </c>
    </row>
    <row r="632" spans="1:17" ht="15" customHeight="1" x14ac:dyDescent="0.3">
      <c r="A632" t="s">
        <v>3015</v>
      </c>
      <c r="B632">
        <f>I251</f>
        <v>95</v>
      </c>
      <c r="E632" s="85" t="s">
        <v>11752</v>
      </c>
      <c r="F632" s="6">
        <v>170</v>
      </c>
      <c r="G632" s="12"/>
      <c r="H632" s="4" t="s">
        <v>11730</v>
      </c>
      <c r="I632" s="5">
        <f t="shared" si="620"/>
        <v>95</v>
      </c>
      <c r="J632" s="5"/>
      <c r="K632" s="4" t="str">
        <f t="shared" ref="K632" si="625">CONCATENATE(H632,I632,",00")</f>
        <v>Moto G60s c/aro Nacional=R$ 95,00</v>
      </c>
      <c r="M632" s="4" t="str">
        <f t="shared" ref="M632" si="626">CONCATENATE(H632,I632+5,",00")</f>
        <v>Moto G60s c/aro Nacional=R$ 100,00</v>
      </c>
      <c r="O632" s="4" t="str">
        <f t="shared" ref="O632" si="627">CONCATENATE(H632,I632-5,",00")</f>
        <v>Moto G60s c/aro Nacional=R$ 90,00</v>
      </c>
      <c r="Q632" s="4" t="str">
        <f t="shared" ref="Q632" si="628">CONCATENATE(H632,I632+10,",00")</f>
        <v>Moto G60s c/aro Nacional=R$ 105,00</v>
      </c>
    </row>
    <row r="633" spans="1:17" ht="15" customHeight="1" x14ac:dyDescent="0.3">
      <c r="A633" t="s">
        <v>3016</v>
      </c>
      <c r="B633">
        <f>I251</f>
        <v>95</v>
      </c>
      <c r="E633" s="85" t="s">
        <v>11753</v>
      </c>
      <c r="F633" s="6">
        <v>180</v>
      </c>
      <c r="G633" s="12"/>
      <c r="H633" s="4" t="s">
        <v>11731</v>
      </c>
      <c r="I633" s="5">
        <f t="shared" si="620"/>
        <v>105</v>
      </c>
      <c r="J633" s="5"/>
      <c r="K633" s="4" t="str">
        <f t="shared" si="532"/>
        <v>G60s c/aro Nac Diamonds = 105,00</v>
      </c>
      <c r="M633" s="4" t="str">
        <f t="shared" si="528"/>
        <v>G60s c/aro Nac Diamonds = 110,00</v>
      </c>
      <c r="O633" s="4" t="str">
        <f t="shared" si="472"/>
        <v>G60s c/aro Nac Diamonds = 100,00</v>
      </c>
      <c r="Q633" s="4" t="str">
        <f t="shared" si="603"/>
        <v>G60s c/aro Nac Diamonds = 115,00</v>
      </c>
    </row>
    <row r="634" spans="1:17" ht="15" customHeight="1" x14ac:dyDescent="0.3">
      <c r="A634" t="s">
        <v>3017</v>
      </c>
      <c r="B634">
        <f>I251</f>
        <v>95</v>
      </c>
      <c r="E634" s="7"/>
      <c r="F634" s="6"/>
      <c r="G634" s="12"/>
      <c r="H634" s="4" t="s">
        <v>598</v>
      </c>
      <c r="I634" s="5">
        <f>F595</f>
        <v>70</v>
      </c>
      <c r="J634" s="5"/>
      <c r="K634" s="4" t="str">
        <f t="shared" si="532"/>
        <v>Moto G62    = R$ 70,00</v>
      </c>
      <c r="M634" s="4" t="str">
        <f t="shared" si="528"/>
        <v>Moto G62    = R$ 75,00</v>
      </c>
      <c r="O634" s="4" t="str">
        <f t="shared" si="472"/>
        <v>Moto G62    = R$ 65,00</v>
      </c>
      <c r="Q634" s="4" t="str">
        <f t="shared" si="603"/>
        <v>Moto G62    = R$ 80,00</v>
      </c>
    </row>
    <row r="635" spans="1:17" ht="15" customHeight="1" x14ac:dyDescent="0.3">
      <c r="A635" t="s">
        <v>3018</v>
      </c>
      <c r="B635">
        <f>I252</f>
        <v>170</v>
      </c>
      <c r="E635" s="7"/>
      <c r="F635" s="6"/>
      <c r="G635" s="12"/>
      <c r="H635" s="4" t="s">
        <v>600</v>
      </c>
      <c r="I635" s="5">
        <f>F596</f>
        <v>85</v>
      </c>
      <c r="J635" s="5"/>
      <c r="K635" s="4" t="str">
        <f t="shared" si="532"/>
        <v>Moto G62 c/aro     = R$ 85,00</v>
      </c>
      <c r="M635" s="4" t="str">
        <f t="shared" si="528"/>
        <v>Moto G62 c/aro     = R$ 90,00</v>
      </c>
      <c r="O635" s="4" t="str">
        <f t="shared" si="472"/>
        <v>Moto G62 c/aro     = R$ 80,00</v>
      </c>
      <c r="Q635" s="4" t="str">
        <f t="shared" si="603"/>
        <v>Moto G62 c/aro     = R$ 95,00</v>
      </c>
    </row>
    <row r="636" spans="1:17" ht="15" customHeight="1" x14ac:dyDescent="0.3">
      <c r="A636" t="s">
        <v>3019</v>
      </c>
      <c r="B636">
        <f>I252</f>
        <v>170</v>
      </c>
      <c r="E636" s="7"/>
      <c r="F636" s="6"/>
      <c r="G636" s="12"/>
      <c r="H636" s="4" t="s">
        <v>13285</v>
      </c>
      <c r="I636" s="5">
        <f>F597</f>
        <v>110</v>
      </c>
      <c r="J636" s="5"/>
      <c r="K636" s="4" t="str">
        <f t="shared" ref="K636:K637" si="629">CONCATENATE(H636,I636,",00")</f>
        <v>Moto G62 c/aro Nacional = 110,00</v>
      </c>
      <c r="M636" s="4" t="str">
        <f t="shared" ref="M636:M637" si="630">CONCATENATE(H636,I636+5,",00")</f>
        <v>Moto G62 c/aro Nacional = 115,00</v>
      </c>
      <c r="O636" s="4" t="str">
        <f t="shared" ref="O636:O637" si="631">CONCATENATE(H636,I636-5,",00")</f>
        <v>Moto G62 c/aro Nacional = 105,00</v>
      </c>
      <c r="Q636" s="4" t="str">
        <f t="shared" ref="Q636:Q637" si="632">CONCATENATE(H636,I636+10,",00")</f>
        <v>Moto G62 c/aro Nacional = 120,00</v>
      </c>
    </row>
    <row r="637" spans="1:17" ht="15" customHeight="1" x14ac:dyDescent="0.3">
      <c r="A637" t="s">
        <v>3020</v>
      </c>
      <c r="B637">
        <f>I252</f>
        <v>170</v>
      </c>
      <c r="E637" s="7"/>
      <c r="F637" s="6"/>
      <c r="G637" s="12"/>
      <c r="H637" s="4" t="s">
        <v>13286</v>
      </c>
      <c r="I637" s="5">
        <f>F598</f>
        <v>105</v>
      </c>
      <c r="J637" s="5"/>
      <c r="K637" s="4" t="str">
        <f t="shared" si="629"/>
        <v>Moto G62 c/aro Nac Diamonds = 105,00</v>
      </c>
      <c r="M637" s="4" t="str">
        <f t="shared" si="630"/>
        <v>Moto G62 c/aro Nac Diamonds = 110,00</v>
      </c>
      <c r="O637" s="4" t="str">
        <f t="shared" si="631"/>
        <v>Moto G62 c/aro Nac Diamonds = 100,00</v>
      </c>
      <c r="Q637" s="4" t="str">
        <f t="shared" si="632"/>
        <v>Moto G62 c/aro Nac Diamonds = 115,00</v>
      </c>
    </row>
    <row r="638" spans="1:17" ht="15" customHeight="1" x14ac:dyDescent="0.3">
      <c r="A638" t="s">
        <v>3021</v>
      </c>
      <c r="B638">
        <f>I252</f>
        <v>170</v>
      </c>
      <c r="E638" s="7"/>
      <c r="F638" s="6"/>
      <c r="G638" s="12"/>
      <c r="H638" s="4" t="s">
        <v>602</v>
      </c>
      <c r="I638" s="5">
        <f>F542</f>
        <v>65</v>
      </c>
      <c r="J638" s="5"/>
      <c r="K638" s="4" t="str">
        <f t="shared" si="532"/>
        <v>Moto G71 incell    = R$ 65,00</v>
      </c>
      <c r="M638" s="4" t="str">
        <f t="shared" si="528"/>
        <v>Moto G71 incell    = R$ 70,00</v>
      </c>
      <c r="O638" s="4" t="str">
        <f t="shared" si="472"/>
        <v>Moto G71 incell    = R$ 60,00</v>
      </c>
      <c r="Q638" s="4" t="str">
        <f t="shared" si="603"/>
        <v>Moto G71 incell    = R$ 75,00</v>
      </c>
    </row>
    <row r="639" spans="1:17" ht="15" customHeight="1" x14ac:dyDescent="0.3">
      <c r="A639" t="s">
        <v>3022</v>
      </c>
      <c r="B639">
        <f>I252</f>
        <v>170</v>
      </c>
      <c r="E639" s="7"/>
      <c r="F639" s="6"/>
      <c r="G639" s="12"/>
      <c r="H639" s="4" t="s">
        <v>603</v>
      </c>
      <c r="I639" s="5">
        <f>F544</f>
        <v>155</v>
      </c>
      <c r="J639" s="5"/>
      <c r="K639" s="4" t="str">
        <f t="shared" si="532"/>
        <v>Moto G71 original  = R$ 155,00</v>
      </c>
      <c r="M639" s="4" t="str">
        <f t="shared" si="528"/>
        <v>Moto G71 original  = R$ 160,00</v>
      </c>
      <c r="O639" s="4" t="str">
        <f t="shared" si="472"/>
        <v>Moto G71 original  = R$ 150,00</v>
      </c>
      <c r="Q639" s="4" t="str">
        <f t="shared" si="603"/>
        <v>Moto G71 original  = R$ 165,00</v>
      </c>
    </row>
    <row r="640" spans="1:17" ht="15" customHeight="1" x14ac:dyDescent="0.3">
      <c r="A640" t="s">
        <v>3023</v>
      </c>
      <c r="B640">
        <f>I252</f>
        <v>170</v>
      </c>
      <c r="E640" s="7"/>
      <c r="F640" s="6"/>
      <c r="G640" s="12"/>
      <c r="H640" s="4" t="s">
        <v>12519</v>
      </c>
      <c r="I640" s="5">
        <f>F599</f>
        <v>80</v>
      </c>
      <c r="J640" s="5"/>
      <c r="K640" s="4" t="str">
        <f t="shared" si="532"/>
        <v>Moto G71 incell c/aro = R$ 80,00</v>
      </c>
      <c r="M640" s="4" t="str">
        <f t="shared" si="528"/>
        <v>Moto G71 incell c/aro = R$ 85,00</v>
      </c>
      <c r="O640" s="4" t="str">
        <f t="shared" si="472"/>
        <v>Moto G71 incell c/aro = R$ 75,00</v>
      </c>
      <c r="Q640" s="4" t="str">
        <f t="shared" si="603"/>
        <v>Moto G71 incell c/aro = R$ 90,00</v>
      </c>
    </row>
    <row r="641" spans="1:17" ht="15" customHeight="1" x14ac:dyDescent="0.3">
      <c r="A641" t="s">
        <v>3024</v>
      </c>
      <c r="B641">
        <f>I252</f>
        <v>170</v>
      </c>
      <c r="E641" s="7"/>
      <c r="F641" s="6"/>
      <c r="G641" s="12"/>
      <c r="H641" s="4" t="s">
        <v>12559</v>
      </c>
      <c r="I641" s="5">
        <f>F600</f>
        <v>165</v>
      </c>
      <c r="J641" s="5"/>
      <c r="K641" s="4" t="str">
        <f t="shared" si="532"/>
        <v>Moto G71 orig c/aro = R$ 165,00</v>
      </c>
      <c r="M641" s="4" t="str">
        <f t="shared" si="528"/>
        <v>Moto G71 orig c/aro = R$ 170,00</v>
      </c>
      <c r="O641" s="4" t="str">
        <f t="shared" si="472"/>
        <v>Moto G71 orig c/aro = R$ 160,00</v>
      </c>
      <c r="Q641" s="4" t="str">
        <f t="shared" si="603"/>
        <v>Moto G71 orig c/aro = R$ 175,00</v>
      </c>
    </row>
    <row r="642" spans="1:17" ht="15" customHeight="1" x14ac:dyDescent="0.3">
      <c r="A642" t="s">
        <v>3025</v>
      </c>
      <c r="B642">
        <f>I252</f>
        <v>170</v>
      </c>
      <c r="E642" s="85" t="s">
        <v>609</v>
      </c>
      <c r="F642" s="6">
        <v>65</v>
      </c>
      <c r="G642" s="12"/>
      <c r="H642" s="4" t="s">
        <v>12889</v>
      </c>
      <c r="I642" s="5">
        <f>F601</f>
        <v>185</v>
      </c>
      <c r="J642" s="5"/>
      <c r="K642" s="4" t="str">
        <f t="shared" si="532"/>
        <v>Moto G71 c/aro Nacional= 185,00</v>
      </c>
      <c r="M642" s="4" t="str">
        <f t="shared" si="528"/>
        <v>Moto G71 c/aro Nacional= 190,00</v>
      </c>
      <c r="O642" s="4" t="str">
        <f t="shared" si="472"/>
        <v>Moto G71 c/aro Nacional= 180,00</v>
      </c>
      <c r="Q642" s="4" t="str">
        <f t="shared" si="603"/>
        <v>Moto G71 c/aro Nacional= 195,00</v>
      </c>
    </row>
    <row r="643" spans="1:17" ht="15" customHeight="1" x14ac:dyDescent="0.3">
      <c r="A643" t="s">
        <v>2052</v>
      </c>
      <c r="B643">
        <f>I234</f>
        <v>270</v>
      </c>
      <c r="E643" s="85" t="s">
        <v>611</v>
      </c>
      <c r="F643" s="6">
        <v>80</v>
      </c>
      <c r="G643" s="12"/>
      <c r="H643" s="4" t="s">
        <v>13236</v>
      </c>
      <c r="I643" s="5">
        <f>F602</f>
        <v>195</v>
      </c>
      <c r="J643" s="5"/>
      <c r="K643" s="4" t="str">
        <f t="shared" si="532"/>
        <v>G71 c/aro Nac Diamonds = 195,00</v>
      </c>
      <c r="M643" s="4" t="str">
        <f t="shared" si="528"/>
        <v>G71 c/aro Nac Diamonds = 200,00</v>
      </c>
      <c r="O643" s="4" t="str">
        <f t="shared" si="472"/>
        <v>G71 c/aro Nac Diamonds = 190,00</v>
      </c>
      <c r="Q643" s="4" t="str">
        <f t="shared" si="603"/>
        <v>G71 c/aro Nac Diamonds = 205,00</v>
      </c>
    </row>
    <row r="644" spans="1:17" ht="15" customHeight="1" x14ac:dyDescent="0.3">
      <c r="A644" t="s">
        <v>3027</v>
      </c>
      <c r="B644">
        <f>I234</f>
        <v>270</v>
      </c>
      <c r="E644" s="85" t="s">
        <v>11755</v>
      </c>
      <c r="F644" s="16">
        <v>90</v>
      </c>
      <c r="G644" s="12"/>
      <c r="H644" s="4" t="s">
        <v>1851</v>
      </c>
      <c r="I644" s="5">
        <f>F580</f>
        <v>75</v>
      </c>
      <c r="J644" s="5"/>
      <c r="K644" s="4" t="str">
        <f t="shared" ref="K644" si="633">CONCATENATE(H644,I644,",00")</f>
        <v>Moto G72 incell    = R$ 75,00</v>
      </c>
      <c r="M644" s="4" t="str">
        <f t="shared" ref="M644" si="634">CONCATENATE(H644,I644+5,",00")</f>
        <v>Moto G72 incell    = R$ 80,00</v>
      </c>
      <c r="O644" s="4" t="str">
        <f t="shared" ref="O644" si="635">CONCATENATE(H644,I644-5,",00")</f>
        <v>Moto G72 incell    = R$ 70,00</v>
      </c>
      <c r="Q644" s="4" t="str">
        <f t="shared" ref="Q644" si="636">CONCATENATE(H644,I644+10,",00")</f>
        <v>Moto G72 incell    = R$ 85,00</v>
      </c>
    </row>
    <row r="645" spans="1:17" ht="15" customHeight="1" x14ac:dyDescent="0.3">
      <c r="A645" t="s">
        <v>3026</v>
      </c>
      <c r="B645">
        <f>I234</f>
        <v>270</v>
      </c>
      <c r="E645" s="85" t="s">
        <v>11756</v>
      </c>
      <c r="F645" s="16">
        <v>100</v>
      </c>
      <c r="G645" s="12"/>
      <c r="H645" s="4" t="s">
        <v>604</v>
      </c>
      <c r="I645" s="5">
        <f>F603</f>
        <v>100</v>
      </c>
      <c r="J645" s="5"/>
      <c r="K645" s="4" t="str">
        <f t="shared" si="532"/>
        <v>Moto G72 incell c/aro = R$ 100,00</v>
      </c>
      <c r="M645" s="4" t="str">
        <f t="shared" si="528"/>
        <v>Moto G72 incell c/aro = R$ 105,00</v>
      </c>
      <c r="O645" s="4" t="str">
        <f t="shared" si="472"/>
        <v>Moto G72 incell c/aro = R$ 95,00</v>
      </c>
      <c r="Q645" s="4" t="str">
        <f t="shared" si="603"/>
        <v>Moto G72 incell c/aro = R$ 110,00</v>
      </c>
    </row>
    <row r="646" spans="1:17" ht="15" customHeight="1" x14ac:dyDescent="0.3">
      <c r="A646" t="s">
        <v>3028</v>
      </c>
      <c r="B646">
        <f>I234</f>
        <v>270</v>
      </c>
      <c r="E646" s="85" t="s">
        <v>613</v>
      </c>
      <c r="F646" s="6">
        <v>65</v>
      </c>
      <c r="G646" s="12"/>
      <c r="H646" s="4" t="s">
        <v>1852</v>
      </c>
      <c r="I646" s="5">
        <f>F582</f>
        <v>180</v>
      </c>
      <c r="J646" s="5"/>
      <c r="K646" s="4" t="str">
        <f t="shared" ref="K646" si="637">CONCATENATE(H646,I646,",00")</f>
        <v>Moto G72 original = R$ 180,00</v>
      </c>
      <c r="M646" s="4" t="str">
        <f t="shared" ref="M646" si="638">CONCATENATE(H646,I646+5,",00")</f>
        <v>Moto G72 original = R$ 185,00</v>
      </c>
      <c r="O646" s="4" t="str">
        <f t="shared" ref="O646" si="639">CONCATENATE(H646,I646-5,",00")</f>
        <v>Moto G72 original = R$ 175,00</v>
      </c>
      <c r="Q646" s="4" t="str">
        <f t="shared" ref="Q646" si="640">CONCATENATE(H646,I646+10,",00")</f>
        <v>Moto G72 original = R$ 190,00</v>
      </c>
    </row>
    <row r="647" spans="1:17" ht="15" customHeight="1" x14ac:dyDescent="0.3">
      <c r="A647" t="s">
        <v>1893</v>
      </c>
      <c r="B647">
        <f>I235</f>
        <v>350</v>
      </c>
      <c r="E647" s="85" t="s">
        <v>617</v>
      </c>
      <c r="F647" s="6">
        <v>170</v>
      </c>
      <c r="G647" s="12"/>
      <c r="H647" s="4" t="s">
        <v>605</v>
      </c>
      <c r="I647" s="5">
        <f>F604</f>
        <v>215</v>
      </c>
      <c r="J647" s="5"/>
      <c r="K647" s="4" t="str">
        <f t="shared" si="532"/>
        <v>Moto G72 orig c/aro = R$ 215,00</v>
      </c>
      <c r="M647" s="4" t="str">
        <f t="shared" si="528"/>
        <v>Moto G72 orig c/aro = R$ 220,00</v>
      </c>
      <c r="O647" s="4" t="str">
        <f t="shared" si="472"/>
        <v>Moto G72 orig c/aro = R$ 210,00</v>
      </c>
      <c r="Q647" s="4" t="str">
        <f t="shared" si="603"/>
        <v>Moto G72 orig c/aro = R$ 225,00</v>
      </c>
    </row>
    <row r="648" spans="1:17" ht="15" customHeight="1" x14ac:dyDescent="0.3">
      <c r="A648" t="s">
        <v>3276</v>
      </c>
      <c r="B648">
        <f>I253</f>
        <v>180</v>
      </c>
      <c r="E648" s="85" t="s">
        <v>619</v>
      </c>
      <c r="F648" s="6">
        <v>170</v>
      </c>
      <c r="G648" s="12"/>
      <c r="H648" s="4" t="s">
        <v>973</v>
      </c>
      <c r="I648" s="5">
        <f>F605</f>
        <v>275</v>
      </c>
      <c r="J648" s="5"/>
      <c r="K648" s="4" t="str">
        <f t="shared" si="532"/>
        <v>Moto G72 c/aro Nacional =275,00</v>
      </c>
      <c r="M648" s="4" t="str">
        <f t="shared" si="528"/>
        <v>Moto G72 c/aro Nacional =280,00</v>
      </c>
      <c r="O648" s="4" t="str">
        <f t="shared" si="472"/>
        <v>Moto G72 c/aro Nacional =270,00</v>
      </c>
      <c r="Q648" s="4" t="str">
        <f>CONCATENATE(H649,I649+10,",00")</f>
        <v>G72 c/aro Nac Diamonds = 295,00</v>
      </c>
    </row>
    <row r="649" spans="1:17" ht="15" customHeight="1" x14ac:dyDescent="0.3">
      <c r="A649" t="s">
        <v>3277</v>
      </c>
      <c r="B649">
        <f>I253</f>
        <v>180</v>
      </c>
      <c r="E649" s="85" t="s">
        <v>12511</v>
      </c>
      <c r="F649" s="16">
        <v>200</v>
      </c>
      <c r="G649" s="12"/>
      <c r="H649" s="4" t="s">
        <v>11748</v>
      </c>
      <c r="I649" s="5">
        <f>F606</f>
        <v>285</v>
      </c>
      <c r="J649" s="5"/>
      <c r="K649" s="4" t="str">
        <f t="shared" ref="K649" si="641">CONCATENATE(H649,I649,",00")</f>
        <v>G72 c/aro Nac Diamonds = 285,00</v>
      </c>
      <c r="M649" s="4" t="str">
        <f t="shared" ref="M649" si="642">CONCATENATE(H649,I649+5,",00")</f>
        <v>G72 c/aro Nac Diamonds = 290,00</v>
      </c>
      <c r="O649" s="4" t="str">
        <f t="shared" ref="O649" si="643">CONCATENATE(H649,I649-5,",00")</f>
        <v>G72 c/aro Nac Diamonds = 280,00</v>
      </c>
      <c r="Q649" s="4" t="str">
        <f>CONCATENATE(H650,I650+10,",00")</f>
        <v>Moto G73       = R$ 85,00</v>
      </c>
    </row>
    <row r="650" spans="1:17" ht="15" customHeight="1" x14ac:dyDescent="0.3">
      <c r="A650" t="s">
        <v>3278</v>
      </c>
      <c r="B650">
        <f>I253</f>
        <v>180</v>
      </c>
      <c r="E650" s="85" t="s">
        <v>622</v>
      </c>
      <c r="F650" s="6">
        <v>65</v>
      </c>
      <c r="G650" s="12"/>
      <c r="H650" s="4" t="s">
        <v>606</v>
      </c>
      <c r="I650" s="5">
        <f>F548</f>
        <v>75</v>
      </c>
      <c r="J650" s="5"/>
      <c r="K650" s="4" t="str">
        <f t="shared" si="532"/>
        <v>Moto G73       = R$ 75,00</v>
      </c>
      <c r="M650" s="4" t="str">
        <f t="shared" si="528"/>
        <v>Moto G73       = R$ 80,00</v>
      </c>
      <c r="O650" s="4" t="str">
        <f t="shared" si="472"/>
        <v>Moto G73       = R$ 70,00</v>
      </c>
      <c r="Q650" s="4" t="str">
        <f>CONCATENATE(H651,I651+10,",00")</f>
        <v>Moto G73 c/aro          = R$ 105,00</v>
      </c>
    </row>
    <row r="651" spans="1:17" ht="15" customHeight="1" x14ac:dyDescent="0.3">
      <c r="A651" t="s">
        <v>3279</v>
      </c>
      <c r="B651">
        <f>I253</f>
        <v>180</v>
      </c>
      <c r="E651" s="85" t="s">
        <v>13184</v>
      </c>
      <c r="F651" s="6">
        <v>75</v>
      </c>
      <c r="G651" s="12"/>
      <c r="H651" s="4" t="s">
        <v>607</v>
      </c>
      <c r="I651" s="5">
        <f>F607</f>
        <v>95</v>
      </c>
      <c r="J651" s="5"/>
      <c r="K651" s="4" t="str">
        <f t="shared" si="532"/>
        <v>Moto G73 c/aro          = R$ 95,00</v>
      </c>
      <c r="M651" s="4" t="str">
        <f t="shared" si="528"/>
        <v>Moto G73 c/aro          = R$ 100,00</v>
      </c>
      <c r="O651" s="4" t="str">
        <f t="shared" si="472"/>
        <v>Moto G73 c/aro          = R$ 90,00</v>
      </c>
      <c r="Q651" s="4" t="str">
        <f t="shared" ref="Q651:Q652" si="644">CONCATENATE(H651,I651+10,",00")</f>
        <v>Moto G73 c/aro          = R$ 105,00</v>
      </c>
    </row>
    <row r="652" spans="1:17" ht="15" customHeight="1" x14ac:dyDescent="0.3">
      <c r="A652" t="s">
        <v>3280</v>
      </c>
      <c r="B652">
        <f>I253</f>
        <v>180</v>
      </c>
      <c r="E652" s="85" t="s">
        <v>625</v>
      </c>
      <c r="F652" s="6">
        <v>85</v>
      </c>
      <c r="G652" s="12"/>
      <c r="H652" s="4" t="s">
        <v>11746</v>
      </c>
      <c r="I652" s="5">
        <f>F608</f>
        <v>110</v>
      </c>
      <c r="J652" s="5"/>
      <c r="K652" s="4" t="str">
        <f t="shared" ref="K652" si="645">CONCATENATE(H652,I652,",00")</f>
        <v>Moto G73 c/aro Nacional = R$ 110,00</v>
      </c>
      <c r="M652" s="4" t="str">
        <f t="shared" ref="M652" si="646">CONCATENATE(H652,I652+5,",00")</f>
        <v>Moto G73 c/aro Nacional = R$ 115,00</v>
      </c>
      <c r="O652" s="4" t="str">
        <f t="shared" ref="O652" si="647">CONCATENATE(H652,I652-5,",00")</f>
        <v>Moto G73 c/aro Nacional = R$ 105,00</v>
      </c>
      <c r="Q652" s="4" t="str">
        <f t="shared" si="644"/>
        <v>Moto G73 c/aro Nacional = R$ 120,00</v>
      </c>
    </row>
    <row r="653" spans="1:17" ht="15" customHeight="1" x14ac:dyDescent="0.3">
      <c r="A653" t="s">
        <v>3281</v>
      </c>
      <c r="B653">
        <f>I253</f>
        <v>180</v>
      </c>
      <c r="E653" s="85" t="s">
        <v>11759</v>
      </c>
      <c r="F653" s="6">
        <v>95</v>
      </c>
      <c r="G653" s="12"/>
      <c r="H653" s="4" t="s">
        <v>11747</v>
      </c>
      <c r="I653" s="5">
        <f>F609</f>
        <v>120</v>
      </c>
      <c r="J653" s="5"/>
      <c r="K653" s="4" t="str">
        <f t="shared" si="532"/>
        <v>G73 c/aro Nac Diamonds = 120,00</v>
      </c>
      <c r="M653" s="4" t="str">
        <f t="shared" si="528"/>
        <v>G73 c/aro Nac Diamonds = 125,00</v>
      </c>
      <c r="O653" s="4" t="str">
        <f t="shared" si="472"/>
        <v>G73 c/aro Nac Diamonds = 115,00</v>
      </c>
      <c r="Q653" s="4" t="str">
        <f t="shared" si="603"/>
        <v>G73 c/aro Nac Diamonds = 130,00</v>
      </c>
    </row>
    <row r="654" spans="1:17" ht="15" customHeight="1" x14ac:dyDescent="0.3">
      <c r="A654" t="s">
        <v>3282</v>
      </c>
      <c r="B654">
        <f>I253</f>
        <v>180</v>
      </c>
      <c r="E654" s="85" t="s">
        <v>627</v>
      </c>
      <c r="F654" s="6">
        <v>75</v>
      </c>
      <c r="G654" s="12"/>
      <c r="H654" s="4" t="s">
        <v>11118</v>
      </c>
      <c r="I654" s="5">
        <f>F610</f>
        <v>85</v>
      </c>
      <c r="J654" s="5"/>
      <c r="K654" s="4" t="str">
        <f t="shared" ref="K654:K655" si="648">CONCATENATE(H654,I654,",00")</f>
        <v>Moto G75    = R$ 85,00</v>
      </c>
      <c r="M654" s="4" t="str">
        <f t="shared" ref="M654:M655" si="649">CONCATENATE(H654,I654+5,",00")</f>
        <v>Moto G75    = R$ 90,00</v>
      </c>
      <c r="O654" s="4" t="str">
        <f t="shared" ref="O654:O655" si="650">CONCATENATE(H654,I654-5,",00")</f>
        <v>Moto G75    = R$ 80,00</v>
      </c>
      <c r="Q654" s="4" t="str">
        <f t="shared" ref="Q654:Q655" si="651">CONCATENATE(H654,I654+10,",00")</f>
        <v>Moto G75    = R$ 95,00</v>
      </c>
    </row>
    <row r="655" spans="1:17" ht="15" customHeight="1" x14ac:dyDescent="0.3">
      <c r="A655" t="s">
        <v>3283</v>
      </c>
      <c r="B655">
        <f>I253</f>
        <v>180</v>
      </c>
      <c r="E655" s="85" t="s">
        <v>13326</v>
      </c>
      <c r="F655" s="16">
        <v>95</v>
      </c>
      <c r="G655" s="12"/>
      <c r="H655" s="4" t="s">
        <v>13331</v>
      </c>
      <c r="I655" s="5">
        <f>F611</f>
        <v>130</v>
      </c>
      <c r="J655" s="5"/>
      <c r="K655" s="4" t="str">
        <f t="shared" si="648"/>
        <v>Moto G75 c/aro = R$ 130,00</v>
      </c>
      <c r="M655" s="4" t="str">
        <f t="shared" si="649"/>
        <v>Moto G75 c/aro = R$ 135,00</v>
      </c>
      <c r="O655" s="4" t="str">
        <f t="shared" si="650"/>
        <v>Moto G75 c/aro = R$ 125,00</v>
      </c>
      <c r="Q655" s="4" t="str">
        <f t="shared" si="651"/>
        <v>Moto G75 c/aro = R$ 140,00</v>
      </c>
    </row>
    <row r="656" spans="1:17" ht="15" customHeight="1" x14ac:dyDescent="0.3">
      <c r="A656" t="s">
        <v>11480</v>
      </c>
      <c r="B656">
        <f>I347</f>
        <v>830</v>
      </c>
      <c r="E656" s="85" t="s">
        <v>11762</v>
      </c>
      <c r="F656" s="6">
        <v>105</v>
      </c>
      <c r="G656" s="12"/>
      <c r="H656" s="4" t="s">
        <v>608</v>
      </c>
      <c r="I656" s="5">
        <f t="shared" ref="I656:J661" si="652">F580</f>
        <v>75</v>
      </c>
      <c r="J656" s="5"/>
      <c r="K656" s="4" t="str">
        <f t="shared" si="532"/>
        <v>Moto G82 incell  = R$ 75,00</v>
      </c>
      <c r="M656" s="4" t="str">
        <f t="shared" si="528"/>
        <v>Moto G82 incell  = R$ 80,00</v>
      </c>
      <c r="O656" s="4" t="str">
        <f t="shared" si="472"/>
        <v>Moto G82 incell  = R$ 70,00</v>
      </c>
      <c r="Q656" s="4" t="str">
        <f t="shared" si="603"/>
        <v>Moto G82 incell  = R$ 85,00</v>
      </c>
    </row>
    <row r="657" spans="1:17" ht="15" customHeight="1" x14ac:dyDescent="0.3">
      <c r="A657" t="s">
        <v>11481</v>
      </c>
      <c r="B657">
        <f>I347</f>
        <v>830</v>
      </c>
      <c r="E657" s="85" t="s">
        <v>11761</v>
      </c>
      <c r="F657" s="6">
        <v>115</v>
      </c>
      <c r="G657" s="12"/>
      <c r="H657" s="4" t="s">
        <v>610</v>
      </c>
      <c r="I657" s="5">
        <f t="shared" si="652"/>
        <v>85</v>
      </c>
      <c r="J657" s="5"/>
      <c r="K657" s="4" t="str">
        <f t="shared" si="532"/>
        <v>Moto G82 incell c/aro = R$ 85,00</v>
      </c>
      <c r="M657" s="4" t="str">
        <f t="shared" si="528"/>
        <v>Moto G82 incell c/aro = R$ 90,00</v>
      </c>
      <c r="O657" s="4" t="str">
        <f t="shared" si="472"/>
        <v>Moto G82 incell c/aro = R$ 80,00</v>
      </c>
      <c r="Q657" s="4" t="str">
        <f t="shared" si="603"/>
        <v>Moto G82 incell c/aro = R$ 95,00</v>
      </c>
    </row>
    <row r="658" spans="1:17" ht="15" customHeight="1" x14ac:dyDescent="0.3">
      <c r="A658" t="s">
        <v>11482</v>
      </c>
      <c r="B658">
        <f>I348</f>
        <v>920</v>
      </c>
      <c r="E658" s="85" t="s">
        <v>629</v>
      </c>
      <c r="F658" s="6">
        <v>135</v>
      </c>
      <c r="G658" s="12"/>
      <c r="H658" s="4" t="s">
        <v>612</v>
      </c>
      <c r="I658" s="5">
        <f t="shared" si="652"/>
        <v>180</v>
      </c>
      <c r="J658" s="5"/>
      <c r="K658" s="4" t="str">
        <f t="shared" si="532"/>
        <v>Moto G82 original  = R$ 180,00</v>
      </c>
      <c r="M658" s="4" t="str">
        <f t="shared" si="528"/>
        <v>Moto G82 original  = R$ 185,00</v>
      </c>
      <c r="O658" s="4" t="str">
        <f t="shared" si="472"/>
        <v>Moto G82 original  = R$ 175,00</v>
      </c>
      <c r="Q658" s="4" t="str">
        <f t="shared" si="603"/>
        <v>Moto G82 original  = R$ 190,00</v>
      </c>
    </row>
    <row r="659" spans="1:17" ht="15" customHeight="1" x14ac:dyDescent="0.3">
      <c r="A659" t="s">
        <v>11483</v>
      </c>
      <c r="B659">
        <f>I348</f>
        <v>920</v>
      </c>
      <c r="E659" s="7"/>
      <c r="F659" s="6"/>
      <c r="G659" s="12"/>
      <c r="H659" s="4" t="s">
        <v>614</v>
      </c>
      <c r="I659" s="5">
        <f t="shared" si="652"/>
        <v>205</v>
      </c>
      <c r="J659" s="5"/>
      <c r="K659" s="4" t="str">
        <f t="shared" si="532"/>
        <v>Moto G82 orig c/aro = R$ 205,00</v>
      </c>
      <c r="M659" s="4" t="str">
        <f t="shared" si="528"/>
        <v>Moto G82 orig c/aro = R$ 210,00</v>
      </c>
      <c r="O659" s="4" t="str">
        <f t="shared" si="472"/>
        <v>Moto G82 orig c/aro = R$ 200,00</v>
      </c>
      <c r="Q659" s="4" t="str">
        <f t="shared" si="603"/>
        <v>Moto G82 orig c/aro = R$ 215,00</v>
      </c>
    </row>
    <row r="660" spans="1:17" ht="15" customHeight="1" x14ac:dyDescent="0.3">
      <c r="A660" t="s">
        <v>1894</v>
      </c>
      <c r="B660">
        <f>I350</f>
        <v>240</v>
      </c>
      <c r="E660" s="85" t="s">
        <v>632</v>
      </c>
      <c r="F660" s="6">
        <v>40</v>
      </c>
      <c r="G660" s="12"/>
      <c r="H660" s="4" t="s">
        <v>615</v>
      </c>
      <c r="I660" s="5">
        <f t="shared" si="652"/>
        <v>215</v>
      </c>
      <c r="J660" s="5"/>
      <c r="K660" s="4" t="str">
        <f t="shared" ref="K660" si="653">CONCATENATE(H660,I660,",00")</f>
        <v>Moto G82 Nacional c/aro = 215,00</v>
      </c>
      <c r="M660" s="4" t="str">
        <f t="shared" ref="M660" si="654">CONCATENATE(H660,I660+5,",00")</f>
        <v>Moto G82 Nacional c/aro = 220,00</v>
      </c>
      <c r="O660" s="4" t="str">
        <f t="shared" ref="O660" si="655">CONCATENATE(H660,I660-5,",00")</f>
        <v>Moto G82 Nacional c/aro = 210,00</v>
      </c>
      <c r="Q660" s="4" t="str">
        <f t="shared" ref="Q660" si="656">CONCATENATE(H660,I660+10,",00")</f>
        <v>Moto G82 Nacional c/aro = 225,00</v>
      </c>
    </row>
    <row r="661" spans="1:17" ht="15" customHeight="1" x14ac:dyDescent="0.3">
      <c r="A661" t="s">
        <v>2628</v>
      </c>
      <c r="B661">
        <f>I350</f>
        <v>240</v>
      </c>
      <c r="E661" s="85" t="s">
        <v>634</v>
      </c>
      <c r="F661" s="6">
        <v>55</v>
      </c>
      <c r="G661" s="12"/>
      <c r="H661" s="4" t="s">
        <v>11735</v>
      </c>
      <c r="I661" s="5">
        <f t="shared" si="652"/>
        <v>225</v>
      </c>
      <c r="J661" s="5"/>
      <c r="K661" s="4" t="str">
        <f t="shared" si="532"/>
        <v>Moto G82 c/aro Nac Diamonds = 225,00</v>
      </c>
      <c r="M661" s="4" t="str">
        <f t="shared" si="528"/>
        <v>Moto G82 c/aro Nac Diamonds = 230,00</v>
      </c>
      <c r="O661" s="4" t="str">
        <f t="shared" si="472"/>
        <v>Moto G82 c/aro Nac Diamonds = 220,00</v>
      </c>
      <c r="Q661" s="4" t="str">
        <f t="shared" si="603"/>
        <v>Moto G82 c/aro Nac Diamonds = 235,00</v>
      </c>
    </row>
    <row r="662" spans="1:17" ht="15" customHeight="1" x14ac:dyDescent="0.3">
      <c r="A662" t="s">
        <v>11849</v>
      </c>
      <c r="B662">
        <f>I351</f>
        <v>260</v>
      </c>
      <c r="E662" s="85" t="s">
        <v>637</v>
      </c>
      <c r="F662" s="6">
        <v>55</v>
      </c>
      <c r="G662" s="12"/>
      <c r="H662" s="4" t="s">
        <v>616</v>
      </c>
      <c r="I662" s="5">
        <f t="shared" ref="I662:J683" si="657">F612</f>
        <v>70</v>
      </c>
      <c r="J662" s="5"/>
      <c r="K662" s="4" t="str">
        <f t="shared" si="532"/>
        <v>Moto G84 incell         = R$ 70,00</v>
      </c>
      <c r="M662" s="4" t="str">
        <f t="shared" si="528"/>
        <v>Moto G84 incell         = R$ 75,00</v>
      </c>
      <c r="O662" s="4" t="str">
        <f t="shared" si="472"/>
        <v>Moto G84 incell         = R$ 65,00</v>
      </c>
      <c r="Q662" s="4" t="str">
        <f t="shared" si="603"/>
        <v>Moto G84 incell         = R$ 80,00</v>
      </c>
    </row>
    <row r="663" spans="1:17" ht="15" customHeight="1" x14ac:dyDescent="0.3">
      <c r="A663" t="s">
        <v>11850</v>
      </c>
      <c r="B663">
        <f>I351</f>
        <v>260</v>
      </c>
      <c r="E663" s="85" t="s">
        <v>640</v>
      </c>
      <c r="F663" s="6">
        <v>60</v>
      </c>
      <c r="G663" s="12"/>
      <c r="H663" s="4" t="s">
        <v>618</v>
      </c>
      <c r="I663" s="5">
        <f t="shared" si="657"/>
        <v>90</v>
      </c>
      <c r="J663" s="5"/>
      <c r="K663" s="4" t="str">
        <f t="shared" si="532"/>
        <v>Moto G84 incell c/aro = R$ 90,00</v>
      </c>
      <c r="M663" s="4" t="str">
        <f t="shared" si="528"/>
        <v>Moto G84 incell c/aro = R$ 95,00</v>
      </c>
      <c r="O663" s="4" t="str">
        <f t="shared" si="472"/>
        <v>Moto G84 incell c/aro = R$ 85,00</v>
      </c>
      <c r="Q663" s="4" t="str">
        <f t="shared" si="603"/>
        <v>Moto G84 incell c/aro = R$ 100,00</v>
      </c>
    </row>
    <row r="664" spans="1:17" ht="15" customHeight="1" x14ac:dyDescent="0.3">
      <c r="A664" t="s">
        <v>11484</v>
      </c>
      <c r="B664">
        <f>I349</f>
        <v>720</v>
      </c>
      <c r="E664" s="85" t="s">
        <v>641</v>
      </c>
      <c r="F664" s="6">
        <v>65</v>
      </c>
      <c r="G664" s="12"/>
      <c r="H664" s="4" t="s">
        <v>10841</v>
      </c>
      <c r="I664" s="5">
        <f t="shared" si="657"/>
        <v>185</v>
      </c>
      <c r="J664" s="5"/>
      <c r="K664" s="4" t="str">
        <f t="shared" ref="K664" si="658">CONCATENATE(H664,I664,",00")</f>
        <v>Moto G84 orig  = R$ 185,00</v>
      </c>
      <c r="M664" s="4" t="str">
        <f t="shared" ref="M664" si="659">CONCATENATE(H664,I664+5,",00")</f>
        <v>Moto G84 orig  = R$ 190,00</v>
      </c>
      <c r="O664" s="4" t="str">
        <f t="shared" ref="O664" si="660">CONCATENATE(H664,I664-5,",00")</f>
        <v>Moto G84 orig  = R$ 180,00</v>
      </c>
      <c r="Q664" s="4" t="str">
        <f t="shared" ref="Q664" si="661">CONCATENATE(H664,I664+10,",00")</f>
        <v>Moto G84 orig  = R$ 195,00</v>
      </c>
    </row>
    <row r="665" spans="1:17" ht="15" customHeight="1" x14ac:dyDescent="0.3">
      <c r="A665" t="s">
        <v>11485</v>
      </c>
      <c r="B665">
        <f>I349</f>
        <v>720</v>
      </c>
      <c r="E665" s="85" t="s">
        <v>643</v>
      </c>
      <c r="F665" s="6">
        <v>70</v>
      </c>
      <c r="G665" s="12"/>
      <c r="H665" s="4" t="s">
        <v>620</v>
      </c>
      <c r="I665" s="5">
        <f t="shared" si="657"/>
        <v>200</v>
      </c>
      <c r="J665" s="5"/>
      <c r="K665" s="4" t="str">
        <f t="shared" si="532"/>
        <v>Moto G84 orig c/aro = R$ 200,00</v>
      </c>
      <c r="M665" s="4" t="str">
        <f t="shared" si="528"/>
        <v>Moto G84 orig c/aro = R$ 205,00</v>
      </c>
      <c r="O665" s="4" t="str">
        <f t="shared" si="472"/>
        <v>Moto G84 orig c/aro = R$ 195,00</v>
      </c>
      <c r="Q665" s="4" t="str">
        <f t="shared" si="603"/>
        <v>Moto G84 orig c/aro = R$ 210,00</v>
      </c>
    </row>
    <row r="666" spans="1:17" ht="15" customHeight="1" x14ac:dyDescent="0.3">
      <c r="A666" t="s">
        <v>11486</v>
      </c>
      <c r="B666">
        <f>I352</f>
        <v>720</v>
      </c>
      <c r="E666" s="85" t="s">
        <v>645</v>
      </c>
      <c r="F666" s="8">
        <v>60</v>
      </c>
      <c r="G666" s="12"/>
      <c r="H666" s="4" t="s">
        <v>11750</v>
      </c>
      <c r="I666" s="5">
        <f t="shared" si="657"/>
        <v>235</v>
      </c>
      <c r="J666" s="5"/>
      <c r="K666" s="4" t="str">
        <f t="shared" ref="K666" si="662">CONCATENATE(H666,I666,",00")</f>
        <v>Moto G84 Nacional c/aro = 235,00</v>
      </c>
      <c r="M666" s="4" t="str">
        <f t="shared" ref="M666" si="663">CONCATENATE(H666,I666+5,",00")</f>
        <v>Moto G84 Nacional c/aro = 240,00</v>
      </c>
      <c r="O666" s="4" t="str">
        <f t="shared" ref="O666" si="664">CONCATENATE(H666,I666-5,",00")</f>
        <v>Moto G84 Nacional c/aro = 230,00</v>
      </c>
      <c r="Q666" s="4" t="str">
        <f t="shared" ref="Q666" si="665">CONCATENATE(H666,I666+10,",00")</f>
        <v>Moto G84 Nacional c/aro = 245,00</v>
      </c>
    </row>
    <row r="667" spans="1:17" ht="15" customHeight="1" x14ac:dyDescent="0.3">
      <c r="A667" t="s">
        <v>11487</v>
      </c>
      <c r="B667">
        <f>I352</f>
        <v>720</v>
      </c>
      <c r="E667" s="85" t="s">
        <v>647</v>
      </c>
      <c r="F667" s="8">
        <v>75</v>
      </c>
      <c r="G667" s="12"/>
      <c r="H667" s="4" t="s">
        <v>11751</v>
      </c>
      <c r="I667" s="5">
        <f t="shared" si="657"/>
        <v>245</v>
      </c>
      <c r="J667" s="5"/>
      <c r="K667" s="4" t="str">
        <f t="shared" si="532"/>
        <v>Moto G84 c/aro Nac Diamonds = 245,00</v>
      </c>
      <c r="M667" s="4" t="str">
        <f t="shared" si="528"/>
        <v>Moto G84 c/aro Nac Diamonds = 250,00</v>
      </c>
      <c r="O667" s="4" t="str">
        <f t="shared" si="472"/>
        <v>Moto G84 c/aro Nac Diamonds = 240,00</v>
      </c>
      <c r="Q667" s="4" t="str">
        <f t="shared" si="603"/>
        <v>Moto G84 c/aro Nac Diamonds = 255,00</v>
      </c>
    </row>
    <row r="668" spans="1:17" ht="15" customHeight="1" x14ac:dyDescent="0.3">
      <c r="A668" t="s">
        <v>11851</v>
      </c>
      <c r="B668">
        <f>I353</f>
        <v>950</v>
      </c>
      <c r="E668" s="85" t="s">
        <v>649</v>
      </c>
      <c r="F668" s="6">
        <v>65</v>
      </c>
      <c r="G668" s="12"/>
      <c r="H668" s="4" t="s">
        <v>12581</v>
      </c>
      <c r="I668" s="5">
        <f t="shared" si="657"/>
        <v>160</v>
      </c>
      <c r="J668" s="5"/>
      <c r="K668" s="4" t="str">
        <f t="shared" si="532"/>
        <v>Moto G85 incell = R$ 160,00</v>
      </c>
      <c r="M668" s="4" t="str">
        <f t="shared" si="528"/>
        <v>Moto G85 incell = R$ 165,00</v>
      </c>
      <c r="O668" s="4" t="str">
        <f t="shared" si="472"/>
        <v>Moto G85 incell = R$ 155,00</v>
      </c>
      <c r="Q668" s="4" t="str">
        <f t="shared" si="603"/>
        <v>Moto G85 incell = R$ 170,00</v>
      </c>
    </row>
    <row r="669" spans="1:17" ht="15" customHeight="1" x14ac:dyDescent="0.3">
      <c r="A669" t="s">
        <v>11852</v>
      </c>
      <c r="B669">
        <f>I353</f>
        <v>950</v>
      </c>
      <c r="E669" s="85" t="s">
        <v>10610</v>
      </c>
      <c r="F669" s="6">
        <v>75</v>
      </c>
      <c r="G669" s="12"/>
      <c r="H669" s="4" t="s">
        <v>13072</v>
      </c>
      <c r="I669" s="5">
        <f t="shared" si="657"/>
        <v>170</v>
      </c>
      <c r="J669" s="5"/>
      <c r="K669" s="4" t="str">
        <f t="shared" si="532"/>
        <v>Moto G85 incell c/aro = R$ 170,00</v>
      </c>
      <c r="M669" s="4" t="str">
        <f t="shared" si="528"/>
        <v>Moto G85 incell c/aro = R$ 175,00</v>
      </c>
      <c r="O669" s="4" t="str">
        <f t="shared" si="472"/>
        <v>Moto G85 incell c/aro = R$ 165,00</v>
      </c>
      <c r="Q669" s="4" t="str">
        <f t="shared" si="603"/>
        <v>Moto G85 incell c/aro = R$ 180,00</v>
      </c>
    </row>
    <row r="670" spans="1:17" ht="15" customHeight="1" x14ac:dyDescent="0.3">
      <c r="A670" t="s">
        <v>11853</v>
      </c>
      <c r="B670">
        <f>I354</f>
        <v>660</v>
      </c>
      <c r="E670" s="85" t="s">
        <v>12205</v>
      </c>
      <c r="F670" s="6">
        <v>75</v>
      </c>
      <c r="G670" s="12"/>
      <c r="H670" s="4" t="s">
        <v>10985</v>
      </c>
      <c r="I670" s="5">
        <f t="shared" si="657"/>
        <v>290</v>
      </c>
      <c r="J670" s="5"/>
      <c r="K670" s="4" t="str">
        <f t="shared" ref="K670:K675" si="666">CONCATENATE(H670,I670,",00")</f>
        <v>Moto G85 original = R$ 290,00</v>
      </c>
      <c r="M670" s="4" t="str">
        <f t="shared" ref="M670:M675" si="667">CONCATENATE(H670,I670+5,",00")</f>
        <v>Moto G85 original = R$ 295,00</v>
      </c>
      <c r="O670" s="4" t="str">
        <f t="shared" ref="O670:O675" si="668">CONCATENATE(H670,I670-5,",00")</f>
        <v>Moto G85 original = R$ 285,00</v>
      </c>
      <c r="Q670" s="4" t="str">
        <f t="shared" ref="Q670:Q675" si="669">CONCATENATE(H670,I670+10,",00")</f>
        <v>Moto G85 original = R$ 300,00</v>
      </c>
    </row>
    <row r="671" spans="1:17" ht="15" customHeight="1" x14ac:dyDescent="0.3">
      <c r="A671" t="s">
        <v>11856</v>
      </c>
      <c r="B671">
        <f>I354</f>
        <v>660</v>
      </c>
      <c r="E671" s="85" t="s">
        <v>12206</v>
      </c>
      <c r="F671" s="16">
        <v>85</v>
      </c>
      <c r="G671" s="12"/>
      <c r="H671" s="4" t="s">
        <v>12098</v>
      </c>
      <c r="I671" s="5">
        <f t="shared" si="657"/>
        <v>310</v>
      </c>
      <c r="J671" s="5"/>
      <c r="K671" s="4" t="str">
        <f t="shared" si="666"/>
        <v>Moto G85 orig c/aro = R$ 310,00</v>
      </c>
      <c r="M671" s="4" t="str">
        <f t="shared" si="667"/>
        <v>Moto G85 orig c/aro = R$ 315,00</v>
      </c>
      <c r="O671" s="4" t="str">
        <f t="shared" si="668"/>
        <v>Moto G85 orig c/aro = R$ 305,00</v>
      </c>
      <c r="Q671" s="4" t="str">
        <f t="shared" si="669"/>
        <v>Moto G85 orig c/aro = R$ 320,00</v>
      </c>
    </row>
    <row r="672" spans="1:17" ht="15" customHeight="1" x14ac:dyDescent="0.3">
      <c r="A672" t="s">
        <v>10623</v>
      </c>
      <c r="B672">
        <f>I355</f>
        <v>440</v>
      </c>
      <c r="E672" s="85" t="s">
        <v>652</v>
      </c>
      <c r="F672" s="6">
        <v>60</v>
      </c>
      <c r="G672" s="12"/>
      <c r="H672" s="4" t="s">
        <v>12099</v>
      </c>
      <c r="I672" s="5">
        <f t="shared" si="657"/>
        <v>370</v>
      </c>
      <c r="J672" s="5"/>
      <c r="K672" s="4" t="str">
        <f t="shared" si="666"/>
        <v>Moto G85 Nacional c/aro = 370,00</v>
      </c>
      <c r="M672" s="4" t="str">
        <f t="shared" si="667"/>
        <v>Moto G85 Nacional c/aro = 375,00</v>
      </c>
      <c r="O672" s="4" t="str">
        <f t="shared" si="668"/>
        <v>Moto G85 Nacional c/aro = 365,00</v>
      </c>
      <c r="Q672" s="4" t="str">
        <f t="shared" si="669"/>
        <v>Moto G85 Nacional c/aro = 380,00</v>
      </c>
    </row>
    <row r="673" spans="1:17" ht="15" customHeight="1" x14ac:dyDescent="0.3">
      <c r="A673" t="s">
        <v>10624</v>
      </c>
      <c r="B673">
        <f>I355</f>
        <v>440</v>
      </c>
      <c r="E673" s="85" t="s">
        <v>10611</v>
      </c>
      <c r="F673" s="6">
        <v>65</v>
      </c>
      <c r="G673" s="12"/>
      <c r="H673" s="4" t="s">
        <v>12100</v>
      </c>
      <c r="I673" s="5">
        <f t="shared" si="657"/>
        <v>380</v>
      </c>
      <c r="J673" s="5"/>
      <c r="K673" s="4" t="str">
        <f t="shared" si="666"/>
        <v>Moto G85 c/aro Nac Diamonds = 380,00</v>
      </c>
      <c r="M673" s="4" t="str">
        <f t="shared" si="667"/>
        <v>Moto G85 c/aro Nac Diamonds = 385,00</v>
      </c>
      <c r="O673" s="4" t="str">
        <f t="shared" si="668"/>
        <v>Moto G85 c/aro Nac Diamonds = 375,00</v>
      </c>
      <c r="Q673" s="4" t="str">
        <f t="shared" si="669"/>
        <v>Moto G85 c/aro Nac Diamonds = 390,00</v>
      </c>
    </row>
    <row r="674" spans="1:17" ht="15" customHeight="1" x14ac:dyDescent="0.3">
      <c r="A674" t="s">
        <v>11857</v>
      </c>
      <c r="B674">
        <f>I356</f>
        <v>610</v>
      </c>
      <c r="E674" s="85" t="s">
        <v>655</v>
      </c>
      <c r="F674" s="6">
        <v>85</v>
      </c>
      <c r="G674" s="12"/>
      <c r="H674" s="4" t="s">
        <v>13179</v>
      </c>
      <c r="I674" s="5">
        <f t="shared" si="657"/>
        <v>240</v>
      </c>
      <c r="J674" s="5"/>
      <c r="K674" s="4" t="str">
        <f t="shared" ref="K674" si="670">CONCATENATE(H674,I674,",00")</f>
        <v>Moto G86 original  = R$ 240,00</v>
      </c>
      <c r="M674" s="4" t="str">
        <f t="shared" ref="M674" si="671">CONCATENATE(H674,I674+5,",00")</f>
        <v>Moto G86 original  = R$ 245,00</v>
      </c>
      <c r="O674" s="4" t="str">
        <f t="shared" ref="O674" si="672">CONCATENATE(H674,I674-5,",00")</f>
        <v>Moto G86 original  = R$ 235,00</v>
      </c>
      <c r="Q674" s="4" t="str">
        <f t="shared" ref="Q674" si="673">CONCATENATE(H674,I674+10,",00")</f>
        <v>Moto G86 original  = R$ 250,00</v>
      </c>
    </row>
    <row r="675" spans="1:17" ht="15" customHeight="1" x14ac:dyDescent="0.3">
      <c r="A675" t="s">
        <v>11858</v>
      </c>
      <c r="B675">
        <f>I356</f>
        <v>610</v>
      </c>
      <c r="E675" s="85" t="s">
        <v>11764</v>
      </c>
      <c r="F675" s="6">
        <v>95</v>
      </c>
      <c r="G675" s="12"/>
      <c r="H675" s="4" t="s">
        <v>13042</v>
      </c>
      <c r="I675" s="5">
        <f t="shared" si="657"/>
        <v>360</v>
      </c>
      <c r="J675" s="5"/>
      <c r="K675" s="4" t="str">
        <f t="shared" si="666"/>
        <v>Moto G86 orig c/aro = R$ 360,00</v>
      </c>
      <c r="M675" s="4" t="str">
        <f t="shared" si="667"/>
        <v>Moto G86 orig c/aro = R$ 365,00</v>
      </c>
      <c r="O675" s="4" t="str">
        <f t="shared" si="668"/>
        <v>Moto G86 orig c/aro = R$ 355,00</v>
      </c>
      <c r="Q675" s="4" t="str">
        <f t="shared" si="669"/>
        <v>Moto G86 orig c/aro = R$ 370,00</v>
      </c>
    </row>
    <row r="676" spans="1:17" ht="15" customHeight="1" x14ac:dyDescent="0.3">
      <c r="A676" t="s">
        <v>11854</v>
      </c>
      <c r="B676">
        <f>I357</f>
        <v>670</v>
      </c>
      <c r="E676" s="85" t="s">
        <v>10612</v>
      </c>
      <c r="F676" s="6">
        <v>65</v>
      </c>
      <c r="G676" s="12"/>
      <c r="H676" s="4" t="s">
        <v>621</v>
      </c>
      <c r="I676" s="5">
        <f t="shared" si="657"/>
        <v>100</v>
      </c>
      <c r="J676" s="5"/>
      <c r="K676" s="4" t="str">
        <f t="shared" si="532"/>
        <v>Moto G100     = R$ 100,00</v>
      </c>
      <c r="M676" s="4" t="str">
        <f t="shared" si="528"/>
        <v>Moto G100     = R$ 105,00</v>
      </c>
      <c r="O676" s="4" t="str">
        <f t="shared" si="472"/>
        <v>Moto G100     = R$ 95,00</v>
      </c>
      <c r="Q676" s="4" t="str">
        <f t="shared" si="603"/>
        <v>Moto G100     = R$ 110,00</v>
      </c>
    </row>
    <row r="677" spans="1:17" ht="15" customHeight="1" x14ac:dyDescent="0.3">
      <c r="A677" t="s">
        <v>11859</v>
      </c>
      <c r="B677">
        <f>I357</f>
        <v>670</v>
      </c>
      <c r="E677" s="85" t="s">
        <v>11767</v>
      </c>
      <c r="F677" s="6">
        <v>85</v>
      </c>
      <c r="G677" s="12"/>
      <c r="H677" s="4" t="s">
        <v>623</v>
      </c>
      <c r="I677" s="5">
        <f t="shared" si="657"/>
        <v>160</v>
      </c>
      <c r="J677" s="5"/>
      <c r="K677" s="4" t="str">
        <f t="shared" si="532"/>
        <v>Moto G100 c/aro        = R$ 160,00</v>
      </c>
      <c r="M677" s="4" t="str">
        <f t="shared" si="528"/>
        <v>Moto G100 c/aro        = R$ 165,00</v>
      </c>
      <c r="O677" s="4" t="str">
        <f t="shared" si="472"/>
        <v>Moto G100 c/aro        = R$ 155,00</v>
      </c>
      <c r="Q677" s="4" t="str">
        <f t="shared" si="603"/>
        <v>Moto G100 c/aro        = R$ 170,00</v>
      </c>
    </row>
    <row r="678" spans="1:17" ht="15" customHeight="1" x14ac:dyDescent="0.3">
      <c r="A678" t="s">
        <v>11855</v>
      </c>
      <c r="B678">
        <f>I358</f>
        <v>720</v>
      </c>
      <c r="E678" s="85" t="s">
        <v>11766</v>
      </c>
      <c r="F678" s="6">
        <v>95</v>
      </c>
      <c r="G678" s="12"/>
      <c r="H678" s="4" t="s">
        <v>12116</v>
      </c>
      <c r="I678" s="5">
        <f t="shared" si="657"/>
        <v>180</v>
      </c>
      <c r="J678" s="5"/>
      <c r="K678" s="4" t="str">
        <f t="shared" ref="K678:K679" si="674">CONCATENATE(H678,I678,",00")</f>
        <v>G100 c/aro Nacional  = R$ 180,00</v>
      </c>
      <c r="M678" s="4" t="str">
        <f t="shared" ref="M678:M679" si="675">CONCATENATE(H678,I678+5,",00")</f>
        <v>G100 c/aro Nacional  = R$ 185,00</v>
      </c>
      <c r="O678" s="4" t="str">
        <f t="shared" ref="O678:O679" si="676">CONCATENATE(H678,I678-5,",00")</f>
        <v>G100 c/aro Nacional  = R$ 175,00</v>
      </c>
      <c r="Q678" s="4" t="str">
        <f t="shared" ref="Q678:Q679" si="677">CONCATENATE(H678,I678+10,",00")</f>
        <v>G100 c/aro Nacional  = R$ 190,00</v>
      </c>
    </row>
    <row r="679" spans="1:17" ht="15" customHeight="1" x14ac:dyDescent="0.3">
      <c r="A679" t="s">
        <v>11860</v>
      </c>
      <c r="B679">
        <f>I358</f>
        <v>720</v>
      </c>
      <c r="E679" s="85" t="s">
        <v>659</v>
      </c>
      <c r="F679" s="6">
        <v>65</v>
      </c>
      <c r="G679" s="12"/>
      <c r="H679" s="4" t="s">
        <v>12117</v>
      </c>
      <c r="I679" s="5">
        <f t="shared" si="657"/>
        <v>190</v>
      </c>
      <c r="J679" s="5"/>
      <c r="K679" s="4" t="str">
        <f t="shared" si="674"/>
        <v>G100 c/aro Nac Diamonds = 190,00</v>
      </c>
      <c r="M679" s="4" t="str">
        <f t="shared" si="675"/>
        <v>G100 c/aro Nac Diamonds = 195,00</v>
      </c>
      <c r="O679" s="4" t="str">
        <f t="shared" si="676"/>
        <v>G100 c/aro Nac Diamonds = 185,00</v>
      </c>
      <c r="Q679" s="4" t="str">
        <f t="shared" si="677"/>
        <v>G100 c/aro Nac Diamonds = 200,00</v>
      </c>
    </row>
    <row r="680" spans="1:17" ht="15" customHeight="1" x14ac:dyDescent="0.3">
      <c r="A680" t="s">
        <v>13176</v>
      </c>
      <c r="B680">
        <f>I359</f>
        <v>750</v>
      </c>
      <c r="E680" s="85" t="s">
        <v>661</v>
      </c>
      <c r="F680" s="6">
        <v>75</v>
      </c>
      <c r="G680" s="12"/>
      <c r="H680" s="4" t="s">
        <v>624</v>
      </c>
      <c r="I680" s="5">
        <f t="shared" si="657"/>
        <v>100</v>
      </c>
      <c r="J680" s="5"/>
      <c r="K680" s="4" t="str">
        <f t="shared" si="532"/>
        <v>Moto G200     = R$ 100,00</v>
      </c>
      <c r="M680" s="4" t="str">
        <f t="shared" si="528"/>
        <v>Moto G200     = R$ 105,00</v>
      </c>
      <c r="O680" s="4" t="str">
        <f t="shared" si="472"/>
        <v>Moto G200     = R$ 95,00</v>
      </c>
      <c r="Q680" s="4" t="str">
        <f t="shared" si="603"/>
        <v>Moto G200     = R$ 110,00</v>
      </c>
    </row>
    <row r="681" spans="1:17" ht="15" customHeight="1" x14ac:dyDescent="0.3">
      <c r="A681" t="s">
        <v>13177</v>
      </c>
      <c r="B681">
        <f>B680</f>
        <v>750</v>
      </c>
      <c r="E681" s="85" t="s">
        <v>663</v>
      </c>
      <c r="F681" s="6">
        <v>85</v>
      </c>
      <c r="G681" s="12"/>
      <c r="H681" s="4" t="s">
        <v>11260</v>
      </c>
      <c r="I681" s="5">
        <f t="shared" si="657"/>
        <v>140</v>
      </c>
      <c r="J681" s="5"/>
      <c r="K681" s="4" t="str">
        <f t="shared" ref="K681:K682" si="678">CONCATENATE(H681,I681,",00")</f>
        <v>Moto G200 c/aro        = R$ 140,00</v>
      </c>
      <c r="M681" s="4" t="str">
        <f t="shared" ref="M681:M682" si="679">CONCATENATE(H681,I681+5,",00")</f>
        <v>Moto G200 c/aro        = R$ 145,00</v>
      </c>
      <c r="O681" s="4" t="str">
        <f t="shared" ref="O681:O682" si="680">CONCATENATE(H681,I681-5,",00")</f>
        <v>Moto G200 c/aro        = R$ 135,00</v>
      </c>
      <c r="Q681" s="4" t="str">
        <f t="shared" ref="Q681:Q682" si="681">CONCATENATE(H681,I681+10,",00")</f>
        <v>Moto G200 c/aro        = R$ 150,00</v>
      </c>
    </row>
    <row r="682" spans="1:17" ht="15" customHeight="1" x14ac:dyDescent="0.3">
      <c r="A682" t="s">
        <v>11255</v>
      </c>
      <c r="B682">
        <f>I360</f>
        <v>400</v>
      </c>
      <c r="E682" s="85" t="s">
        <v>11769</v>
      </c>
      <c r="F682" s="6">
        <v>95</v>
      </c>
      <c r="G682" s="12"/>
      <c r="H682" s="4" t="s">
        <v>626</v>
      </c>
      <c r="I682" s="5">
        <f t="shared" si="657"/>
        <v>170</v>
      </c>
      <c r="J682" s="5"/>
      <c r="K682" s="4" t="str">
        <f t="shared" si="678"/>
        <v>G200 c/aro Nacional  = R$ 170,00</v>
      </c>
      <c r="M682" s="4" t="str">
        <f t="shared" si="679"/>
        <v>G200 c/aro Nacional  = R$ 175,00</v>
      </c>
      <c r="O682" s="4" t="str">
        <f t="shared" si="680"/>
        <v>G200 c/aro Nacional  = R$ 165,00</v>
      </c>
      <c r="Q682" s="4" t="str">
        <f t="shared" si="681"/>
        <v>G200 c/aro Nacional  = R$ 180,00</v>
      </c>
    </row>
    <row r="683" spans="1:17" ht="15" customHeight="1" x14ac:dyDescent="0.3">
      <c r="A683" t="s">
        <v>11256</v>
      </c>
      <c r="B683">
        <f>I360</f>
        <v>400</v>
      </c>
      <c r="E683" s="85" t="s">
        <v>665</v>
      </c>
      <c r="F683" s="6">
        <v>60</v>
      </c>
      <c r="G683" s="4"/>
      <c r="H683" s="4" t="s">
        <v>11754</v>
      </c>
      <c r="I683" s="5">
        <f t="shared" si="657"/>
        <v>180</v>
      </c>
      <c r="J683" s="5"/>
      <c r="K683" s="4" t="str">
        <f t="shared" si="532"/>
        <v>G200 c/aro Nac Diamonds = 180,00</v>
      </c>
      <c r="M683" s="4" t="str">
        <f t="shared" si="528"/>
        <v>G200 c/aro Nac Diamonds = 185,00</v>
      </c>
      <c r="O683" s="4" t="str">
        <f t="shared" si="472"/>
        <v>G200 c/aro Nac Diamonds = 175,00</v>
      </c>
      <c r="Q683" s="4" t="str">
        <f t="shared" si="603"/>
        <v>G200 c/aro Nac Diamonds = 190,00</v>
      </c>
    </row>
    <row r="684" spans="1:17" ht="15" customHeight="1" x14ac:dyDescent="0.3">
      <c r="A684" t="s">
        <v>11861</v>
      </c>
      <c r="B684">
        <f>I361</f>
        <v>590</v>
      </c>
      <c r="E684" s="85" t="s">
        <v>10609</v>
      </c>
      <c r="F684" s="6">
        <v>70</v>
      </c>
      <c r="G684" s="12"/>
      <c r="I684" s="5"/>
      <c r="J684" s="5"/>
    </row>
    <row r="685" spans="1:17" ht="15" customHeight="1" x14ac:dyDescent="0.3">
      <c r="A685" t="s">
        <v>11862</v>
      </c>
      <c r="B685">
        <f>I361</f>
        <v>590</v>
      </c>
      <c r="E685" s="85" t="s">
        <v>668</v>
      </c>
      <c r="F685" s="6">
        <v>85</v>
      </c>
      <c r="G685" s="12"/>
      <c r="H685" s="4" t="s">
        <v>628</v>
      </c>
      <c r="I685" s="5">
        <f>F642</f>
        <v>65</v>
      </c>
      <c r="J685" s="5"/>
      <c r="K685" s="4" t="str">
        <f t="shared" ref="K685:K704" si="682">CONCATENATE(H685,I685,",00")</f>
        <v>Moto One       = R$ 65,00</v>
      </c>
      <c r="M685" s="4" t="str">
        <f t="shared" ref="M685:M704" si="683">CONCATENATE(H685,I685+5,",00")</f>
        <v>Moto One       = R$ 70,00</v>
      </c>
      <c r="O685" s="4" t="str">
        <f t="shared" ref="O685:O704" si="684">CONCATENATE(H685,I685-5,",00")</f>
        <v>Moto One       = R$ 60,00</v>
      </c>
      <c r="Q685" s="4" t="str">
        <f t="shared" ref="Q685:Q704" si="685">CONCATENATE(H685,I685+10,",00")</f>
        <v>Moto One       = R$ 75,00</v>
      </c>
    </row>
    <row r="686" spans="1:17" ht="15" customHeight="1" x14ac:dyDescent="0.3">
      <c r="A686" t="s">
        <v>12197</v>
      </c>
      <c r="B686">
        <f>I362</f>
        <v>770</v>
      </c>
      <c r="E686" s="85" t="s">
        <v>11772</v>
      </c>
      <c r="F686" s="6">
        <v>95</v>
      </c>
      <c r="G686" s="12"/>
      <c r="H686" s="4" t="s">
        <v>630</v>
      </c>
      <c r="I686" s="5">
        <f>F643</f>
        <v>80</v>
      </c>
      <c r="J686" s="5"/>
      <c r="K686" s="4" t="str">
        <f t="shared" si="682"/>
        <v>Moto One c/aro         = R$ 80,00</v>
      </c>
      <c r="M686" s="4" t="str">
        <f t="shared" si="683"/>
        <v>Moto One c/aro         = R$ 85,00</v>
      </c>
      <c r="O686" s="4" t="str">
        <f t="shared" si="684"/>
        <v>Moto One c/aro         = R$ 75,00</v>
      </c>
      <c r="Q686" s="4" t="str">
        <f t="shared" si="685"/>
        <v>Moto One c/aro         = R$ 90,00</v>
      </c>
    </row>
    <row r="687" spans="1:17" ht="15" customHeight="1" x14ac:dyDescent="0.3">
      <c r="A687" t="s">
        <v>12198</v>
      </c>
      <c r="B687">
        <f>I362</f>
        <v>770</v>
      </c>
      <c r="E687" s="85" t="s">
        <v>670</v>
      </c>
      <c r="F687" s="6">
        <v>60</v>
      </c>
      <c r="G687" s="12"/>
      <c r="H687" s="4" t="s">
        <v>11757</v>
      </c>
      <c r="I687" s="5">
        <f>F644</f>
        <v>90</v>
      </c>
      <c r="J687" s="5"/>
      <c r="K687" s="4" t="str">
        <f t="shared" ref="K687:K688" si="686">CONCATENATE(H687,I687,",00")</f>
        <v>Moto One Nacional c/aro = 90,00</v>
      </c>
      <c r="M687" s="4" t="str">
        <f t="shared" ref="M687:M688" si="687">CONCATENATE(H687,I687+5,",00")</f>
        <v>Moto One Nacional c/aro = 95,00</v>
      </c>
      <c r="O687" s="4" t="str">
        <f t="shared" ref="O687:O688" si="688">CONCATENATE(H687,I687-5,",00")</f>
        <v>Moto One Nacional c/aro = 85,00</v>
      </c>
      <c r="Q687" s="4" t="str">
        <f t="shared" ref="Q687:Q688" si="689">CONCATENATE(H687,I687+10,",00")</f>
        <v>Moto One Nacional c/aro = 100,00</v>
      </c>
    </row>
    <row r="688" spans="1:17" ht="15" customHeight="1" x14ac:dyDescent="0.3">
      <c r="A688" t="s">
        <v>11257</v>
      </c>
      <c r="B688">
        <f>I363</f>
        <v>370</v>
      </c>
      <c r="E688" s="85" t="s">
        <v>672</v>
      </c>
      <c r="F688" s="6">
        <v>75</v>
      </c>
      <c r="G688" s="12"/>
      <c r="H688" s="4" t="s">
        <v>11758</v>
      </c>
      <c r="I688" s="5">
        <f>F645</f>
        <v>100</v>
      </c>
      <c r="J688" s="5"/>
      <c r="K688" s="4" t="str">
        <f t="shared" si="686"/>
        <v>Moto One c/aro Nac Diamonds = 100,00</v>
      </c>
      <c r="M688" s="4" t="str">
        <f t="shared" si="687"/>
        <v>Moto One c/aro Nac Diamonds = 105,00</v>
      </c>
      <c r="O688" s="4" t="str">
        <f t="shared" si="688"/>
        <v>Moto One c/aro Nac Diamonds = 95,00</v>
      </c>
      <c r="Q688" s="4" t="str">
        <f t="shared" si="689"/>
        <v>Moto One c/aro Nac Diamonds = 110,00</v>
      </c>
    </row>
    <row r="689" spans="1:17" ht="15" customHeight="1" x14ac:dyDescent="0.3">
      <c r="A689" t="s">
        <v>11258</v>
      </c>
      <c r="B689">
        <f>I363</f>
        <v>370</v>
      </c>
      <c r="E689" s="85" t="s">
        <v>674</v>
      </c>
      <c r="F689" s="6">
        <v>85</v>
      </c>
      <c r="G689" s="12"/>
      <c r="H689" s="4" t="s">
        <v>631</v>
      </c>
      <c r="I689" s="5">
        <f>F646</f>
        <v>65</v>
      </c>
      <c r="J689" s="5"/>
      <c r="K689" s="4" t="str">
        <f t="shared" si="682"/>
        <v>Moto One Hyper          = R$ 65,00</v>
      </c>
      <c r="M689" s="4" t="str">
        <f t="shared" si="683"/>
        <v>Moto One Hyper          = R$ 70,00</v>
      </c>
      <c r="O689" s="4" t="str">
        <f t="shared" si="684"/>
        <v>Moto One Hyper          = R$ 60,00</v>
      </c>
      <c r="Q689" s="4" t="str">
        <f t="shared" si="685"/>
        <v>Moto One Hyper          = R$ 75,00</v>
      </c>
    </row>
    <row r="690" spans="1:17" ht="15" customHeight="1" x14ac:dyDescent="0.3">
      <c r="A690" t="s">
        <v>11863</v>
      </c>
      <c r="B690">
        <f>I364</f>
        <v>390</v>
      </c>
      <c r="E690" s="85" t="s">
        <v>11775</v>
      </c>
      <c r="F690" s="6">
        <v>95</v>
      </c>
      <c r="G690" s="12"/>
      <c r="H690" s="4" t="s">
        <v>633</v>
      </c>
      <c r="I690" s="5">
        <f>F495</f>
        <v>60</v>
      </c>
      <c r="J690" s="5"/>
      <c r="K690" s="4" t="str">
        <f t="shared" si="682"/>
        <v>Moto One Macro          = R$ 60,00</v>
      </c>
      <c r="M690" s="4" t="str">
        <f t="shared" si="683"/>
        <v>Moto One Macro          = R$ 65,00</v>
      </c>
      <c r="O690" s="4" t="str">
        <f t="shared" si="684"/>
        <v>Moto One Macro          = R$ 55,00</v>
      </c>
      <c r="Q690" s="4" t="str">
        <f t="shared" si="685"/>
        <v>Moto One Macro          = R$ 70,00</v>
      </c>
    </row>
    <row r="691" spans="1:17" ht="15" customHeight="1" x14ac:dyDescent="0.3">
      <c r="A691" t="s">
        <v>11864</v>
      </c>
      <c r="B691">
        <f>I364</f>
        <v>390</v>
      </c>
      <c r="E691" s="86" t="s">
        <v>676</v>
      </c>
      <c r="F691" s="16">
        <v>65</v>
      </c>
      <c r="G691" s="12"/>
      <c r="H691" s="4" t="s">
        <v>635</v>
      </c>
      <c r="I691" s="5">
        <f>F496</f>
        <v>90</v>
      </c>
      <c r="J691" s="5"/>
      <c r="K691" s="4" t="str">
        <f t="shared" si="682"/>
        <v>Moto One Macro c/aro = R$ 90,00</v>
      </c>
      <c r="M691" s="4" t="str">
        <f t="shared" si="683"/>
        <v>Moto One Macro c/aro = R$ 95,00</v>
      </c>
      <c r="O691" s="4" t="str">
        <f t="shared" si="684"/>
        <v>Moto One Macro c/aro = R$ 85,00</v>
      </c>
      <c r="Q691" s="4" t="str">
        <f t="shared" si="685"/>
        <v>Moto One Macro c/aro = R$ 100,00</v>
      </c>
    </row>
    <row r="692" spans="1:17" ht="15" customHeight="1" x14ac:dyDescent="0.3">
      <c r="A692" t="s">
        <v>12612</v>
      </c>
      <c r="B692">
        <f>I365</f>
        <v>1495</v>
      </c>
      <c r="E692" s="86" t="s">
        <v>678</v>
      </c>
      <c r="F692" s="16">
        <v>75</v>
      </c>
      <c r="G692" s="12"/>
      <c r="H692" s="4" t="s">
        <v>636</v>
      </c>
      <c r="I692" s="5">
        <f>F647</f>
        <v>170</v>
      </c>
      <c r="J692" s="5"/>
      <c r="K692" s="4" t="str">
        <f t="shared" si="682"/>
        <v>Moto One Vision           = R$ 170,00</v>
      </c>
      <c r="M692" s="4" t="str">
        <f t="shared" si="683"/>
        <v>Moto One Vision           = R$ 175,00</v>
      </c>
      <c r="O692" s="4" t="str">
        <f t="shared" si="684"/>
        <v>Moto One Vision           = R$ 165,00</v>
      </c>
      <c r="Q692" s="4" t="str">
        <f t="shared" si="685"/>
        <v>Moto One Vision           = R$ 180,00</v>
      </c>
    </row>
    <row r="693" spans="1:17" ht="15" customHeight="1" x14ac:dyDescent="0.3">
      <c r="A693" t="s">
        <v>12613</v>
      </c>
      <c r="B693">
        <f>I365</f>
        <v>1495</v>
      </c>
      <c r="E693" s="85" t="s">
        <v>680</v>
      </c>
      <c r="F693" s="6">
        <v>85</v>
      </c>
      <c r="G693" s="12"/>
      <c r="H693" s="4" t="s">
        <v>638</v>
      </c>
      <c r="I693" s="5">
        <f>F648</f>
        <v>170</v>
      </c>
      <c r="J693" s="5"/>
      <c r="K693" s="4" t="str">
        <f t="shared" si="682"/>
        <v>Moto One Vision c/aro = R$ 170,00</v>
      </c>
      <c r="M693" s="4" t="str">
        <f t="shared" si="683"/>
        <v>Moto One Vision c/aro = R$ 175,00</v>
      </c>
      <c r="O693" s="4" t="str">
        <f t="shared" si="684"/>
        <v>Moto One Vision c/aro = R$ 165,00</v>
      </c>
      <c r="Q693" s="4" t="str">
        <f t="shared" si="685"/>
        <v>Moto One Vision c/aro = R$ 180,00</v>
      </c>
    </row>
    <row r="694" spans="1:17" ht="15" customHeight="1" x14ac:dyDescent="0.3">
      <c r="A694" t="s">
        <v>12610</v>
      </c>
      <c r="B694">
        <f>I366</f>
        <v>790</v>
      </c>
      <c r="E694" s="85" t="s">
        <v>11778</v>
      </c>
      <c r="F694" s="6">
        <v>95</v>
      </c>
      <c r="G694" s="12"/>
      <c r="H694" s="4" t="s">
        <v>12512</v>
      </c>
      <c r="I694" s="5">
        <f>F649</f>
        <v>200</v>
      </c>
      <c r="J694" s="5"/>
      <c r="K694" s="4" t="str">
        <f t="shared" ref="K694" si="690">CONCATENATE(H694,I694,",00")</f>
        <v>Moto One Vision c/aro Nac Diamonds = 200,00</v>
      </c>
      <c r="M694" s="4" t="str">
        <f t="shared" ref="M694" si="691">CONCATENATE(H694,I694+5,",00")</f>
        <v>Moto One Vision c/aro Nac Diamonds = 205,00</v>
      </c>
      <c r="O694" s="4" t="str">
        <f t="shared" ref="O694" si="692">CONCATENATE(H694,I694-5,",00")</f>
        <v>Moto One Vision c/aro Nac Diamonds = 195,00</v>
      </c>
      <c r="Q694" s="4" t="str">
        <f t="shared" ref="Q694" si="693">CONCATENATE(H694,I694+10,",00")</f>
        <v>Moto One Vision c/aro Nac Diamonds = 210,00</v>
      </c>
    </row>
    <row r="695" spans="1:17" ht="15" customHeight="1" x14ac:dyDescent="0.3">
      <c r="A695" t="s">
        <v>12611</v>
      </c>
      <c r="B695">
        <f>I366</f>
        <v>790</v>
      </c>
      <c r="E695" s="85" t="s">
        <v>682</v>
      </c>
      <c r="F695" s="6">
        <v>80</v>
      </c>
      <c r="G695" s="12"/>
      <c r="H695" s="4" t="s">
        <v>639</v>
      </c>
      <c r="I695" s="5">
        <f>F647</f>
        <v>170</v>
      </c>
      <c r="J695" s="5"/>
      <c r="K695" s="4" t="str">
        <f t="shared" si="682"/>
        <v>Moto One Action         = R$ 170,00</v>
      </c>
      <c r="M695" s="4" t="str">
        <f t="shared" si="683"/>
        <v>Moto One Action         = R$ 175,00</v>
      </c>
      <c r="O695" s="4" t="str">
        <f t="shared" si="684"/>
        <v>Moto One Action         = R$ 165,00</v>
      </c>
      <c r="Q695" s="4" t="str">
        <f t="shared" si="685"/>
        <v>Moto One Action         = R$ 180,00</v>
      </c>
    </row>
    <row r="696" spans="1:17" ht="15" customHeight="1" x14ac:dyDescent="0.3">
      <c r="A696" t="s">
        <v>2445</v>
      </c>
      <c r="B696">
        <f>I321</f>
        <v>50</v>
      </c>
      <c r="E696" s="85" t="s">
        <v>684</v>
      </c>
      <c r="F696" s="6">
        <v>85</v>
      </c>
      <c r="G696" s="12"/>
      <c r="H696" s="4" t="s">
        <v>642</v>
      </c>
      <c r="I696" s="5">
        <f t="shared" ref="I696:J704" si="694">F650</f>
        <v>65</v>
      </c>
      <c r="J696" s="5"/>
      <c r="K696" s="4" t="str">
        <f t="shared" si="682"/>
        <v>Moto One Fusion         = R$ 65,00</v>
      </c>
      <c r="M696" s="4" t="str">
        <f t="shared" si="683"/>
        <v>Moto One Fusion         = R$ 70,00</v>
      </c>
      <c r="O696" s="4" t="str">
        <f t="shared" si="684"/>
        <v>Moto One Fusion         = R$ 60,00</v>
      </c>
      <c r="Q696" s="4" t="str">
        <f t="shared" si="685"/>
        <v>Moto One Fusion         = R$ 75,00</v>
      </c>
    </row>
    <row r="697" spans="1:17" ht="15" customHeight="1" x14ac:dyDescent="0.3">
      <c r="A697" t="s">
        <v>2446</v>
      </c>
      <c r="B697">
        <f>I321</f>
        <v>50</v>
      </c>
      <c r="E697" s="85" t="s">
        <v>11951</v>
      </c>
      <c r="F697" s="16">
        <v>95</v>
      </c>
      <c r="G697" s="12"/>
      <c r="H697" s="4" t="s">
        <v>644</v>
      </c>
      <c r="I697" s="5">
        <f t="shared" si="694"/>
        <v>75</v>
      </c>
      <c r="J697" s="5"/>
      <c r="K697" s="4" t="str">
        <f t="shared" si="682"/>
        <v>Moto One Fusion c/aro = R$ 75,00</v>
      </c>
      <c r="M697" s="4" t="str">
        <f t="shared" si="683"/>
        <v>Moto One Fusion c/aro = R$ 80,00</v>
      </c>
      <c r="O697" s="4" t="str">
        <f t="shared" si="684"/>
        <v>Moto One Fusion c/aro = R$ 70,00</v>
      </c>
      <c r="Q697" s="4" t="str">
        <f t="shared" si="685"/>
        <v>Moto One Fusion c/aro = R$ 85,00</v>
      </c>
    </row>
    <row r="698" spans="1:17" ht="15" customHeight="1" x14ac:dyDescent="0.3">
      <c r="A698" t="s">
        <v>2447</v>
      </c>
      <c r="B698">
        <f>I322</f>
        <v>55</v>
      </c>
      <c r="E698" s="85" t="s">
        <v>686</v>
      </c>
      <c r="F698" s="6">
        <v>320</v>
      </c>
      <c r="G698" s="12"/>
      <c r="H698" s="4" t="s">
        <v>646</v>
      </c>
      <c r="I698" s="5">
        <f t="shared" si="694"/>
        <v>85</v>
      </c>
      <c r="J698" s="5"/>
      <c r="K698" s="4" t="str">
        <f t="shared" ref="K698" si="695">CONCATENATE(H698,I698,",00")</f>
        <v>One Fusion c/aro Nacional= 85,00</v>
      </c>
      <c r="M698" s="4" t="str">
        <f t="shared" ref="M698" si="696">CONCATENATE(H698,I698+5,",00")</f>
        <v>One Fusion c/aro Nacional= 90,00</v>
      </c>
      <c r="O698" s="4" t="str">
        <f t="shared" ref="O698" si="697">CONCATENATE(H698,I698-5,",00")</f>
        <v>One Fusion c/aro Nacional= 80,00</v>
      </c>
      <c r="Q698" s="4" t="str">
        <f t="shared" ref="Q698" si="698">CONCATENATE(H698,I698+10,",00")</f>
        <v>One Fusion c/aro Nacional= 95,00</v>
      </c>
    </row>
    <row r="699" spans="1:17" ht="15" customHeight="1" x14ac:dyDescent="0.3">
      <c r="A699" t="s">
        <v>2448</v>
      </c>
      <c r="B699">
        <f>I322</f>
        <v>55</v>
      </c>
      <c r="E699" s="85" t="s">
        <v>11963</v>
      </c>
      <c r="F699" s="16">
        <v>330</v>
      </c>
      <c r="G699" s="12"/>
      <c r="H699" s="4" t="s">
        <v>11760</v>
      </c>
      <c r="I699" s="5">
        <f t="shared" si="694"/>
        <v>95</v>
      </c>
      <c r="J699" s="5"/>
      <c r="K699" s="4" t="str">
        <f t="shared" si="682"/>
        <v>One Fusion c/aro Nac Diamonds=95,00</v>
      </c>
      <c r="M699" s="4" t="str">
        <f t="shared" si="683"/>
        <v>One Fusion c/aro Nac Diamonds=100,00</v>
      </c>
      <c r="O699" s="4" t="str">
        <f t="shared" si="684"/>
        <v>One Fusion c/aro Nac Diamonds=90,00</v>
      </c>
      <c r="Q699" s="4" t="str">
        <f t="shared" si="685"/>
        <v>One Fusion c/aro Nac Diamonds=105,00</v>
      </c>
    </row>
    <row r="700" spans="1:17" ht="15" customHeight="1" x14ac:dyDescent="0.3">
      <c r="A700" t="s">
        <v>2053</v>
      </c>
      <c r="B700">
        <f>I323</f>
        <v>100</v>
      </c>
      <c r="E700" s="85" t="s">
        <v>10768</v>
      </c>
      <c r="F700" s="6">
        <v>250</v>
      </c>
      <c r="G700" s="12"/>
      <c r="H700" s="4" t="s">
        <v>648</v>
      </c>
      <c r="I700" s="5">
        <f t="shared" si="694"/>
        <v>75</v>
      </c>
      <c r="J700" s="5"/>
      <c r="K700" s="4" t="str">
        <f t="shared" si="682"/>
        <v>Moto One Fusion Plus = R$ 75,00</v>
      </c>
      <c r="M700" s="4" t="str">
        <f t="shared" si="683"/>
        <v>Moto One Fusion Plus = R$ 80,00</v>
      </c>
      <c r="O700" s="4" t="str">
        <f t="shared" si="684"/>
        <v>Moto One Fusion Plus = R$ 70,00</v>
      </c>
      <c r="Q700" s="4" t="str">
        <f t="shared" si="685"/>
        <v>Moto One Fusion Plus = R$ 85,00</v>
      </c>
    </row>
    <row r="701" spans="1:17" ht="15" customHeight="1" x14ac:dyDescent="0.3">
      <c r="A701" t="s">
        <v>3284</v>
      </c>
      <c r="B701">
        <f>I323</f>
        <v>100</v>
      </c>
      <c r="E701" s="85" t="s">
        <v>12572</v>
      </c>
      <c r="F701" s="16">
        <v>320</v>
      </c>
      <c r="G701" s="12"/>
      <c r="H701" s="4" t="s">
        <v>13327</v>
      </c>
      <c r="I701" s="5">
        <f t="shared" si="694"/>
        <v>95</v>
      </c>
      <c r="J701" s="5"/>
      <c r="K701" s="4" t="str">
        <f t="shared" si="682"/>
        <v>Moto One Fusion Plus c/aro = R$ 95,00</v>
      </c>
      <c r="M701" s="4" t="str">
        <f t="shared" si="683"/>
        <v>Moto One Fusion Plus c/aro = R$ 100,00</v>
      </c>
      <c r="O701" s="4" t="str">
        <f t="shared" si="684"/>
        <v>Moto One Fusion Plus c/aro = R$ 90,00</v>
      </c>
      <c r="Q701" s="4" t="str">
        <f t="shared" si="685"/>
        <v>Moto One Fusion Plus c/aro = R$ 105,00</v>
      </c>
    </row>
    <row r="702" spans="1:17" ht="15" customHeight="1" x14ac:dyDescent="0.3">
      <c r="A702" t="s">
        <v>3285</v>
      </c>
      <c r="B702">
        <f>I323</f>
        <v>100</v>
      </c>
      <c r="E702" s="85" t="s">
        <v>10769</v>
      </c>
      <c r="F702" s="6">
        <v>220</v>
      </c>
      <c r="G702" s="12"/>
      <c r="H702" s="4" t="s">
        <v>650</v>
      </c>
      <c r="I702" s="5">
        <f t="shared" si="694"/>
        <v>105</v>
      </c>
      <c r="J702" s="5"/>
      <c r="K702" s="4" t="str">
        <f t="shared" ref="K702" si="699">CONCATENATE(H702,I702,",00")</f>
        <v>One Fusion Plus c/aro Nac =105,00</v>
      </c>
      <c r="M702" s="4" t="str">
        <f t="shared" ref="M702" si="700">CONCATENATE(H702,I702+5,",00")</f>
        <v>One Fusion Plus c/aro Nac =110,00</v>
      </c>
      <c r="O702" s="4" t="str">
        <f t="shared" ref="O702" si="701">CONCATENATE(H702,I702-5,",00")</f>
        <v>One Fusion Plus c/aro Nac =100,00</v>
      </c>
      <c r="Q702" s="4" t="str">
        <f t="shared" ref="Q702" si="702">CONCATENATE(H702,I702+10,",00")</f>
        <v>One Fusion Plus c/aro Nac =115,00</v>
      </c>
    </row>
    <row r="703" spans="1:17" ht="15" customHeight="1" x14ac:dyDescent="0.3">
      <c r="A703" t="s">
        <v>10600</v>
      </c>
      <c r="B703">
        <f>I323</f>
        <v>100</v>
      </c>
      <c r="E703" s="85" t="s">
        <v>691</v>
      </c>
      <c r="F703" s="6">
        <v>240</v>
      </c>
      <c r="G703" s="12"/>
      <c r="H703" s="4" t="s">
        <v>11763</v>
      </c>
      <c r="I703" s="5">
        <f t="shared" si="694"/>
        <v>115</v>
      </c>
      <c r="J703" s="5"/>
      <c r="K703" s="4" t="str">
        <f t="shared" si="682"/>
        <v>One Fusion Plus c/aro Nac Diamonds=115,00</v>
      </c>
      <c r="M703" s="4" t="str">
        <f t="shared" si="683"/>
        <v>One Fusion Plus c/aro Nac Diamonds=120,00</v>
      </c>
      <c r="O703" s="4" t="str">
        <f t="shared" si="684"/>
        <v>One Fusion Plus c/aro Nac Diamonds=110,00</v>
      </c>
      <c r="Q703" s="4" t="str">
        <f t="shared" si="685"/>
        <v>One Fusion Plus c/aro Nac Diamonds=125,00</v>
      </c>
    </row>
    <row r="704" spans="1:17" ht="15" customHeight="1" x14ac:dyDescent="0.3">
      <c r="A704" t="s">
        <v>2449</v>
      </c>
      <c r="B704">
        <f>I326</f>
        <v>55</v>
      </c>
      <c r="E704" s="85" t="s">
        <v>693</v>
      </c>
      <c r="F704" s="6">
        <v>250</v>
      </c>
      <c r="G704" s="12"/>
      <c r="H704" s="4" t="s">
        <v>651</v>
      </c>
      <c r="I704" s="5">
        <f t="shared" si="694"/>
        <v>135</v>
      </c>
      <c r="J704" s="5"/>
      <c r="K704" s="4" t="str">
        <f t="shared" si="682"/>
        <v>Moto One Zoom         = R$ 135,00</v>
      </c>
      <c r="M704" s="4" t="str">
        <f t="shared" si="683"/>
        <v>Moto One Zoom         = R$ 140,00</v>
      </c>
      <c r="O704" s="4" t="str">
        <f t="shared" si="684"/>
        <v>Moto One Zoom         = R$ 130,00</v>
      </c>
      <c r="Q704" s="4" t="str">
        <f t="shared" si="685"/>
        <v>Moto One Zoom         = R$ 145,00</v>
      </c>
    </row>
    <row r="705" spans="1:17" ht="15" customHeight="1" x14ac:dyDescent="0.3">
      <c r="A705" t="s">
        <v>2443</v>
      </c>
      <c r="B705">
        <f>I323</f>
        <v>100</v>
      </c>
      <c r="E705" s="85" t="s">
        <v>11780</v>
      </c>
      <c r="F705" s="6">
        <v>260</v>
      </c>
      <c r="G705" s="12"/>
      <c r="I705" s="5"/>
      <c r="J705" s="5"/>
    </row>
    <row r="706" spans="1:17" ht="15" customHeight="1" x14ac:dyDescent="0.3">
      <c r="A706" t="s">
        <v>2450</v>
      </c>
      <c r="B706">
        <f>I328</f>
        <v>65</v>
      </c>
      <c r="E706" s="86" t="s">
        <v>12576</v>
      </c>
      <c r="F706" s="16">
        <v>330</v>
      </c>
      <c r="G706" s="12"/>
      <c r="H706" s="4" t="s">
        <v>653</v>
      </c>
      <c r="I706" s="5">
        <f>F660</f>
        <v>40</v>
      </c>
      <c r="J706" s="5"/>
      <c r="K706" s="4" t="str">
        <f t="shared" ref="K706:K767" si="703">CONCATENATE(H706,I706,",00")</f>
        <v>Moto E4          = R$ 40,00</v>
      </c>
      <c r="M706" s="4" t="str">
        <f t="shared" ref="M706:M767" si="704">CONCATENATE(H706,I706+5,",00")</f>
        <v>Moto E4          = R$ 45,00</v>
      </c>
      <c r="O706" s="4" t="str">
        <f t="shared" ref="O706:O767" si="705">CONCATENATE(H706,I706-5,",00")</f>
        <v>Moto E4          = R$ 35,00</v>
      </c>
      <c r="Q706" s="4" t="str">
        <f t="shared" ref="Q706:Q767" si="706">CONCATENATE(H706,I706+10,",00")</f>
        <v>Moto E4          = R$ 50,00</v>
      </c>
    </row>
    <row r="707" spans="1:17" ht="15" customHeight="1" x14ac:dyDescent="0.3">
      <c r="A707" t="s">
        <v>2444</v>
      </c>
      <c r="B707">
        <f>I323</f>
        <v>100</v>
      </c>
      <c r="E707" s="85" t="s">
        <v>12122</v>
      </c>
      <c r="F707" s="16">
        <v>160</v>
      </c>
      <c r="G707" s="12"/>
      <c r="H707" s="4" t="s">
        <v>654</v>
      </c>
      <c r="I707" s="5">
        <f>F661</f>
        <v>55</v>
      </c>
      <c r="J707" s="5"/>
      <c r="K707" s="4" t="str">
        <f t="shared" si="703"/>
        <v>Moto E4 Plus   = R$ 55,00</v>
      </c>
      <c r="M707" s="4" t="str">
        <f t="shared" si="704"/>
        <v>Moto E4 Plus   = R$ 60,00</v>
      </c>
      <c r="O707" s="4" t="str">
        <f t="shared" si="705"/>
        <v>Moto E4 Plus   = R$ 50,00</v>
      </c>
      <c r="Q707" s="4" t="str">
        <f t="shared" si="706"/>
        <v>Moto E4 Plus   = R$ 65,00</v>
      </c>
    </row>
    <row r="708" spans="1:17" ht="15" customHeight="1" x14ac:dyDescent="0.3">
      <c r="A708" t="s">
        <v>2054</v>
      </c>
      <c r="B708">
        <f>I324</f>
        <v>60</v>
      </c>
      <c r="E708" s="85" t="s">
        <v>695</v>
      </c>
      <c r="F708" s="6">
        <v>340</v>
      </c>
      <c r="G708" s="12"/>
      <c r="H708" s="4" t="s">
        <v>656</v>
      </c>
      <c r="I708" s="5">
        <f>F481</f>
        <v>65</v>
      </c>
      <c r="J708" s="5"/>
      <c r="K708" s="4" t="str">
        <f t="shared" si="703"/>
        <v>Moto E5 original           = R$ 65,00</v>
      </c>
      <c r="M708" s="4" t="str">
        <f t="shared" si="704"/>
        <v>Moto E5 original           = R$ 70,00</v>
      </c>
      <c r="O708" s="4" t="str">
        <f t="shared" si="705"/>
        <v>Moto E5 original           = R$ 60,00</v>
      </c>
      <c r="Q708" s="4" t="str">
        <f t="shared" si="706"/>
        <v>Moto E5 original           = R$ 75,00</v>
      </c>
    </row>
    <row r="709" spans="1:17" ht="15" customHeight="1" x14ac:dyDescent="0.3">
      <c r="A709" t="s">
        <v>2460</v>
      </c>
      <c r="B709">
        <f>I324</f>
        <v>60</v>
      </c>
      <c r="E709" s="85" t="s">
        <v>12123</v>
      </c>
      <c r="F709" s="16">
        <v>390</v>
      </c>
      <c r="G709" s="12"/>
      <c r="H709" s="4" t="s">
        <v>657</v>
      </c>
      <c r="I709" s="5">
        <f>F662</f>
        <v>55</v>
      </c>
      <c r="J709" s="5"/>
      <c r="K709" s="4" t="str">
        <f t="shared" si="703"/>
        <v>Moto E5 Play    = R$ 55,00</v>
      </c>
      <c r="M709" s="4" t="str">
        <f t="shared" si="704"/>
        <v>Moto E5 Play    = R$ 60,00</v>
      </c>
      <c r="O709" s="4" t="str">
        <f t="shared" si="705"/>
        <v>Moto E5 Play    = R$ 50,00</v>
      </c>
      <c r="Q709" s="4" t="str">
        <f t="shared" si="706"/>
        <v>Moto E5 Play    = R$ 65,00</v>
      </c>
    </row>
    <row r="710" spans="1:17" ht="15" customHeight="1" x14ac:dyDescent="0.3">
      <c r="A710" t="s">
        <v>2461</v>
      </c>
      <c r="B710">
        <f>I324</f>
        <v>60</v>
      </c>
      <c r="E710" s="86" t="s">
        <v>12124</v>
      </c>
      <c r="F710" s="16">
        <v>395</v>
      </c>
      <c r="G710" s="12"/>
      <c r="H710" s="4" t="s">
        <v>658</v>
      </c>
      <c r="I710" s="5">
        <v>50</v>
      </c>
      <c r="J710" s="5"/>
      <c r="K710" s="4" t="str">
        <f t="shared" si="703"/>
        <v>Moto E5 Play Go Edition=R$50,00</v>
      </c>
      <c r="M710" s="4" t="str">
        <f t="shared" si="704"/>
        <v>Moto E5 Play Go Edition=R$55,00</v>
      </c>
      <c r="O710" s="4" t="str">
        <f t="shared" si="705"/>
        <v>Moto E5 Play Go Edition=R$45,00</v>
      </c>
      <c r="Q710" s="4" t="str">
        <f t="shared" si="706"/>
        <v>Moto E5 Play Go Edition=R$60,00</v>
      </c>
    </row>
    <row r="711" spans="1:17" ht="15" customHeight="1" x14ac:dyDescent="0.3">
      <c r="A711" t="s">
        <v>2462</v>
      </c>
      <c r="B711">
        <f>I324</f>
        <v>60</v>
      </c>
      <c r="E711" s="85" t="s">
        <v>11263</v>
      </c>
      <c r="F711" s="16">
        <v>240</v>
      </c>
      <c r="G711" s="12"/>
      <c r="H711" s="4" t="s">
        <v>660</v>
      </c>
      <c r="I711" s="5">
        <f t="shared" ref="I711:J726" si="707">F663</f>
        <v>60</v>
      </c>
      <c r="J711" s="5"/>
      <c r="K711" s="4" t="str">
        <f t="shared" si="703"/>
        <v>Moto E5 Plus   = R$ 60,00</v>
      </c>
      <c r="M711" s="4" t="str">
        <f t="shared" si="704"/>
        <v>Moto E5 Plus   = R$ 65,00</v>
      </c>
      <c r="O711" s="4" t="str">
        <f t="shared" si="705"/>
        <v>Moto E5 Plus   = R$ 55,00</v>
      </c>
      <c r="Q711" s="4" t="str">
        <f t="shared" si="706"/>
        <v>Moto E5 Plus   = R$ 70,00</v>
      </c>
    </row>
    <row r="712" spans="1:17" ht="15" customHeight="1" x14ac:dyDescent="0.3">
      <c r="A712" t="s">
        <v>2463</v>
      </c>
      <c r="B712">
        <f>I324</f>
        <v>60</v>
      </c>
      <c r="E712" s="85" t="s">
        <v>13641</v>
      </c>
      <c r="F712" s="16">
        <v>260</v>
      </c>
      <c r="G712" s="12"/>
      <c r="H712" s="4" t="s">
        <v>662</v>
      </c>
      <c r="I712" s="5">
        <f t="shared" si="707"/>
        <v>65</v>
      </c>
      <c r="J712" s="5"/>
      <c r="K712" s="4" t="str">
        <f t="shared" si="703"/>
        <v>Moto E6 Play    = R$ 65,00</v>
      </c>
      <c r="M712" s="4" t="str">
        <f t="shared" si="704"/>
        <v>Moto E6 Play    = R$ 70,00</v>
      </c>
      <c r="O712" s="4" t="str">
        <f t="shared" si="705"/>
        <v>Moto E6 Play    = R$ 60,00</v>
      </c>
      <c r="Q712" s="4" t="str">
        <f t="shared" si="706"/>
        <v>Moto E6 Play    = R$ 75,00</v>
      </c>
    </row>
    <row r="713" spans="1:17" ht="15" customHeight="1" x14ac:dyDescent="0.3">
      <c r="A713" t="s">
        <v>2464</v>
      </c>
      <c r="B713">
        <f>I324</f>
        <v>60</v>
      </c>
      <c r="E713" s="85" t="s">
        <v>13320</v>
      </c>
      <c r="F713" s="16">
        <v>330</v>
      </c>
      <c r="G713" s="12"/>
      <c r="H713" s="4" t="s">
        <v>664</v>
      </c>
      <c r="I713" s="5">
        <f t="shared" si="707"/>
        <v>70</v>
      </c>
      <c r="J713" s="5"/>
      <c r="K713" s="4" t="str">
        <f t="shared" si="703"/>
        <v>Moto E6 Play c/aro     = R$ 70,00</v>
      </c>
      <c r="M713" s="4" t="str">
        <f t="shared" si="704"/>
        <v>Moto E6 Play c/aro     = R$ 75,00</v>
      </c>
      <c r="O713" s="4" t="str">
        <f t="shared" si="705"/>
        <v>Moto E6 Play c/aro     = R$ 65,00</v>
      </c>
      <c r="Q713" s="4" t="str">
        <f t="shared" si="706"/>
        <v>Moto E6 Play c/aro     = R$ 80,00</v>
      </c>
    </row>
    <row r="714" spans="1:17" ht="15" customHeight="1" x14ac:dyDescent="0.3">
      <c r="A714" t="s">
        <v>2451</v>
      </c>
      <c r="B714">
        <f>I325</f>
        <v>60</v>
      </c>
      <c r="E714" s="85" t="s">
        <v>6588</v>
      </c>
      <c r="F714" s="6">
        <v>350</v>
      </c>
      <c r="G714" s="12"/>
      <c r="H714" s="4" t="s">
        <v>666</v>
      </c>
      <c r="I714" s="5">
        <f t="shared" si="707"/>
        <v>60</v>
      </c>
      <c r="J714" s="5"/>
      <c r="K714" s="4" t="str">
        <f t="shared" si="703"/>
        <v>Moto E6 Plus    = R$ 60,00</v>
      </c>
      <c r="M714" s="4" t="str">
        <f t="shared" si="704"/>
        <v>Moto E6 Plus    = R$ 65,00</v>
      </c>
      <c r="O714" s="4" t="str">
        <f t="shared" si="705"/>
        <v>Moto E6 Plus    = R$ 55,00</v>
      </c>
      <c r="Q714" s="4" t="str">
        <f t="shared" si="706"/>
        <v>Moto E6 Plus    = R$ 70,00</v>
      </c>
    </row>
    <row r="715" spans="1:17" ht="15" customHeight="1" x14ac:dyDescent="0.3">
      <c r="A715" t="s">
        <v>2452</v>
      </c>
      <c r="B715">
        <f>I326</f>
        <v>55</v>
      </c>
      <c r="E715" s="85" t="s">
        <v>11782</v>
      </c>
      <c r="F715" s="6">
        <v>380</v>
      </c>
      <c r="G715" s="12"/>
      <c r="H715" s="4" t="s">
        <v>667</v>
      </c>
      <c r="I715" s="5">
        <f t="shared" si="707"/>
        <v>75</v>
      </c>
      <c r="J715" s="5"/>
      <c r="K715" s="4" t="str">
        <f t="shared" si="703"/>
        <v>Moto E6 Plus c/aro     = R$ 75,00</v>
      </c>
      <c r="M715" s="4" t="str">
        <f t="shared" si="704"/>
        <v>Moto E6 Plus c/aro     = R$ 80,00</v>
      </c>
      <c r="O715" s="4" t="str">
        <f t="shared" si="705"/>
        <v>Moto E6 Plus c/aro     = R$ 70,00</v>
      </c>
      <c r="Q715" s="4" t="str">
        <f t="shared" si="706"/>
        <v>Moto E6 Plus c/aro     = R$ 85,00</v>
      </c>
    </row>
    <row r="716" spans="1:17" ht="15" customHeight="1" x14ac:dyDescent="0.3">
      <c r="A716" t="s">
        <v>2055</v>
      </c>
      <c r="B716">
        <f>I326</f>
        <v>55</v>
      </c>
      <c r="E716" s="110" t="s">
        <v>13644</v>
      </c>
      <c r="F716" s="16">
        <v>400</v>
      </c>
      <c r="G716" s="12"/>
      <c r="H716" s="4" t="s">
        <v>669</v>
      </c>
      <c r="I716" s="5">
        <f t="shared" si="707"/>
        <v>65</v>
      </c>
      <c r="J716" s="5"/>
      <c r="K716" s="4" t="str">
        <f t="shared" si="703"/>
        <v>Moto E6i/E6s    = R$ 65,00</v>
      </c>
      <c r="M716" s="4" t="str">
        <f t="shared" si="704"/>
        <v>Moto E6i/E6s    = R$ 70,00</v>
      </c>
      <c r="O716" s="4" t="str">
        <f t="shared" si="705"/>
        <v>Moto E6i/E6s    = R$ 60,00</v>
      </c>
      <c r="Q716" s="4" t="str">
        <f t="shared" si="706"/>
        <v>Moto E6i/E6s    = R$ 75,00</v>
      </c>
    </row>
    <row r="717" spans="1:17" ht="15" customHeight="1" x14ac:dyDescent="0.3">
      <c r="A717" t="s">
        <v>2426</v>
      </c>
      <c r="B717">
        <f>I327</f>
        <v>60</v>
      </c>
      <c r="E717" s="110" t="s">
        <v>13645</v>
      </c>
      <c r="F717" s="16">
        <v>320</v>
      </c>
      <c r="G717" s="12"/>
      <c r="H717" s="4" t="s">
        <v>671</v>
      </c>
      <c r="I717" s="5">
        <f t="shared" si="707"/>
        <v>75</v>
      </c>
      <c r="J717" s="5"/>
      <c r="K717" s="4" t="str">
        <f t="shared" si="703"/>
        <v>Moto E6s c/aro            = R$ 75,00</v>
      </c>
      <c r="M717" s="4" t="str">
        <f t="shared" si="704"/>
        <v>Moto E6s c/aro            = R$ 80,00</v>
      </c>
      <c r="O717" s="4" t="str">
        <f t="shared" si="705"/>
        <v>Moto E6s c/aro            = R$ 70,00</v>
      </c>
      <c r="Q717" s="4" t="str">
        <f t="shared" si="706"/>
        <v>Moto E6s c/aro            = R$ 85,00</v>
      </c>
    </row>
    <row r="718" spans="1:17" ht="15" customHeight="1" x14ac:dyDescent="0.3">
      <c r="A718" t="s">
        <v>2427</v>
      </c>
      <c r="B718">
        <f>I328</f>
        <v>65</v>
      </c>
      <c r="E718" s="110" t="s">
        <v>13633</v>
      </c>
      <c r="F718" s="16">
        <v>280</v>
      </c>
      <c r="G718" s="12"/>
      <c r="H718" s="4" t="s">
        <v>673</v>
      </c>
      <c r="I718" s="5">
        <f t="shared" si="707"/>
        <v>75</v>
      </c>
      <c r="J718" s="5"/>
      <c r="K718" s="4" t="str">
        <f t="shared" si="703"/>
        <v>Moto E6i c/aro = R$ 75,00</v>
      </c>
      <c r="M718" s="4" t="str">
        <f t="shared" si="704"/>
        <v>Moto E6i c/aro = R$ 80,00</v>
      </c>
      <c r="O718" s="4" t="str">
        <f t="shared" si="705"/>
        <v>Moto E6i c/aro = R$ 70,00</v>
      </c>
      <c r="Q718" s="4" t="str">
        <f t="shared" si="706"/>
        <v>Moto E6i c/aro = R$ 85,00</v>
      </c>
    </row>
    <row r="719" spans="1:17" ht="15" customHeight="1" x14ac:dyDescent="0.3">
      <c r="A719" t="s">
        <v>2453</v>
      </c>
      <c r="B719">
        <f>I328</f>
        <v>65</v>
      </c>
      <c r="E719" s="110" t="s">
        <v>13635</v>
      </c>
      <c r="F719" s="16">
        <v>300</v>
      </c>
      <c r="G719" s="12"/>
      <c r="H719" s="4" t="s">
        <v>12207</v>
      </c>
      <c r="I719" s="5">
        <f t="shared" si="707"/>
        <v>85</v>
      </c>
      <c r="J719" s="5"/>
      <c r="K719" s="4" t="str">
        <f t="shared" ref="K719" si="708">CONCATENATE(H719,I719,",00")</f>
        <v>Moto E6i c/aro Nac Diamonds =85,00</v>
      </c>
      <c r="M719" s="4" t="str">
        <f t="shared" ref="M719" si="709">CONCATENATE(H719,I719+5,",00")</f>
        <v>Moto E6i c/aro Nac Diamonds =90,00</v>
      </c>
      <c r="O719" s="4" t="str">
        <f t="shared" ref="O719" si="710">CONCATENATE(H719,I719-5,",00")</f>
        <v>Moto E6i c/aro Nac Diamonds =80,00</v>
      </c>
      <c r="Q719" s="4" t="str">
        <f t="shared" ref="Q719" si="711">CONCATENATE(H719,I719+10,",00")</f>
        <v>Moto E6i c/aro Nac Diamonds =95,00</v>
      </c>
    </row>
    <row r="720" spans="1:17" ht="15" customHeight="1" x14ac:dyDescent="0.3">
      <c r="A720" t="s">
        <v>2454</v>
      </c>
      <c r="B720">
        <f>I328</f>
        <v>65</v>
      </c>
      <c r="E720" s="110" t="s">
        <v>13634</v>
      </c>
      <c r="F720" s="16">
        <v>350</v>
      </c>
      <c r="G720" s="12"/>
      <c r="H720" s="4" t="s">
        <v>675</v>
      </c>
      <c r="I720" s="5">
        <f t="shared" si="707"/>
        <v>60</v>
      </c>
      <c r="J720" s="5"/>
      <c r="K720" s="4" t="str">
        <f t="shared" si="703"/>
        <v>Moto E7/E7 Power        = R$ 60,00</v>
      </c>
      <c r="M720" s="4" t="str">
        <f t="shared" si="704"/>
        <v>Moto E7/E7 Power        = R$ 65,00</v>
      </c>
      <c r="O720" s="4" t="str">
        <f t="shared" si="705"/>
        <v>Moto E7/E7 Power        = R$ 55,00</v>
      </c>
      <c r="Q720" s="4" t="str">
        <f t="shared" si="706"/>
        <v>Moto E7/E7 Power        = R$ 70,00</v>
      </c>
    </row>
    <row r="721" spans="1:17" ht="15" customHeight="1" x14ac:dyDescent="0.3">
      <c r="A721" t="s">
        <v>2424</v>
      </c>
      <c r="B721">
        <f>I329</f>
        <v>115</v>
      </c>
      <c r="E721" s="110" t="s">
        <v>13636</v>
      </c>
      <c r="F721" s="16">
        <v>370</v>
      </c>
      <c r="G721" s="12"/>
      <c r="H721" s="4" t="s">
        <v>677</v>
      </c>
      <c r="I721" s="5">
        <f t="shared" si="707"/>
        <v>65</v>
      </c>
      <c r="J721" s="5"/>
      <c r="K721" s="4" t="str">
        <f t="shared" si="703"/>
        <v>Moto E7 c/aro = R$ 65,00</v>
      </c>
      <c r="M721" s="4" t="str">
        <f t="shared" si="704"/>
        <v>Moto E7 c/aro = R$ 70,00</v>
      </c>
      <c r="O721" s="4" t="str">
        <f t="shared" si="705"/>
        <v>Moto E7 c/aro = R$ 60,00</v>
      </c>
      <c r="Q721" s="4" t="str">
        <f t="shared" si="706"/>
        <v>Moto E7 c/aro = R$ 75,00</v>
      </c>
    </row>
    <row r="722" spans="1:17" ht="15" customHeight="1" x14ac:dyDescent="0.3">
      <c r="A722" t="s">
        <v>2425</v>
      </c>
      <c r="B722">
        <f>I329</f>
        <v>115</v>
      </c>
      <c r="E722" s="110"/>
      <c r="F722" s="16"/>
      <c r="G722" s="12"/>
      <c r="H722" s="4" t="s">
        <v>679</v>
      </c>
      <c r="I722" s="5">
        <f t="shared" si="707"/>
        <v>85</v>
      </c>
      <c r="J722" s="5"/>
      <c r="K722" s="4" t="str">
        <f t="shared" ref="K722" si="712">CONCATENATE(H722,I722,",00")</f>
        <v>Moto E7 c/aro Nacional = 85,00</v>
      </c>
      <c r="M722" s="4" t="str">
        <f t="shared" ref="M722" si="713">CONCATENATE(H722,I722+5,",00")</f>
        <v>Moto E7 c/aro Nacional = 90,00</v>
      </c>
      <c r="O722" s="4" t="str">
        <f t="shared" ref="O722" si="714">CONCATENATE(H722,I722-5,",00")</f>
        <v>Moto E7 c/aro Nacional = 80,00</v>
      </c>
      <c r="Q722" s="4" t="str">
        <f t="shared" ref="Q722" si="715">CONCATENATE(H722,I722+10,",00")</f>
        <v>Moto E7 c/aro Nacional = 95,00</v>
      </c>
    </row>
    <row r="723" spans="1:17" ht="15" customHeight="1" x14ac:dyDescent="0.3">
      <c r="A723" t="s">
        <v>2455</v>
      </c>
      <c r="B723">
        <f>I330</f>
        <v>60</v>
      </c>
      <c r="E723" s="110"/>
      <c r="F723" s="16"/>
      <c r="G723" s="12"/>
      <c r="H723" s="4" t="s">
        <v>11765</v>
      </c>
      <c r="I723" s="5">
        <f t="shared" si="707"/>
        <v>95</v>
      </c>
      <c r="J723" s="5"/>
      <c r="K723" s="4" t="str">
        <f t="shared" si="703"/>
        <v>Moto E7 c/aro Nac Diamonds =95,00</v>
      </c>
      <c r="M723" s="4" t="str">
        <f t="shared" si="704"/>
        <v>Moto E7 c/aro Nac Diamonds =100,00</v>
      </c>
      <c r="O723" s="4" t="str">
        <f t="shared" si="705"/>
        <v>Moto E7 c/aro Nac Diamonds =90,00</v>
      </c>
      <c r="Q723" s="4" t="str">
        <f t="shared" si="706"/>
        <v>Moto E7 c/aro Nac Diamonds =105,00</v>
      </c>
    </row>
    <row r="724" spans="1:17" ht="15" customHeight="1" x14ac:dyDescent="0.3">
      <c r="A724" t="s">
        <v>2056</v>
      </c>
      <c r="B724">
        <f>I331</f>
        <v>155</v>
      </c>
      <c r="E724" s="110"/>
      <c r="F724" s="16"/>
      <c r="G724" s="12"/>
      <c r="H724" s="4" t="s">
        <v>681</v>
      </c>
      <c r="I724" s="5">
        <f t="shared" si="707"/>
        <v>65</v>
      </c>
      <c r="J724" s="5"/>
      <c r="K724" s="4" t="str">
        <f t="shared" si="703"/>
        <v>Moto E7 Power c/aro   = R$ 65,00</v>
      </c>
      <c r="M724" s="4" t="str">
        <f t="shared" si="704"/>
        <v>Moto E7 Power c/aro   = R$ 70,00</v>
      </c>
      <c r="O724" s="4" t="str">
        <f t="shared" si="705"/>
        <v>Moto E7 Power c/aro   = R$ 60,00</v>
      </c>
      <c r="Q724" s="4" t="str">
        <f t="shared" si="706"/>
        <v>Moto E7 Power c/aro   = R$ 75,00</v>
      </c>
    </row>
    <row r="725" spans="1:17" ht="15" customHeight="1" x14ac:dyDescent="0.3">
      <c r="A725" t="s">
        <v>2057</v>
      </c>
      <c r="B725">
        <f>I332</f>
        <v>60</v>
      </c>
      <c r="E725" s="7"/>
      <c r="F725" s="6"/>
      <c r="G725" s="12"/>
      <c r="H725" s="4" t="s">
        <v>683</v>
      </c>
      <c r="I725" s="5">
        <f t="shared" si="707"/>
        <v>85</v>
      </c>
      <c r="J725" s="5"/>
      <c r="K725" s="4" t="str">
        <f t="shared" ref="K725" si="716">CONCATENATE(H725,I725,",00")</f>
        <v>E7 Power Nacional c/aro = 85,00</v>
      </c>
      <c r="M725" s="4" t="str">
        <f t="shared" ref="M725" si="717">CONCATENATE(H725,I725+5,",00")</f>
        <v>E7 Power Nacional c/aro = 90,00</v>
      </c>
      <c r="O725" s="4" t="str">
        <f t="shared" ref="O725" si="718">CONCATENATE(H725,I725-5,",00")</f>
        <v>E7 Power Nacional c/aro = 80,00</v>
      </c>
      <c r="Q725" s="4" t="str">
        <f t="shared" ref="Q725" si="719">CONCATENATE(H725,I725+10,",00")</f>
        <v>E7 Power Nacional c/aro = 95,00</v>
      </c>
    </row>
    <row r="726" spans="1:17" ht="15" customHeight="1" x14ac:dyDescent="0.3">
      <c r="A726" t="s">
        <v>2465</v>
      </c>
      <c r="B726">
        <f>I332</f>
        <v>60</v>
      </c>
      <c r="E726" s="85" t="s">
        <v>699</v>
      </c>
      <c r="F726" s="6">
        <v>150</v>
      </c>
      <c r="G726" s="12"/>
      <c r="H726" s="4" t="s">
        <v>11768</v>
      </c>
      <c r="I726" s="5">
        <f t="shared" si="707"/>
        <v>95</v>
      </c>
      <c r="J726" s="5"/>
      <c r="K726" s="4" t="str">
        <f t="shared" si="703"/>
        <v>E7 Power Nac Diamonds =95,00</v>
      </c>
      <c r="M726" s="4" t="str">
        <f t="shared" si="704"/>
        <v>E7 Power Nac Diamonds =100,00</v>
      </c>
      <c r="O726" s="4" t="str">
        <f t="shared" si="705"/>
        <v>E7 Power Nac Diamonds =90,00</v>
      </c>
      <c r="Q726" s="4" t="str">
        <f t="shared" si="706"/>
        <v>E7 Power Nac Diamonds =105,00</v>
      </c>
    </row>
    <row r="727" spans="1:17" ht="15" customHeight="1" x14ac:dyDescent="0.3">
      <c r="A727" t="s">
        <v>2466</v>
      </c>
      <c r="B727">
        <f>I332</f>
        <v>60</v>
      </c>
      <c r="E727" s="85" t="s">
        <v>11122</v>
      </c>
      <c r="F727" s="16">
        <v>80</v>
      </c>
      <c r="G727" s="12"/>
      <c r="H727" s="4" t="s">
        <v>685</v>
      </c>
      <c r="I727" s="5">
        <f>F511</f>
        <v>60</v>
      </c>
      <c r="J727" s="5"/>
      <c r="K727" s="4" t="str">
        <f t="shared" si="703"/>
        <v>Moto E7 Plus  = R$ 60,00</v>
      </c>
      <c r="M727" s="4" t="str">
        <f t="shared" si="704"/>
        <v>Moto E7 Plus  = R$ 65,00</v>
      </c>
      <c r="O727" s="4" t="str">
        <f t="shared" si="705"/>
        <v>Moto E7 Plus  = R$ 55,00</v>
      </c>
      <c r="Q727" s="4" t="str">
        <f t="shared" si="706"/>
        <v>Moto E7 Plus  = R$ 70,00</v>
      </c>
    </row>
    <row r="728" spans="1:17" ht="15" customHeight="1" x14ac:dyDescent="0.3">
      <c r="A728" t="s">
        <v>2467</v>
      </c>
      <c r="B728">
        <f>I332</f>
        <v>60</v>
      </c>
      <c r="E728" s="85" t="s">
        <v>11121</v>
      </c>
      <c r="F728" s="6">
        <v>120</v>
      </c>
      <c r="G728" s="12"/>
      <c r="H728" s="4" t="s">
        <v>687</v>
      </c>
      <c r="I728" s="5">
        <f>F512</f>
        <v>75</v>
      </c>
      <c r="J728" s="5"/>
      <c r="K728" s="4" t="str">
        <f t="shared" si="703"/>
        <v>Moto E7 Plus c/aro     = R$ 75,00</v>
      </c>
      <c r="M728" s="4" t="str">
        <f t="shared" si="704"/>
        <v>Moto E7 Plus c/aro     = R$ 80,00</v>
      </c>
      <c r="O728" s="4" t="str">
        <f t="shared" si="705"/>
        <v>Moto E7 Plus c/aro     = R$ 70,00</v>
      </c>
      <c r="Q728" s="4" t="str">
        <f t="shared" si="706"/>
        <v>Moto E7 Plus c/aro     = R$ 85,00</v>
      </c>
    </row>
    <row r="729" spans="1:17" ht="15" customHeight="1" x14ac:dyDescent="0.3">
      <c r="A729" t="s">
        <v>2468</v>
      </c>
      <c r="B729">
        <f>I332</f>
        <v>60</v>
      </c>
      <c r="E729" s="85" t="s">
        <v>702</v>
      </c>
      <c r="F729" s="6">
        <v>120</v>
      </c>
      <c r="G729" s="12"/>
      <c r="H729" s="4" t="s">
        <v>688</v>
      </c>
      <c r="I729" s="5">
        <f>F513</f>
        <v>85</v>
      </c>
      <c r="J729" s="5"/>
      <c r="K729" s="4" t="str">
        <f t="shared" ref="K729" si="720">CONCATENATE(H729,I729,",00")</f>
        <v>E7 Plus c/aro Nacional = R$ 85,00</v>
      </c>
      <c r="M729" s="4" t="str">
        <f t="shared" ref="M729" si="721">CONCATENATE(H729,I729+5,",00")</f>
        <v>E7 Plus c/aro Nacional = R$ 90,00</v>
      </c>
      <c r="O729" s="4" t="str">
        <f t="shared" ref="O729" si="722">CONCATENATE(H729,I729-5,",00")</f>
        <v>E7 Plus c/aro Nacional = R$ 80,00</v>
      </c>
      <c r="Q729" s="4" t="str">
        <f t="shared" ref="Q729" si="723">CONCATENATE(H729,I729+10,",00")</f>
        <v>E7 Plus c/aro Nacional = R$ 95,00</v>
      </c>
    </row>
    <row r="730" spans="1:17" ht="15" customHeight="1" x14ac:dyDescent="0.3">
      <c r="A730" t="s">
        <v>2469</v>
      </c>
      <c r="B730">
        <f>I332</f>
        <v>60</v>
      </c>
      <c r="E730" s="93" t="s">
        <v>704</v>
      </c>
      <c r="F730" s="14">
        <v>165</v>
      </c>
      <c r="H730" s="4" t="s">
        <v>11771</v>
      </c>
      <c r="I730" s="5">
        <f>F514</f>
        <v>95</v>
      </c>
      <c r="J730" s="5"/>
      <c r="K730" s="4" t="str">
        <f t="shared" si="703"/>
        <v>E7 Plus c/aro Nac Diamonds = 95,00</v>
      </c>
      <c r="M730" s="4" t="str">
        <f t="shared" si="704"/>
        <v>E7 Plus c/aro Nac Diamonds = 100,00</v>
      </c>
      <c r="O730" s="4" t="str">
        <f t="shared" si="705"/>
        <v>E7 Plus c/aro Nac Diamonds = 90,00</v>
      </c>
      <c r="Q730" s="4" t="str">
        <f t="shared" si="706"/>
        <v>E7 Plus c/aro Nac Diamonds = 105,00</v>
      </c>
    </row>
    <row r="731" spans="1:17" ht="15" customHeight="1" x14ac:dyDescent="0.3">
      <c r="A731" t="s">
        <v>2059</v>
      </c>
      <c r="B731">
        <f>I335</f>
        <v>60</v>
      </c>
      <c r="E731" s="4"/>
      <c r="F731" s="9"/>
      <c r="H731" s="4" t="s">
        <v>689</v>
      </c>
      <c r="I731" s="5">
        <f>F679</f>
        <v>65</v>
      </c>
      <c r="J731" s="5"/>
      <c r="K731" s="4" t="str">
        <f t="shared" si="703"/>
        <v>Moto E13            = R$ 65,00</v>
      </c>
      <c r="M731" s="4" t="str">
        <f t="shared" si="704"/>
        <v>Moto E13            = R$ 70,00</v>
      </c>
      <c r="O731" s="4" t="str">
        <f t="shared" si="705"/>
        <v>Moto E13            = R$ 60,00</v>
      </c>
      <c r="Q731" s="4" t="str">
        <f t="shared" si="706"/>
        <v>Moto E13            = R$ 75,00</v>
      </c>
    </row>
    <row r="732" spans="1:17" ht="15" customHeight="1" x14ac:dyDescent="0.3">
      <c r="A732" t="s">
        <v>2058</v>
      </c>
      <c r="B732">
        <f>I336</f>
        <v>65</v>
      </c>
      <c r="F732" s="12"/>
      <c r="H732" s="4" t="s">
        <v>690</v>
      </c>
      <c r="I732" s="5">
        <f>F680</f>
        <v>75</v>
      </c>
      <c r="J732" s="5"/>
      <c r="K732" s="4" t="str">
        <f t="shared" si="703"/>
        <v>Moto E13 c/aro      = R$ 75,00</v>
      </c>
      <c r="M732" s="4" t="str">
        <f t="shared" si="704"/>
        <v>Moto E13 c/aro      = R$ 80,00</v>
      </c>
      <c r="O732" s="4" t="str">
        <f t="shared" si="705"/>
        <v>Moto E13 c/aro      = R$ 70,00</v>
      </c>
      <c r="Q732" s="4" t="str">
        <f t="shared" si="706"/>
        <v>Moto E13 c/aro      = R$ 85,00</v>
      </c>
    </row>
    <row r="733" spans="1:17" ht="15" customHeight="1" x14ac:dyDescent="0.3">
      <c r="A733" t="s">
        <v>2456</v>
      </c>
      <c r="B733">
        <f>I333</f>
        <v>60</v>
      </c>
      <c r="F733" s="12"/>
      <c r="H733" s="4" t="s">
        <v>692</v>
      </c>
      <c r="I733" s="5">
        <f>F681</f>
        <v>85</v>
      </c>
      <c r="J733" s="5"/>
      <c r="K733" s="4" t="str">
        <f t="shared" ref="K733" si="724">CONCATENATE(H733,I733,",00")</f>
        <v>E13 c/aro Nacional = R$ 85,00</v>
      </c>
      <c r="M733" s="4" t="str">
        <f t="shared" ref="M733" si="725">CONCATENATE(H733,I733+5,",00")</f>
        <v>E13 c/aro Nacional = R$ 90,00</v>
      </c>
      <c r="O733" s="4" t="str">
        <f t="shared" ref="O733" si="726">CONCATENATE(H733,I733-5,",00")</f>
        <v>E13 c/aro Nacional = R$ 80,00</v>
      </c>
      <c r="Q733" s="4" t="str">
        <f t="shared" ref="Q733" si="727">CONCATENATE(H733,I733+10,",00")</f>
        <v>E13 c/aro Nacional = R$ 95,00</v>
      </c>
    </row>
    <row r="734" spans="1:17" ht="15" customHeight="1" x14ac:dyDescent="0.3">
      <c r="A734" t="s">
        <v>2060</v>
      </c>
      <c r="B734">
        <f>I334</f>
        <v>115</v>
      </c>
      <c r="F734" s="12"/>
      <c r="H734" s="4" t="s">
        <v>11770</v>
      </c>
      <c r="I734" s="5">
        <f>F682</f>
        <v>95</v>
      </c>
      <c r="J734" s="5"/>
      <c r="K734" s="4" t="str">
        <f t="shared" si="703"/>
        <v>E13 c/aro Nac Diamonds = 95,00</v>
      </c>
      <c r="M734" s="4" t="str">
        <f t="shared" si="704"/>
        <v>E13 c/aro Nac Diamonds = 100,00</v>
      </c>
      <c r="O734" s="4" t="str">
        <f t="shared" si="705"/>
        <v>E13 c/aro Nac Diamonds = 90,00</v>
      </c>
      <c r="Q734" s="4" t="str">
        <f t="shared" si="706"/>
        <v>E13 c/aro Nac Diamonds = 105,00</v>
      </c>
    </row>
    <row r="735" spans="1:17" ht="15" customHeight="1" x14ac:dyDescent="0.3">
      <c r="A735" t="s">
        <v>3286</v>
      </c>
      <c r="B735">
        <f>I334</f>
        <v>115</v>
      </c>
      <c r="E735" s="113" t="s">
        <v>710</v>
      </c>
      <c r="F735" s="112"/>
      <c r="H735" s="4" t="s">
        <v>10572</v>
      </c>
      <c r="I735" s="5">
        <f>F459</f>
        <v>65</v>
      </c>
      <c r="J735" s="5"/>
      <c r="K735" s="4" t="str">
        <f t="shared" ref="K735:K738" si="728">CONCATENATE(H735,I735,",00")</f>
        <v>Moto E14       = R$ 65,00</v>
      </c>
      <c r="M735" s="4" t="str">
        <f t="shared" ref="M735:M738" si="729">CONCATENATE(H735,I735+5,",00")</f>
        <v>Moto E14       = R$ 70,00</v>
      </c>
      <c r="O735" s="4" t="str">
        <f t="shared" ref="O735:O738" si="730">CONCATENATE(H735,I735-5,",00")</f>
        <v>Moto E14       = R$ 60,00</v>
      </c>
      <c r="Q735" s="4" t="str">
        <f t="shared" ref="Q735:Q738" si="731">CONCATENATE(H735,I735+10,",00")</f>
        <v>Moto E14       = R$ 75,00</v>
      </c>
    </row>
    <row r="736" spans="1:17" ht="15" customHeight="1" x14ac:dyDescent="0.3">
      <c r="A736" t="s">
        <v>3287</v>
      </c>
      <c r="B736">
        <f>I334</f>
        <v>115</v>
      </c>
      <c r="E736" s="85" t="s">
        <v>712</v>
      </c>
      <c r="F736" s="6">
        <v>70</v>
      </c>
      <c r="H736" s="4" t="s">
        <v>10573</v>
      </c>
      <c r="I736" s="5">
        <f>F460</f>
        <v>75</v>
      </c>
      <c r="J736" s="5"/>
      <c r="K736" s="4" t="str">
        <f t="shared" si="728"/>
        <v>Moto E14 c/aro  = R$ 75,00</v>
      </c>
      <c r="M736" s="4" t="str">
        <f t="shared" si="729"/>
        <v>Moto E14 c/aro  = R$ 80,00</v>
      </c>
      <c r="O736" s="4" t="str">
        <f t="shared" si="730"/>
        <v>Moto E14 c/aro  = R$ 70,00</v>
      </c>
      <c r="Q736" s="4" t="str">
        <f t="shared" si="731"/>
        <v>Moto E14 c/aro  = R$ 85,00</v>
      </c>
    </row>
    <row r="737" spans="1:17" ht="15" customHeight="1" x14ac:dyDescent="0.3">
      <c r="A737" t="s">
        <v>3288</v>
      </c>
      <c r="B737">
        <f>I337</f>
        <v>60</v>
      </c>
      <c r="E737" s="85" t="s">
        <v>714</v>
      </c>
      <c r="F737" s="6">
        <v>70</v>
      </c>
      <c r="H737" s="4" t="s">
        <v>11685</v>
      </c>
      <c r="I737" s="5">
        <f>F461</f>
        <v>85</v>
      </c>
      <c r="J737" s="5"/>
      <c r="K737" s="4" t="str">
        <f t="shared" si="728"/>
        <v>Moto E14 c/aro Nacional = 85,00</v>
      </c>
      <c r="M737" s="4" t="str">
        <f t="shared" si="729"/>
        <v>Moto E14 c/aro Nacional = 90,00</v>
      </c>
      <c r="O737" s="4" t="str">
        <f t="shared" si="730"/>
        <v>Moto E14 c/aro Nacional = 80,00</v>
      </c>
      <c r="Q737" s="4" t="str">
        <f t="shared" si="731"/>
        <v>Moto E14 c/aro Nacional = 95,00</v>
      </c>
    </row>
    <row r="738" spans="1:17" ht="14.4" x14ac:dyDescent="0.3">
      <c r="A738" t="s">
        <v>3289</v>
      </c>
      <c r="B738">
        <f>I337</f>
        <v>60</v>
      </c>
      <c r="E738" s="85" t="s">
        <v>716</v>
      </c>
      <c r="F738" s="6">
        <v>70</v>
      </c>
      <c r="H738" s="4" t="s">
        <v>11686</v>
      </c>
      <c r="I738" s="5">
        <f>F462</f>
        <v>95</v>
      </c>
      <c r="J738" s="5"/>
      <c r="K738" s="4" t="str">
        <f t="shared" si="728"/>
        <v>E14 c/aro Nac Diamonds = 95,00</v>
      </c>
      <c r="M738" s="4" t="str">
        <f t="shared" si="729"/>
        <v>E14 c/aro Nac Diamonds = 100,00</v>
      </c>
      <c r="O738" s="4" t="str">
        <f t="shared" si="730"/>
        <v>E14 c/aro Nac Diamonds = 90,00</v>
      </c>
      <c r="Q738" s="4" t="str">
        <f t="shared" si="731"/>
        <v>E14 c/aro Nac Diamonds = 105,00</v>
      </c>
    </row>
    <row r="739" spans="1:17" ht="14.4" x14ac:dyDescent="0.3">
      <c r="A739" t="s">
        <v>3290</v>
      </c>
      <c r="B739">
        <f>I337</f>
        <v>60</v>
      </c>
      <c r="E739" s="85" t="s">
        <v>718</v>
      </c>
      <c r="F739" s="6">
        <v>80</v>
      </c>
      <c r="H739" s="4" t="s">
        <v>694</v>
      </c>
      <c r="I739" s="5">
        <f t="shared" ref="I739:J750" si="732">F683</f>
        <v>60</v>
      </c>
      <c r="J739" s="5"/>
      <c r="K739" s="4" t="str">
        <f t="shared" si="703"/>
        <v>Moto E20       = R$ 60,00</v>
      </c>
      <c r="M739" s="4" t="str">
        <f t="shared" si="704"/>
        <v>Moto E20       = R$ 65,00</v>
      </c>
      <c r="O739" s="4" t="str">
        <f t="shared" si="705"/>
        <v>Moto E20       = R$ 55,00</v>
      </c>
      <c r="Q739" s="4" t="str">
        <f t="shared" si="706"/>
        <v>Moto E20       = R$ 70,00</v>
      </c>
    </row>
    <row r="740" spans="1:17" ht="14.4" x14ac:dyDescent="0.3">
      <c r="A740" t="s">
        <v>3291</v>
      </c>
      <c r="B740">
        <f>I337</f>
        <v>60</v>
      </c>
      <c r="E740" s="85" t="s">
        <v>720</v>
      </c>
      <c r="F740" s="6">
        <v>80</v>
      </c>
      <c r="H740" s="4" t="s">
        <v>696</v>
      </c>
      <c r="I740" s="5">
        <f t="shared" si="732"/>
        <v>70</v>
      </c>
      <c r="J740" s="5"/>
      <c r="K740" s="4" t="str">
        <f t="shared" si="703"/>
        <v>Moto E20 c/aro          = R$ 70,00</v>
      </c>
      <c r="M740" s="4" t="str">
        <f t="shared" si="704"/>
        <v>Moto E20 c/aro          = R$ 75,00</v>
      </c>
      <c r="O740" s="4" t="str">
        <f t="shared" si="705"/>
        <v>Moto E20 c/aro          = R$ 65,00</v>
      </c>
      <c r="Q740" s="4" t="str">
        <f t="shared" si="706"/>
        <v>Moto E20 c/aro          = R$ 80,00</v>
      </c>
    </row>
    <row r="741" spans="1:17" ht="14.4" x14ac:dyDescent="0.3">
      <c r="A741" t="s">
        <v>3292</v>
      </c>
      <c r="B741">
        <f>I338</f>
        <v>115</v>
      </c>
      <c r="E741" s="92" t="s">
        <v>721</v>
      </c>
      <c r="F741" s="6">
        <v>65</v>
      </c>
      <c r="H741" s="4" t="s">
        <v>11774</v>
      </c>
      <c r="I741" s="5">
        <f t="shared" si="732"/>
        <v>85</v>
      </c>
      <c r="J741" s="5"/>
      <c r="K741" s="4" t="str">
        <f t="shared" ref="K741" si="733">CONCATENATE(H741,I741,",00")</f>
        <v>Moto E20 c/aro Nacional = 85,00</v>
      </c>
      <c r="M741" s="4" t="str">
        <f t="shared" ref="M741" si="734">CONCATENATE(H741,I741+5,",00")</f>
        <v>Moto E20 c/aro Nacional = 90,00</v>
      </c>
      <c r="O741" s="4" t="str">
        <f t="shared" ref="O741" si="735">CONCATENATE(H741,I741-5,",00")</f>
        <v>Moto E20 c/aro Nacional = 80,00</v>
      </c>
      <c r="Q741" s="4" t="str">
        <f t="shared" ref="Q741" si="736">CONCATENATE(H741,I741+10,",00")</f>
        <v>Moto E20 c/aro Nacional = 95,00</v>
      </c>
    </row>
    <row r="742" spans="1:17" ht="14.4" x14ac:dyDescent="0.3">
      <c r="A742" t="s">
        <v>3296</v>
      </c>
      <c r="B742">
        <f>I338</f>
        <v>115</v>
      </c>
      <c r="E742" s="85" t="s">
        <v>722</v>
      </c>
      <c r="F742" s="6">
        <v>85</v>
      </c>
      <c r="H742" s="4" t="s">
        <v>11773</v>
      </c>
      <c r="I742" s="5">
        <f t="shared" si="732"/>
        <v>95</v>
      </c>
      <c r="J742" s="5"/>
      <c r="K742" s="4" t="str">
        <f t="shared" si="703"/>
        <v>Moto E20 c/aro Nac Diamonds = 95,00</v>
      </c>
      <c r="M742" s="4" t="str">
        <f t="shared" si="704"/>
        <v>Moto E20 c/aro Nac Diamonds = 100,00</v>
      </c>
      <c r="O742" s="4" t="str">
        <f t="shared" si="705"/>
        <v>Moto E20 c/aro Nac Diamonds = 90,00</v>
      </c>
      <c r="Q742" s="4" t="str">
        <f t="shared" si="706"/>
        <v>Moto E20 c/aro Nac Diamonds = 105,00</v>
      </c>
    </row>
    <row r="743" spans="1:17" ht="14.4" x14ac:dyDescent="0.3">
      <c r="A743" t="s">
        <v>3293</v>
      </c>
      <c r="B743">
        <f>I338</f>
        <v>115</v>
      </c>
      <c r="E743" s="85" t="s">
        <v>723</v>
      </c>
      <c r="F743" s="6">
        <v>105</v>
      </c>
      <c r="H743" s="4" t="s">
        <v>697</v>
      </c>
      <c r="I743" s="5">
        <f t="shared" si="732"/>
        <v>60</v>
      </c>
      <c r="J743" s="5"/>
      <c r="K743" s="4" t="str">
        <f t="shared" si="703"/>
        <v>Moto E22       = R$ 60,00</v>
      </c>
      <c r="M743" s="4" t="str">
        <f t="shared" si="704"/>
        <v>Moto E22       = R$ 65,00</v>
      </c>
      <c r="O743" s="4" t="str">
        <f t="shared" si="705"/>
        <v>Moto E22       = R$ 55,00</v>
      </c>
      <c r="Q743" s="4" t="str">
        <f t="shared" si="706"/>
        <v>Moto E22       = R$ 70,00</v>
      </c>
    </row>
    <row r="744" spans="1:17" ht="14.4" x14ac:dyDescent="0.3">
      <c r="A744" t="s">
        <v>3294</v>
      </c>
      <c r="B744">
        <f>I338</f>
        <v>115</v>
      </c>
      <c r="E744" s="95" t="s">
        <v>6596</v>
      </c>
      <c r="F744" s="8">
        <v>70</v>
      </c>
      <c r="H744" s="4" t="s">
        <v>698</v>
      </c>
      <c r="I744" s="5">
        <f t="shared" si="732"/>
        <v>75</v>
      </c>
      <c r="J744" s="5"/>
      <c r="K744" s="4" t="str">
        <f t="shared" si="703"/>
        <v>Moto E22 c/aro        = R$ 75,00</v>
      </c>
      <c r="M744" s="4" t="str">
        <f t="shared" si="704"/>
        <v>Moto E22 c/aro        = R$ 80,00</v>
      </c>
      <c r="O744" s="4" t="str">
        <f t="shared" si="705"/>
        <v>Moto E22 c/aro        = R$ 70,00</v>
      </c>
      <c r="Q744" s="4" t="str">
        <f t="shared" si="706"/>
        <v>Moto E22 c/aro        = R$ 85,00</v>
      </c>
    </row>
    <row r="745" spans="1:17" ht="14.4" x14ac:dyDescent="0.3">
      <c r="A745" t="s">
        <v>3297</v>
      </c>
      <c r="B745">
        <f>I338</f>
        <v>115</v>
      </c>
      <c r="E745" s="86" t="s">
        <v>10718</v>
      </c>
      <c r="F745" s="16">
        <v>75</v>
      </c>
      <c r="H745" s="4" t="s">
        <v>11777</v>
      </c>
      <c r="I745" s="5">
        <f t="shared" si="732"/>
        <v>85</v>
      </c>
      <c r="J745" s="5"/>
      <c r="K745" s="4" t="str">
        <f t="shared" ref="K745" si="737">CONCATENATE(H745,I745,",00")</f>
        <v>Moto E22 c/aro Nacional = 85,00</v>
      </c>
      <c r="M745" s="4" t="str">
        <f t="shared" ref="M745" si="738">CONCATENATE(H745,I745+5,",00")</f>
        <v>Moto E22 c/aro Nacional = 90,00</v>
      </c>
      <c r="O745" s="4" t="str">
        <f t="shared" ref="O745" si="739">CONCATENATE(H745,I745-5,",00")</f>
        <v>Moto E22 c/aro Nacional = 80,00</v>
      </c>
      <c r="Q745" s="4" t="str">
        <f t="shared" ref="Q745" si="740">CONCATENATE(H745,I745+10,",00")</f>
        <v>Moto E22 c/aro Nacional = 95,00</v>
      </c>
    </row>
    <row r="746" spans="1:17" ht="14.4" x14ac:dyDescent="0.3">
      <c r="A746" t="s">
        <v>3298</v>
      </c>
      <c r="B746">
        <f>I338</f>
        <v>115</v>
      </c>
      <c r="E746" s="86" t="s">
        <v>10719</v>
      </c>
      <c r="F746" s="16">
        <v>85</v>
      </c>
      <c r="H746" s="4" t="s">
        <v>11776</v>
      </c>
      <c r="I746" s="5">
        <f t="shared" si="732"/>
        <v>95</v>
      </c>
      <c r="J746" s="5"/>
      <c r="K746" s="4" t="str">
        <f t="shared" si="703"/>
        <v>Moto E22 c/aro Nac Diamonds = 95,00</v>
      </c>
      <c r="M746" s="4" t="str">
        <f t="shared" si="704"/>
        <v>Moto E22 c/aro Nac Diamonds = 100,00</v>
      </c>
      <c r="O746" s="4" t="str">
        <f t="shared" si="705"/>
        <v>Moto E22 c/aro Nac Diamonds = 90,00</v>
      </c>
      <c r="Q746" s="4" t="str">
        <f t="shared" si="706"/>
        <v>Moto E22 c/aro Nac Diamonds = 105,00</v>
      </c>
    </row>
    <row r="747" spans="1:17" ht="14.4" x14ac:dyDescent="0.3">
      <c r="A747" t="s">
        <v>3295</v>
      </c>
      <c r="B747">
        <f>I338</f>
        <v>115</v>
      </c>
      <c r="E747" s="86" t="s">
        <v>10716</v>
      </c>
      <c r="F747" s="16">
        <v>75</v>
      </c>
      <c r="H747" s="4" t="s">
        <v>700</v>
      </c>
      <c r="I747" s="5">
        <f t="shared" si="732"/>
        <v>65</v>
      </c>
      <c r="J747" s="5"/>
      <c r="K747" s="4" t="str">
        <f t="shared" si="703"/>
        <v>Moto E30/E40            = R$ 65,00</v>
      </c>
      <c r="M747" s="4" t="str">
        <f t="shared" si="704"/>
        <v>Moto E30/E40            = R$ 70,00</v>
      </c>
      <c r="O747" s="4" t="str">
        <f t="shared" si="705"/>
        <v>Moto E30/E40            = R$ 60,00</v>
      </c>
      <c r="Q747" s="4" t="str">
        <f t="shared" si="706"/>
        <v>Moto E30/E40            = R$ 75,00</v>
      </c>
    </row>
    <row r="748" spans="1:17" ht="14.4" x14ac:dyDescent="0.3">
      <c r="A748" t="s">
        <v>3299</v>
      </c>
      <c r="B748">
        <f>I338</f>
        <v>115</v>
      </c>
      <c r="E748" s="86" t="s">
        <v>10717</v>
      </c>
      <c r="F748" s="16">
        <v>95</v>
      </c>
      <c r="H748" s="4" t="s">
        <v>701</v>
      </c>
      <c r="I748" s="5">
        <f t="shared" si="732"/>
        <v>75</v>
      </c>
      <c r="J748" s="5"/>
      <c r="K748" s="4" t="str">
        <f t="shared" si="703"/>
        <v>Moto E30/E40 c/aro= R$ 75,00</v>
      </c>
      <c r="M748" s="4" t="str">
        <f t="shared" si="704"/>
        <v>Moto E30/E40 c/aro= R$ 80,00</v>
      </c>
      <c r="O748" s="4" t="str">
        <f t="shared" si="705"/>
        <v>Moto E30/E40 c/aro= R$ 70,00</v>
      </c>
      <c r="Q748" s="4" t="str">
        <f t="shared" si="706"/>
        <v>Moto E30/E40 c/aro= R$ 85,00</v>
      </c>
    </row>
    <row r="749" spans="1:17" ht="14.4" x14ac:dyDescent="0.3">
      <c r="A749" t="s">
        <v>2457</v>
      </c>
      <c r="B749">
        <f>I339</f>
        <v>70</v>
      </c>
      <c r="E749" s="85" t="s">
        <v>10852</v>
      </c>
      <c r="F749" s="6">
        <v>65</v>
      </c>
      <c r="H749" s="4" t="s">
        <v>703</v>
      </c>
      <c r="I749" s="5">
        <f t="shared" si="732"/>
        <v>85</v>
      </c>
      <c r="J749" s="5"/>
      <c r="K749" s="4" t="str">
        <f t="shared" ref="K749" si="741">CONCATENATE(H749,I749,",00")</f>
        <v>E30/E40 c/aro Nacional=R$ 85,00</v>
      </c>
      <c r="M749" s="4" t="str">
        <f t="shared" ref="M749" si="742">CONCATENATE(H749,I749+5,",00")</f>
        <v>E30/E40 c/aro Nacional=R$ 90,00</v>
      </c>
      <c r="O749" s="4" t="str">
        <f t="shared" ref="O749" si="743">CONCATENATE(H749,I749-5,",00")</f>
        <v>E30/E40 c/aro Nacional=R$ 80,00</v>
      </c>
      <c r="Q749" s="4" t="str">
        <f t="shared" ref="Q749" si="744">CONCATENATE(H749,I749+10,",00")</f>
        <v>E30/E40 c/aro Nacional=R$ 95,00</v>
      </c>
    </row>
    <row r="750" spans="1:17" ht="14.4" x14ac:dyDescent="0.3">
      <c r="A750" t="s">
        <v>3300</v>
      </c>
      <c r="B750">
        <f>I340</f>
        <v>115</v>
      </c>
      <c r="E750" s="85" t="s">
        <v>10853</v>
      </c>
      <c r="F750" s="6">
        <v>80</v>
      </c>
      <c r="H750" s="4" t="s">
        <v>11779</v>
      </c>
      <c r="I750" s="5">
        <f t="shared" si="732"/>
        <v>95</v>
      </c>
      <c r="J750" s="5"/>
      <c r="K750" s="4" t="str">
        <f t="shared" si="703"/>
        <v>E30/E40 c/aro Nac Diamonds = 95,00</v>
      </c>
      <c r="M750" s="4" t="str">
        <f t="shared" si="704"/>
        <v>E30/E40 c/aro Nac Diamonds = 100,00</v>
      </c>
      <c r="O750" s="4" t="str">
        <f t="shared" si="705"/>
        <v>E30/E40 c/aro Nac Diamonds = 90,00</v>
      </c>
      <c r="Q750" s="4" t="str">
        <f t="shared" si="706"/>
        <v>E30/E40 c/aro Nac Diamonds = 105,00</v>
      </c>
    </row>
    <row r="751" spans="1:17" ht="14.4" x14ac:dyDescent="0.3">
      <c r="A751" t="s">
        <v>3301</v>
      </c>
      <c r="B751">
        <f>I340</f>
        <v>115</v>
      </c>
      <c r="E751" s="85" t="s">
        <v>11785</v>
      </c>
      <c r="F751" s="16">
        <v>85</v>
      </c>
      <c r="H751" s="4" t="s">
        <v>705</v>
      </c>
      <c r="I751" s="5">
        <f>F535</f>
        <v>65</v>
      </c>
      <c r="J751" s="5"/>
      <c r="K751" s="4" t="str">
        <f t="shared" si="703"/>
        <v>Moto E32      = R$ 65,00</v>
      </c>
      <c r="M751" s="4" t="str">
        <f t="shared" si="704"/>
        <v>Moto E32      = R$ 70,00</v>
      </c>
      <c r="O751" s="4" t="str">
        <f t="shared" si="705"/>
        <v>Moto E32      = R$ 60,00</v>
      </c>
      <c r="Q751" s="4" t="str">
        <f t="shared" si="706"/>
        <v>Moto E32      = R$ 75,00</v>
      </c>
    </row>
    <row r="752" spans="1:17" ht="14.4" x14ac:dyDescent="0.3">
      <c r="A752" t="s">
        <v>3302</v>
      </c>
      <c r="B752">
        <f>I340</f>
        <v>115</v>
      </c>
      <c r="E752" s="85" t="s">
        <v>11784</v>
      </c>
      <c r="F752" s="16">
        <v>95</v>
      </c>
      <c r="H752" s="4" t="s">
        <v>706</v>
      </c>
      <c r="I752" s="5">
        <f t="shared" ref="I752:J762" si="745">F695</f>
        <v>80</v>
      </c>
      <c r="J752" s="5"/>
      <c r="K752" s="4" t="str">
        <f t="shared" si="703"/>
        <v>Moto E32 c/aro       = R$ 80,00</v>
      </c>
      <c r="M752" s="4" t="str">
        <f t="shared" si="704"/>
        <v>Moto E32 c/aro       = R$ 85,00</v>
      </c>
      <c r="O752" s="4" t="str">
        <f t="shared" si="705"/>
        <v>Moto E32 c/aro       = R$ 75,00</v>
      </c>
      <c r="Q752" s="4" t="str">
        <f t="shared" si="706"/>
        <v>Moto E32 c/aro       = R$ 90,00</v>
      </c>
    </row>
    <row r="753" spans="1:17" ht="14.4" x14ac:dyDescent="0.3">
      <c r="A753" t="s">
        <v>3303</v>
      </c>
      <c r="B753">
        <f>I340</f>
        <v>115</v>
      </c>
      <c r="E753" s="95" t="s">
        <v>730</v>
      </c>
      <c r="F753" s="6">
        <v>65</v>
      </c>
      <c r="H753" s="4" t="s">
        <v>707</v>
      </c>
      <c r="I753" s="5">
        <f t="shared" si="745"/>
        <v>85</v>
      </c>
      <c r="J753" s="5"/>
      <c r="K753" s="4" t="str">
        <f t="shared" si="703"/>
        <v>Moto E32 c/aro Nacional= 85,00</v>
      </c>
      <c r="M753" s="4" t="str">
        <f t="shared" si="704"/>
        <v>Moto E32 c/aro Nacional= 90,00</v>
      </c>
      <c r="O753" s="4" t="str">
        <f t="shared" si="705"/>
        <v>Moto E32 c/aro Nacional= 80,00</v>
      </c>
      <c r="Q753" s="4" t="str">
        <f t="shared" si="706"/>
        <v>Moto E32 c/aro Nacional= 95,00</v>
      </c>
    </row>
    <row r="754" spans="1:17" ht="14.4" x14ac:dyDescent="0.3">
      <c r="A754" t="s">
        <v>3304</v>
      </c>
      <c r="B754">
        <f>I340</f>
        <v>115</v>
      </c>
      <c r="E754" s="95" t="s">
        <v>6597</v>
      </c>
      <c r="F754" s="6">
        <v>80</v>
      </c>
      <c r="H754" s="4" t="s">
        <v>11952</v>
      </c>
      <c r="I754" s="5">
        <f t="shared" si="745"/>
        <v>95</v>
      </c>
      <c r="J754" s="5"/>
      <c r="K754" s="4" t="str">
        <f t="shared" ref="K754" si="746">CONCATENATE(H754,I754,",00")</f>
        <v>Moto E32 c/aro Nac Diamonds = 95,00</v>
      </c>
      <c r="M754" s="4" t="str">
        <f t="shared" ref="M754" si="747">CONCATENATE(H754,I754+5,",00")</f>
        <v>Moto E32 c/aro Nac Diamonds = 100,00</v>
      </c>
      <c r="O754" s="4" t="str">
        <f t="shared" ref="O754" si="748">CONCATENATE(H754,I754-5,",00")</f>
        <v>Moto E32 c/aro Nac Diamonds = 90,00</v>
      </c>
      <c r="Q754" s="4" t="str">
        <f t="shared" ref="Q754" si="749">CONCATENATE(H754,I754+10,",00")</f>
        <v>Moto E32 c/aro Nac Diamonds = 105,00</v>
      </c>
    </row>
    <row r="755" spans="1:17" ht="14.4" x14ac:dyDescent="0.3">
      <c r="A755" t="s">
        <v>3305</v>
      </c>
      <c r="B755">
        <f>I340</f>
        <v>115</v>
      </c>
      <c r="E755" s="95" t="s">
        <v>733</v>
      </c>
      <c r="F755" s="6">
        <v>65</v>
      </c>
      <c r="H755" s="4" t="s">
        <v>708</v>
      </c>
      <c r="I755" s="5">
        <f t="shared" si="745"/>
        <v>320</v>
      </c>
      <c r="J755" s="5"/>
      <c r="K755" s="4" t="str">
        <f t="shared" si="703"/>
        <v>Moto Edge Plus Nacional = 320,00</v>
      </c>
      <c r="M755" s="4" t="str">
        <f t="shared" si="704"/>
        <v>Moto Edge Plus Nacional = 325,00</v>
      </c>
      <c r="O755" s="4" t="str">
        <f t="shared" si="705"/>
        <v>Moto Edge Plus Nacional = 315,00</v>
      </c>
      <c r="Q755" s="4" t="str">
        <f t="shared" si="706"/>
        <v>Moto Edge Plus Nacional = 330,00</v>
      </c>
    </row>
    <row r="756" spans="1:17" ht="14.4" x14ac:dyDescent="0.3">
      <c r="A756" t="s">
        <v>3306</v>
      </c>
      <c r="B756">
        <f>I340</f>
        <v>115</v>
      </c>
      <c r="E756" s="95" t="s">
        <v>6598</v>
      </c>
      <c r="F756" s="6">
        <v>80</v>
      </c>
      <c r="H756" s="4" t="s">
        <v>11964</v>
      </c>
      <c r="I756" s="5">
        <f t="shared" si="745"/>
        <v>330</v>
      </c>
      <c r="J756" s="5"/>
      <c r="K756" s="4" t="str">
        <f t="shared" ref="K756" si="750">CONCATENATE(H756,I756,",00")</f>
        <v>Moto Edge Plus Nac Diamonds = 330,00</v>
      </c>
      <c r="M756" s="4" t="str">
        <f t="shared" ref="M756" si="751">CONCATENATE(H756,I756+5,",00")</f>
        <v>Moto Edge Plus Nac Diamonds = 335,00</v>
      </c>
      <c r="O756" s="4" t="str">
        <f t="shared" ref="O756" si="752">CONCATENATE(H756,I756-5,",00")</f>
        <v>Moto Edge Plus Nac Diamonds = 325,00</v>
      </c>
      <c r="Q756" s="4" t="str">
        <f t="shared" ref="Q756" si="753">CONCATENATE(H756,I756+10,",00")</f>
        <v>Moto Edge Plus Nac Diamonds = 340,00</v>
      </c>
    </row>
    <row r="757" spans="1:17" ht="14.4" x14ac:dyDescent="0.3">
      <c r="A757" t="s">
        <v>3307</v>
      </c>
      <c r="B757">
        <f>I340</f>
        <v>115</v>
      </c>
      <c r="E757" s="95" t="s">
        <v>6595</v>
      </c>
      <c r="F757" s="6">
        <v>85</v>
      </c>
      <c r="H757" s="4" t="s">
        <v>709</v>
      </c>
      <c r="I757" s="5">
        <f t="shared" si="745"/>
        <v>250</v>
      </c>
      <c r="J757" s="5"/>
      <c r="K757" s="4" t="str">
        <f t="shared" si="703"/>
        <v>Moto Edge 20 orig     = R$ 250,00</v>
      </c>
      <c r="M757" s="4" t="str">
        <f t="shared" si="704"/>
        <v>Moto Edge 20 orig     = R$ 255,00</v>
      </c>
      <c r="O757" s="4" t="str">
        <f t="shared" si="705"/>
        <v>Moto Edge 20 orig     = R$ 245,00</v>
      </c>
      <c r="Q757" s="4" t="str">
        <f t="shared" si="706"/>
        <v>Moto Edge 20 orig     = R$ 260,00</v>
      </c>
    </row>
    <row r="758" spans="1:17" ht="14.4" x14ac:dyDescent="0.3">
      <c r="A758" t="s">
        <v>2458</v>
      </c>
      <c r="B758">
        <f>I341</f>
        <v>65</v>
      </c>
      <c r="E758" s="85" t="s">
        <v>11790</v>
      </c>
      <c r="F758" s="6">
        <v>95</v>
      </c>
      <c r="H758" s="4" t="s">
        <v>12573</v>
      </c>
      <c r="I758" s="5">
        <f t="shared" si="745"/>
        <v>320</v>
      </c>
      <c r="J758" s="5"/>
      <c r="K758" s="4" t="str">
        <f t="shared" ref="K758" si="754">CONCATENATE(H758,I758,",00")</f>
        <v>Edge 20 c/aro Nac Diamonds = 320,00</v>
      </c>
      <c r="M758" s="4" t="str">
        <f t="shared" ref="M758" si="755">CONCATENATE(H758,I758+5,",00")</f>
        <v>Edge 20 c/aro Nac Diamonds = 325,00</v>
      </c>
      <c r="O758" s="4" t="str">
        <f t="shared" ref="O758" si="756">CONCATENATE(H758,I758-5,",00")</f>
        <v>Edge 20 c/aro Nac Diamonds = 315,00</v>
      </c>
      <c r="Q758" s="4" t="str">
        <f t="shared" ref="Q758" si="757">CONCATENATE(H758,I758+10,",00")</f>
        <v>Edge 20 c/aro Nac Diamonds = 330,00</v>
      </c>
    </row>
    <row r="759" spans="1:17" ht="14.4" x14ac:dyDescent="0.3">
      <c r="A759" t="s">
        <v>3308</v>
      </c>
      <c r="B759">
        <f>I342</f>
        <v>120</v>
      </c>
      <c r="E759" s="96" t="s">
        <v>3535</v>
      </c>
      <c r="F759" s="16">
        <v>65</v>
      </c>
      <c r="H759" s="4" t="s">
        <v>711</v>
      </c>
      <c r="I759" s="5">
        <f t="shared" si="745"/>
        <v>220</v>
      </c>
      <c r="J759" s="5"/>
      <c r="K759" s="4" t="str">
        <f t="shared" si="703"/>
        <v>Moto Edge 20 Lite orig=R$ 220,00</v>
      </c>
      <c r="M759" s="4" t="str">
        <f t="shared" si="704"/>
        <v>Moto Edge 20 Lite orig=R$ 225,00</v>
      </c>
      <c r="O759" s="4" t="str">
        <f t="shared" si="705"/>
        <v>Moto Edge 20 Lite orig=R$ 215,00</v>
      </c>
      <c r="Q759" s="4" t="str">
        <f t="shared" si="706"/>
        <v>Moto Edge 20 Lite orig=R$ 230,00</v>
      </c>
    </row>
    <row r="760" spans="1:17" ht="14.4" x14ac:dyDescent="0.3">
      <c r="A760" t="s">
        <v>3309</v>
      </c>
      <c r="B760">
        <f>I342</f>
        <v>120</v>
      </c>
      <c r="E760" s="95" t="s">
        <v>6599</v>
      </c>
      <c r="F760" s="6">
        <v>80</v>
      </c>
      <c r="H760" s="4" t="s">
        <v>713</v>
      </c>
      <c r="I760" s="5">
        <f t="shared" si="745"/>
        <v>240</v>
      </c>
      <c r="J760" s="5"/>
      <c r="K760" s="4" t="str">
        <f t="shared" si="703"/>
        <v>Edge 20 Lite orig c/aro=R$ 240,00</v>
      </c>
      <c r="M760" s="4" t="str">
        <f t="shared" si="704"/>
        <v>Edge 20 Lite orig c/aro=R$ 245,00</v>
      </c>
      <c r="O760" s="4" t="str">
        <f t="shared" si="705"/>
        <v>Edge 20 Lite orig c/aro=R$ 235,00</v>
      </c>
      <c r="Q760" s="4" t="str">
        <f t="shared" si="706"/>
        <v>Edge 20 Lite orig c/aro=R$ 250,00</v>
      </c>
    </row>
    <row r="761" spans="1:17" ht="14.4" x14ac:dyDescent="0.3">
      <c r="A761" t="s">
        <v>3310</v>
      </c>
      <c r="B761">
        <f>I342</f>
        <v>120</v>
      </c>
      <c r="E761" s="85" t="s">
        <v>11793</v>
      </c>
      <c r="F761" s="16">
        <v>90</v>
      </c>
      <c r="H761" s="4" t="s">
        <v>715</v>
      </c>
      <c r="I761" s="5">
        <f t="shared" si="745"/>
        <v>250</v>
      </c>
      <c r="J761" s="5"/>
      <c r="K761" s="4" t="str">
        <f t="shared" ref="K761" si="758">CONCATENATE(H761,I761,",00")</f>
        <v>Edge 20 Lite Nac c/aro=R$ 250,00</v>
      </c>
      <c r="M761" s="4" t="str">
        <f t="shared" ref="M761" si="759">CONCATENATE(H761,I761+5,",00")</f>
        <v>Edge 20 Lite Nac c/aro=R$ 255,00</v>
      </c>
      <c r="O761" s="4" t="str">
        <f t="shared" ref="O761" si="760">CONCATENATE(H761,I761-5,",00")</f>
        <v>Edge 20 Lite Nac c/aro=R$ 245,00</v>
      </c>
      <c r="Q761" s="4" t="str">
        <f t="shared" ref="Q761" si="761">CONCATENATE(H761,I761+10,",00")</f>
        <v>Edge 20 Lite Nac c/aro=R$ 260,00</v>
      </c>
    </row>
    <row r="762" spans="1:17" ht="14.4" x14ac:dyDescent="0.3">
      <c r="A762" t="s">
        <v>3311</v>
      </c>
      <c r="B762">
        <f>I342</f>
        <v>120</v>
      </c>
      <c r="E762" s="85" t="s">
        <v>11792</v>
      </c>
      <c r="F762" s="16">
        <v>100</v>
      </c>
      <c r="H762" s="4" t="s">
        <v>11781</v>
      </c>
      <c r="I762" s="5">
        <f t="shared" si="745"/>
        <v>260</v>
      </c>
      <c r="J762" s="5"/>
      <c r="K762" s="4" t="str">
        <f t="shared" si="703"/>
        <v>Edge 20 Lite c/aro Nac Diamonds = 260,00</v>
      </c>
      <c r="M762" s="4" t="str">
        <f t="shared" si="704"/>
        <v>Edge 20 Lite c/aro Nac Diamonds = 265,00</v>
      </c>
      <c r="O762" s="4" t="str">
        <f t="shared" si="705"/>
        <v>Edge 20 Lite c/aro Nac Diamonds = 255,00</v>
      </c>
      <c r="Q762" s="4" t="str">
        <f t="shared" si="706"/>
        <v>Edge 20 Lite c/aro Nac Diamonds = 270,00</v>
      </c>
    </row>
    <row r="763" spans="1:17" ht="14.4" x14ac:dyDescent="0.3">
      <c r="A763" t="s">
        <v>3312</v>
      </c>
      <c r="B763">
        <f>I342</f>
        <v>120</v>
      </c>
      <c r="E763" s="95" t="s">
        <v>740</v>
      </c>
      <c r="F763" s="6">
        <v>70</v>
      </c>
      <c r="H763" s="4" t="s">
        <v>10770</v>
      </c>
      <c r="I763" s="5">
        <f>F702</f>
        <v>220</v>
      </c>
      <c r="J763" s="5"/>
      <c r="K763" s="4" t="str">
        <f t="shared" ref="K763:K764" si="762">CONCATENATE(H763,I763,",00")</f>
        <v>Moto Edge 20 Fusion orig = R$ 220,00</v>
      </c>
      <c r="M763" s="4" t="str">
        <f t="shared" ref="M763:M764" si="763">CONCATENATE(H763,I763+5,",00")</f>
        <v>Moto Edge 20 Fusion orig = R$ 225,00</v>
      </c>
      <c r="O763" s="4" t="str">
        <f t="shared" ref="O763:O764" si="764">CONCATENATE(H763,I763-5,",00")</f>
        <v>Moto Edge 20 Fusion orig = R$ 215,00</v>
      </c>
      <c r="Q763" s="4" t="str">
        <f t="shared" ref="Q763:Q764" si="765">CONCATENATE(H763,I763+10,",00")</f>
        <v>Moto Edge 20 Fusion orig = R$ 230,00</v>
      </c>
    </row>
    <row r="764" spans="1:17" ht="14.4" x14ac:dyDescent="0.3">
      <c r="A764" t="s">
        <v>3313</v>
      </c>
      <c r="B764">
        <f>I342</f>
        <v>120</v>
      </c>
      <c r="E764" s="95" t="s">
        <v>6600</v>
      </c>
      <c r="F764" s="6">
        <v>85</v>
      </c>
      <c r="H764" s="4" t="s">
        <v>10771</v>
      </c>
      <c r="I764" s="5">
        <f>F700</f>
        <v>250</v>
      </c>
      <c r="J764" s="5"/>
      <c r="K764" s="4" t="str">
        <f t="shared" si="762"/>
        <v>Moto Edge 20 Pro orig= R$ 250,00</v>
      </c>
      <c r="M764" s="4" t="str">
        <f t="shared" si="763"/>
        <v>Moto Edge 20 Pro orig= R$ 255,00</v>
      </c>
      <c r="O764" s="4" t="str">
        <f t="shared" si="764"/>
        <v>Moto Edge 20 Pro orig= R$ 245,00</v>
      </c>
      <c r="Q764" s="4" t="str">
        <f t="shared" si="765"/>
        <v>Moto Edge 20 Pro orig= R$ 260,00</v>
      </c>
    </row>
    <row r="765" spans="1:17" ht="14.4" x14ac:dyDescent="0.3">
      <c r="A765" t="s">
        <v>3314</v>
      </c>
      <c r="B765">
        <f>I342</f>
        <v>120</v>
      </c>
      <c r="E765" s="85" t="s">
        <v>12815</v>
      </c>
      <c r="F765" s="16">
        <v>95</v>
      </c>
      <c r="H765" s="4" t="s">
        <v>717</v>
      </c>
      <c r="I765" s="5">
        <f>F580</f>
        <v>75</v>
      </c>
      <c r="J765" s="5"/>
      <c r="K765" s="4" t="str">
        <f t="shared" si="703"/>
        <v>Moto Edge 30 incell  = R$ 75,00</v>
      </c>
      <c r="M765" s="4" t="str">
        <f t="shared" si="704"/>
        <v>Moto Edge 30 incell  = R$ 80,00</v>
      </c>
      <c r="O765" s="4" t="str">
        <f t="shared" si="705"/>
        <v>Moto Edge 30 incell  = R$ 70,00</v>
      </c>
      <c r="Q765" s="4" t="str">
        <f t="shared" si="706"/>
        <v>Moto Edge 30 incell  = R$ 85,00</v>
      </c>
    </row>
    <row r="766" spans="1:17" ht="14.4" x14ac:dyDescent="0.3">
      <c r="A766" t="s">
        <v>3315</v>
      </c>
      <c r="B766">
        <f>I342</f>
        <v>120</v>
      </c>
      <c r="E766" s="95" t="s">
        <v>743</v>
      </c>
      <c r="F766" s="6">
        <v>75</v>
      </c>
      <c r="H766" s="4" t="s">
        <v>719</v>
      </c>
      <c r="I766" s="5">
        <f>F582</f>
        <v>180</v>
      </c>
      <c r="J766" s="5"/>
      <c r="K766" s="4" t="str">
        <f t="shared" si="703"/>
        <v>Moto Edge 30 orig    = R$ 180,00</v>
      </c>
      <c r="M766" s="4" t="str">
        <f t="shared" si="704"/>
        <v>Moto Edge 30 orig    = R$ 185,00</v>
      </c>
      <c r="O766" s="4" t="str">
        <f t="shared" si="705"/>
        <v>Moto Edge 30 orig    = R$ 175,00</v>
      </c>
      <c r="Q766" s="4" t="str">
        <f t="shared" si="706"/>
        <v>Moto Edge 30 orig    = R$ 190,00</v>
      </c>
    </row>
    <row r="767" spans="1:17" ht="14.4" x14ac:dyDescent="0.3">
      <c r="A767" t="s">
        <v>2459</v>
      </c>
      <c r="B767">
        <f>I343</f>
        <v>60</v>
      </c>
      <c r="E767" s="95" t="s">
        <v>745</v>
      </c>
      <c r="F767" s="6">
        <v>75</v>
      </c>
      <c r="H767" s="4" t="s">
        <v>12577</v>
      </c>
      <c r="I767" s="5">
        <f>F706</f>
        <v>330</v>
      </c>
      <c r="J767" s="5"/>
      <c r="K767" s="4" t="str">
        <f t="shared" si="703"/>
        <v>Edge 30 c/aro Nac Diamonds = 330,00</v>
      </c>
      <c r="M767" s="4" t="str">
        <f t="shared" si="704"/>
        <v>Edge 30 c/aro Nac Diamonds = 335,00</v>
      </c>
      <c r="O767" s="4" t="str">
        <f t="shared" si="705"/>
        <v>Edge 30 c/aro Nac Diamonds = 325,00</v>
      </c>
      <c r="Q767" s="4" t="str">
        <f t="shared" si="706"/>
        <v>Edge 30 c/aro Nac Diamonds = 340,00</v>
      </c>
    </row>
    <row r="768" spans="1:17" ht="14.4" x14ac:dyDescent="0.3">
      <c r="A768" t="s">
        <v>2061</v>
      </c>
      <c r="B768">
        <f>I344</f>
        <v>165</v>
      </c>
      <c r="E768" s="95" t="s">
        <v>6601</v>
      </c>
      <c r="F768" s="6">
        <v>85</v>
      </c>
      <c r="H768" s="4" t="s">
        <v>12125</v>
      </c>
      <c r="I768" s="5">
        <f>F707</f>
        <v>160</v>
      </c>
      <c r="J768" s="5"/>
      <c r="K768" s="4" t="str">
        <f t="shared" ref="K768:K771" si="766">CONCATENATE(H768,I768,",00")</f>
        <v>Edge 30 Neo incell c/aro = R$ 160,00</v>
      </c>
      <c r="M768" s="4" t="str">
        <f t="shared" ref="M768:M771" si="767">CONCATENATE(H768,I768+5,",00")</f>
        <v>Edge 30 Neo incell c/aro = R$ 165,00</v>
      </c>
      <c r="O768" s="4" t="str">
        <f t="shared" ref="O768:O771" si="768">CONCATENATE(H768,I768-5,",00")</f>
        <v>Edge 30 Neo incell c/aro = R$ 155,00</v>
      </c>
      <c r="Q768" s="4" t="str">
        <f t="shared" ref="Q768:Q771" si="769">CONCATENATE(H768,I768+10,",00")</f>
        <v>Edge 30 Neo incell c/aro = R$ 170,00</v>
      </c>
    </row>
    <row r="769" spans="1:17" ht="14.4" x14ac:dyDescent="0.3">
      <c r="A769" t="s">
        <v>3082</v>
      </c>
      <c r="B769">
        <f>I344</f>
        <v>165</v>
      </c>
      <c r="E769" s="85" t="s">
        <v>12179</v>
      </c>
      <c r="F769" s="16">
        <v>95</v>
      </c>
      <c r="H769" s="4" t="s">
        <v>10773</v>
      </c>
      <c r="I769" s="5">
        <f>F708</f>
        <v>340</v>
      </c>
      <c r="J769" s="5"/>
      <c r="K769" s="4" t="str">
        <f>CONCATENATE(H769,I769,",00")</f>
        <v>Moto Edge 30 Neo orig = R$ 340,00</v>
      </c>
      <c r="M769" s="4" t="str">
        <f>CONCATENATE(H769,I769+5,",00")</f>
        <v>Moto Edge 30 Neo orig = R$ 345,00</v>
      </c>
      <c r="O769" s="4" t="str">
        <f>CONCATENATE(H769,I769-5,",00")</f>
        <v>Moto Edge 30 Neo orig = R$ 335,00</v>
      </c>
      <c r="Q769" s="4" t="str">
        <f>CONCATENATE(H769,I769+10,",00")</f>
        <v>Moto Edge 30 Neo orig = R$ 350,00</v>
      </c>
    </row>
    <row r="770" spans="1:17" ht="14.4" x14ac:dyDescent="0.3">
      <c r="A770" t="s">
        <v>3316</v>
      </c>
      <c r="B770">
        <f>I344</f>
        <v>165</v>
      </c>
      <c r="E770" s="85" t="s">
        <v>12180</v>
      </c>
      <c r="F770" s="16">
        <v>105</v>
      </c>
      <c r="H770" s="4" t="s">
        <v>12126</v>
      </c>
      <c r="I770" s="5">
        <f>F709</f>
        <v>390</v>
      </c>
      <c r="J770" s="5"/>
      <c r="K770" s="4" t="str">
        <f t="shared" si="766"/>
        <v>Edge 30 Neo c/aro Nacional = 390,00</v>
      </c>
      <c r="M770" s="4" t="str">
        <f t="shared" si="767"/>
        <v>Edge 30 Neo c/aro Nacional = 395,00</v>
      </c>
      <c r="O770" s="4" t="str">
        <f t="shared" si="768"/>
        <v>Edge 30 Neo c/aro Nacional = 385,00</v>
      </c>
      <c r="Q770" s="4" t="str">
        <f t="shared" si="769"/>
        <v>Edge 30 Neo c/aro Nacional = 400,00</v>
      </c>
    </row>
    <row r="771" spans="1:17" ht="14.4" x14ac:dyDescent="0.3">
      <c r="A771" t="s">
        <v>3317</v>
      </c>
      <c r="B771">
        <f>I344</f>
        <v>165</v>
      </c>
      <c r="E771" s="95" t="s">
        <v>748</v>
      </c>
      <c r="F771" s="6">
        <v>75</v>
      </c>
      <c r="H771" s="4" t="s">
        <v>12127</v>
      </c>
      <c r="I771" s="5">
        <f>F710</f>
        <v>395</v>
      </c>
      <c r="J771" s="5"/>
      <c r="K771" s="4" t="str">
        <f t="shared" si="766"/>
        <v>Edge 30 Neo c/aro Nac Diamonds=395,00</v>
      </c>
      <c r="M771" s="4" t="str">
        <f t="shared" si="767"/>
        <v>Edge 30 Neo c/aro Nac Diamonds=400,00</v>
      </c>
      <c r="O771" s="4" t="str">
        <f t="shared" si="768"/>
        <v>Edge 30 Neo c/aro Nac Diamonds=390,00</v>
      </c>
      <c r="Q771" s="4" t="str">
        <f t="shared" si="769"/>
        <v>Edge 30 Neo c/aro Nac Diamonds=405,00</v>
      </c>
    </row>
    <row r="772" spans="1:17" ht="14.4" x14ac:dyDescent="0.3">
      <c r="A772" t="s">
        <v>2062</v>
      </c>
      <c r="B772">
        <f>I345</f>
        <v>165</v>
      </c>
      <c r="E772" s="95" t="s">
        <v>6602</v>
      </c>
      <c r="F772" s="6">
        <v>85</v>
      </c>
      <c r="H772" s="4" t="s">
        <v>10772</v>
      </c>
      <c r="I772" s="5">
        <f>F700</f>
        <v>250</v>
      </c>
      <c r="J772" s="5"/>
      <c r="K772" s="4" t="str">
        <f t="shared" ref="K772:K783" si="770">CONCATENATE(H772,I772,",00")</f>
        <v>Moto Edge 30 Pro orig  = R$ 250,00</v>
      </c>
      <c r="M772" s="4" t="str">
        <f t="shared" ref="M772:M783" si="771">CONCATENATE(H772,I772+5,",00")</f>
        <v>Moto Edge 30 Pro orig  = R$ 255,00</v>
      </c>
      <c r="O772" s="4" t="str">
        <f t="shared" ref="O772:O783" si="772">CONCATENATE(H772,I772-5,",00")</f>
        <v>Moto Edge 30 Pro orig  = R$ 245,00</v>
      </c>
      <c r="Q772" s="4" t="str">
        <f t="shared" ref="Q772:Q783" si="773">CONCATENATE(H772,I772+10,",00")</f>
        <v>Moto Edge 30 Pro orig  = R$ 260,00</v>
      </c>
    </row>
    <row r="773" spans="1:17" ht="14.4" x14ac:dyDescent="0.3">
      <c r="A773" t="s">
        <v>2063</v>
      </c>
      <c r="B773">
        <f>I255</f>
        <v>55</v>
      </c>
      <c r="E773" s="95" t="s">
        <v>6604</v>
      </c>
      <c r="F773" s="16">
        <v>95</v>
      </c>
      <c r="H773" s="4" t="s">
        <v>11264</v>
      </c>
      <c r="I773" s="5">
        <f>F711</f>
        <v>240</v>
      </c>
      <c r="J773" s="5"/>
      <c r="K773" s="4" t="str">
        <f t="shared" ref="K773:K778" si="774">CONCATENATE(H773,I773,",00")</f>
        <v>Moto Edge 40 original = R$ 240,00</v>
      </c>
      <c r="M773" s="4" t="str">
        <f t="shared" ref="M773:M778" si="775">CONCATENATE(H773,I773+5,",00")</f>
        <v>Moto Edge 40 original = R$ 245,00</v>
      </c>
      <c r="O773" s="4" t="str">
        <f t="shared" ref="O773:O778" si="776">CONCATENATE(H773,I773-5,",00")</f>
        <v>Moto Edge 40 original = R$ 235,00</v>
      </c>
      <c r="Q773" s="4" t="str">
        <f t="shared" ref="Q773:Q778" si="777">CONCATENATE(H773,I773+10,",00")</f>
        <v>Moto Edge 40 original = R$ 250,00</v>
      </c>
    </row>
    <row r="774" spans="1:17" ht="14.4" x14ac:dyDescent="0.3">
      <c r="A774" t="s">
        <v>1895</v>
      </c>
      <c r="B774">
        <f>I256</f>
        <v>65</v>
      </c>
      <c r="E774" s="85" t="s">
        <v>11796</v>
      </c>
      <c r="F774" s="16">
        <v>105</v>
      </c>
      <c r="H774" s="4" t="s">
        <v>11265</v>
      </c>
      <c r="I774" s="5">
        <f>F711</f>
        <v>240</v>
      </c>
      <c r="J774" s="5"/>
      <c r="K774" s="4" t="str">
        <f t="shared" si="774"/>
        <v>Moto Edge 40 Neo orig = R$ 240,00</v>
      </c>
      <c r="M774" s="4" t="str">
        <f t="shared" si="775"/>
        <v>Moto Edge 40 Neo orig = R$ 245,00</v>
      </c>
      <c r="O774" s="4" t="str">
        <f t="shared" si="776"/>
        <v>Moto Edge 40 Neo orig = R$ 235,00</v>
      </c>
      <c r="Q774" s="4" t="str">
        <f t="shared" si="777"/>
        <v>Moto Edge 40 Neo orig = R$ 250,00</v>
      </c>
    </row>
    <row r="775" spans="1:17" ht="14.4" x14ac:dyDescent="0.3">
      <c r="A775" t="s">
        <v>2064</v>
      </c>
      <c r="B775">
        <f>I257</f>
        <v>60</v>
      </c>
      <c r="C775" t="s">
        <v>12632</v>
      </c>
      <c r="E775" s="95" t="s">
        <v>6603</v>
      </c>
      <c r="F775" s="6">
        <v>80</v>
      </c>
      <c r="H775" s="4" t="s">
        <v>13642</v>
      </c>
      <c r="I775" s="5">
        <f>F712</f>
        <v>260</v>
      </c>
      <c r="J775" s="5"/>
      <c r="K775" s="4" t="str">
        <f t="shared" si="774"/>
        <v>Moto Edge 40 Nacional = R$ 260,00</v>
      </c>
      <c r="M775" s="4" t="str">
        <f t="shared" si="775"/>
        <v>Moto Edge 40 Nacional = R$ 265,00</v>
      </c>
      <c r="O775" s="4" t="str">
        <f t="shared" si="776"/>
        <v>Moto Edge 40 Nacional = R$ 255,00</v>
      </c>
      <c r="Q775" s="4" t="str">
        <f t="shared" si="777"/>
        <v>Moto Edge 40 Nacional = R$ 270,00</v>
      </c>
    </row>
    <row r="776" spans="1:17" ht="14.4" x14ac:dyDescent="0.3">
      <c r="A776" t="s">
        <v>1896</v>
      </c>
      <c r="B776">
        <f>I258</f>
        <v>65</v>
      </c>
      <c r="E776" s="85" t="s">
        <v>11799</v>
      </c>
      <c r="F776" s="6">
        <v>90</v>
      </c>
      <c r="H776" s="4" t="s">
        <v>13643</v>
      </c>
      <c r="I776" s="5">
        <f>F712</f>
        <v>260</v>
      </c>
      <c r="J776" s="5"/>
      <c r="K776" s="4" t="str">
        <f t="shared" ref="K776" si="778">CONCATENATE(H776,I776,",00")</f>
        <v>Moto Edge 40 Neo Nac = R$ 260,00</v>
      </c>
      <c r="M776" s="4" t="str">
        <f t="shared" ref="M776" si="779">CONCATENATE(H776,I776+5,",00")</f>
        <v>Moto Edge 40 Neo Nac = R$ 265,00</v>
      </c>
      <c r="O776" s="4" t="str">
        <f t="shared" ref="O776" si="780">CONCATENATE(H776,I776-5,",00")</f>
        <v>Moto Edge 40 Neo Nac = R$ 255,00</v>
      </c>
      <c r="Q776" s="4" t="str">
        <f t="shared" ref="Q776" si="781">CONCATENATE(H776,I776+10,",00")</f>
        <v>Moto Edge 40 Neo Nac = R$ 270,00</v>
      </c>
    </row>
    <row r="777" spans="1:17" ht="14.4" x14ac:dyDescent="0.3">
      <c r="A777" t="s">
        <v>2358</v>
      </c>
      <c r="B777">
        <f>I259</f>
        <v>80</v>
      </c>
      <c r="E777" s="85" t="s">
        <v>11798</v>
      </c>
      <c r="F777" s="6">
        <v>100</v>
      </c>
      <c r="H777" s="4" t="s">
        <v>13321</v>
      </c>
      <c r="I777" s="5">
        <f>F713</f>
        <v>330</v>
      </c>
      <c r="J777" s="5"/>
      <c r="K777" s="4" t="str">
        <f t="shared" ref="K777" si="782">CONCATENATE(H777,I777,",00")</f>
        <v>Edge 40 Neo orig c/aro = R$ 330,00</v>
      </c>
      <c r="M777" s="4" t="str">
        <f t="shared" ref="M777" si="783">CONCATENATE(H777,I777+5,",00")</f>
        <v>Edge 40 Neo orig c/aro = R$ 335,00</v>
      </c>
      <c r="O777" s="4" t="str">
        <f t="shared" ref="O777" si="784">CONCATENATE(H777,I777-5,",00")</f>
        <v>Edge 40 Neo orig c/aro = R$ 325,00</v>
      </c>
      <c r="Q777" s="4" t="str">
        <f t="shared" ref="Q777" si="785">CONCATENATE(H777,I777+10,",00")</f>
        <v>Edge 40 Neo orig c/aro = R$ 340,00</v>
      </c>
    </row>
    <row r="778" spans="1:17" ht="14.4" x14ac:dyDescent="0.3">
      <c r="A778" t="s">
        <v>2519</v>
      </c>
      <c r="B778">
        <f>I259</f>
        <v>80</v>
      </c>
      <c r="E778" s="4"/>
      <c r="F778" s="9"/>
      <c r="H778" s="4" t="s">
        <v>6589</v>
      </c>
      <c r="I778" s="5">
        <f>F714</f>
        <v>350</v>
      </c>
      <c r="J778" s="5"/>
      <c r="K778" s="4" t="str">
        <f t="shared" si="774"/>
        <v>Edge 40 Neo Nac c/aro = R$ 350,00</v>
      </c>
      <c r="M778" s="4" t="str">
        <f t="shared" si="775"/>
        <v>Edge 40 Neo Nac c/aro = R$ 355,00</v>
      </c>
      <c r="O778" s="4" t="str">
        <f t="shared" si="776"/>
        <v>Edge 40 Neo Nac c/aro = R$ 345,00</v>
      </c>
      <c r="Q778" s="4" t="str">
        <f t="shared" si="777"/>
        <v>Edge 40 Neo Nac c/aro = R$ 360,00</v>
      </c>
    </row>
    <row r="779" spans="1:17" ht="14.4" x14ac:dyDescent="0.3">
      <c r="A779" t="s">
        <v>11865</v>
      </c>
      <c r="B779">
        <f>I260</f>
        <v>90</v>
      </c>
      <c r="E779" s="4"/>
      <c r="F779" s="9"/>
      <c r="H779" s="4" t="s">
        <v>11783</v>
      </c>
      <c r="I779" s="5">
        <f>F715</f>
        <v>380</v>
      </c>
      <c r="J779" s="5"/>
      <c r="K779" s="4" t="str">
        <f t="shared" si="770"/>
        <v>Edge 40 Neo c/aro Nac Diamonds = 380,00</v>
      </c>
      <c r="M779" s="4" t="str">
        <f t="shared" si="771"/>
        <v>Edge 40 Neo c/aro Nac Diamonds = 385,00</v>
      </c>
      <c r="O779" s="4" t="str">
        <f t="shared" si="772"/>
        <v>Edge 40 Neo c/aro Nac Diamonds = 375,00</v>
      </c>
      <c r="Q779" s="4" t="str">
        <f t="shared" si="773"/>
        <v>Edge 40 Neo c/aro Nac Diamonds = 390,00</v>
      </c>
    </row>
    <row r="780" spans="1:17" ht="14.4" x14ac:dyDescent="0.3">
      <c r="A780" t="s">
        <v>11866</v>
      </c>
      <c r="B780">
        <f>I260</f>
        <v>90</v>
      </c>
      <c r="E780" s="4"/>
      <c r="F780" s="9"/>
      <c r="H780" s="4" t="s">
        <v>12582</v>
      </c>
      <c r="I780" s="5">
        <f>F618</f>
        <v>160</v>
      </c>
      <c r="J780" s="5"/>
      <c r="K780" s="4" t="str">
        <f t="shared" si="770"/>
        <v>Edge 50 Fusion incell = R$ 160,00</v>
      </c>
      <c r="M780" s="4" t="str">
        <f t="shared" si="771"/>
        <v>Edge 50 Fusion incell = R$ 165,00</v>
      </c>
      <c r="O780" s="4" t="str">
        <f t="shared" si="772"/>
        <v>Edge 50 Fusion incell = R$ 155,00</v>
      </c>
      <c r="Q780" s="4" t="str">
        <f t="shared" si="773"/>
        <v>Edge 50 Fusion incell = R$ 170,00</v>
      </c>
    </row>
    <row r="781" spans="1:17" ht="14.4" x14ac:dyDescent="0.3">
      <c r="A781" t="s">
        <v>2065</v>
      </c>
      <c r="B781">
        <f>I261</f>
        <v>65</v>
      </c>
      <c r="E781" s="4"/>
      <c r="F781" s="9"/>
      <c r="H781" s="4" t="s">
        <v>10986</v>
      </c>
      <c r="I781" s="5">
        <f>F620</f>
        <v>290</v>
      </c>
      <c r="J781" s="5"/>
      <c r="K781" s="4" t="str">
        <f t="shared" si="770"/>
        <v>Edge 50 Fusion original = R$ 290,00</v>
      </c>
      <c r="M781" s="4" t="str">
        <f t="shared" si="771"/>
        <v>Edge 50 Fusion original = R$ 295,00</v>
      </c>
      <c r="O781" s="4" t="str">
        <f t="shared" si="772"/>
        <v>Edge 50 Fusion original = R$ 285,00</v>
      </c>
      <c r="Q781" s="4" t="str">
        <f t="shared" si="773"/>
        <v>Edge 50 Fusion original = R$ 300,00</v>
      </c>
    </row>
    <row r="782" spans="1:17" ht="14.4" x14ac:dyDescent="0.3">
      <c r="A782" s="20" t="s">
        <v>1897</v>
      </c>
      <c r="B782">
        <f>I262</f>
        <v>75</v>
      </c>
      <c r="E782" s="4"/>
      <c r="F782" s="9"/>
      <c r="H782" s="4" t="s">
        <v>13638</v>
      </c>
      <c r="I782" s="5">
        <f>F716</f>
        <v>400</v>
      </c>
      <c r="J782" s="5"/>
      <c r="K782" s="4" t="str">
        <f t="shared" si="770"/>
        <v>Edge 60 c/aro Nacional = R$ 400,00</v>
      </c>
      <c r="M782" s="4" t="str">
        <f t="shared" si="771"/>
        <v>Edge 60 c/aro Nacional = R$ 405,00</v>
      </c>
      <c r="O782" s="4" t="str">
        <f t="shared" si="772"/>
        <v>Edge 60 c/aro Nacional = R$ 395,00</v>
      </c>
      <c r="Q782" s="4" t="str">
        <f t="shared" si="773"/>
        <v>Edge 60 c/aro Nacional = R$ 410,00</v>
      </c>
    </row>
    <row r="783" spans="1:17" ht="14.4" x14ac:dyDescent="0.3">
      <c r="A783" t="s">
        <v>2359</v>
      </c>
      <c r="B783">
        <f>I263</f>
        <v>85</v>
      </c>
      <c r="E783" s="4"/>
      <c r="F783" s="9"/>
      <c r="H783" s="4" t="s">
        <v>13637</v>
      </c>
      <c r="I783" s="5">
        <f>F717</f>
        <v>320</v>
      </c>
      <c r="J783" s="5"/>
      <c r="K783" s="4" t="str">
        <f t="shared" si="770"/>
        <v>Edge 60 Fusion Nacional = R$ 320,00</v>
      </c>
      <c r="M783" s="4" t="str">
        <f t="shared" si="771"/>
        <v>Edge 60 Fusion Nacional = R$ 325,00</v>
      </c>
      <c r="O783" s="4" t="str">
        <f t="shared" si="772"/>
        <v>Edge 60 Fusion Nacional = R$ 315,00</v>
      </c>
      <c r="Q783" s="4" t="str">
        <f t="shared" si="773"/>
        <v>Edge 60 Fusion Nacional = R$ 330,00</v>
      </c>
    </row>
    <row r="784" spans="1:17" ht="14.4" x14ac:dyDescent="0.3">
      <c r="A784" t="s">
        <v>2520</v>
      </c>
      <c r="B784">
        <f>I263</f>
        <v>85</v>
      </c>
      <c r="E784" s="4"/>
      <c r="F784" s="12"/>
      <c r="H784" s="4" t="s">
        <v>13639</v>
      </c>
      <c r="I784" s="5">
        <f>F719</f>
        <v>300</v>
      </c>
      <c r="J784" s="5"/>
      <c r="K784" s="4" t="str">
        <f t="shared" ref="K784:K785" si="786">CONCATENATE(H784,I784,",00")</f>
        <v>Edge 60 Pro Nacional = R$ 300,00</v>
      </c>
      <c r="M784" s="4" t="str">
        <f t="shared" ref="M784:M785" si="787">CONCATENATE(H784,I784+5,",00")</f>
        <v>Edge 60 Pro Nacional = R$ 305,00</v>
      </c>
      <c r="O784" s="4" t="str">
        <f t="shared" ref="O784:O785" si="788">CONCATENATE(H784,I784-5,",00")</f>
        <v>Edge 60 Pro Nacional = R$ 295,00</v>
      </c>
      <c r="Q784" s="4" t="str">
        <f t="shared" ref="Q784:Q785" si="789">CONCATENATE(H784,I784+10,",00")</f>
        <v>Edge 60 Pro Nacional = R$ 310,00</v>
      </c>
    </row>
    <row r="785" spans="1:18" ht="14.4" x14ac:dyDescent="0.3">
      <c r="A785" t="s">
        <v>11867</v>
      </c>
      <c r="B785">
        <f>I264</f>
        <v>95</v>
      </c>
      <c r="E785" s="113" t="s">
        <v>756</v>
      </c>
      <c r="F785" s="112"/>
      <c r="H785" s="4" t="s">
        <v>13640</v>
      </c>
      <c r="I785" s="5">
        <f>F721</f>
        <v>370</v>
      </c>
      <c r="J785" s="5"/>
      <c r="K785" s="4" t="str">
        <f t="shared" si="786"/>
        <v>Edge 60 Pro c/aro Nacional = R$ 370,00</v>
      </c>
      <c r="M785" s="4" t="str">
        <f t="shared" si="787"/>
        <v>Edge 60 Pro c/aro Nacional = R$ 375,00</v>
      </c>
      <c r="O785" s="4" t="str">
        <f t="shared" si="788"/>
        <v>Edge 60 Pro c/aro Nacional = R$ 365,00</v>
      </c>
      <c r="Q785" s="4" t="str">
        <f t="shared" si="789"/>
        <v>Edge 60 Pro c/aro Nacional = R$ 380,00</v>
      </c>
    </row>
    <row r="786" spans="1:18" ht="14.4" x14ac:dyDescent="0.3">
      <c r="A786" t="s">
        <v>11868</v>
      </c>
      <c r="B786">
        <f>I264</f>
        <v>95</v>
      </c>
      <c r="E786" s="94" t="s">
        <v>13192</v>
      </c>
      <c r="F786" s="15">
        <v>60</v>
      </c>
      <c r="H786" s="4"/>
      <c r="I786" s="5"/>
      <c r="J786" s="5"/>
      <c r="K786" s="4"/>
      <c r="M786" s="4"/>
      <c r="O786" s="4"/>
      <c r="Q786" s="4"/>
    </row>
    <row r="787" spans="1:18" ht="14.4" x14ac:dyDescent="0.3">
      <c r="A787" t="s">
        <v>2066</v>
      </c>
      <c r="B787">
        <f>I265</f>
        <v>80</v>
      </c>
      <c r="E787" s="85" t="s">
        <v>13193</v>
      </c>
      <c r="F787" s="8">
        <v>60</v>
      </c>
      <c r="H787" s="4" t="s">
        <v>724</v>
      </c>
      <c r="I787" s="5">
        <f>F726</f>
        <v>150</v>
      </c>
      <c r="J787" s="5"/>
      <c r="K787" s="4" t="str">
        <f t="shared" ref="K787:K791" si="790">CONCATENATE(H787,I787,",00")</f>
        <v>Moto Z Power     = R$ 150,00</v>
      </c>
      <c r="M787" s="4" t="str">
        <f t="shared" ref="M787:M791" si="791">CONCATENATE(H787,I787+5,",00")</f>
        <v>Moto Z Power     = R$ 155,00</v>
      </c>
      <c r="O787" s="4" t="str">
        <f t="shared" ref="O787:O791" si="792">CONCATENATE(H787,I787-5,",00")</f>
        <v>Moto Z Power     = R$ 145,00</v>
      </c>
      <c r="Q787" s="4" t="str">
        <f t="shared" ref="Q787:Q791" si="793">CONCATENATE(H787,I787+10,",00")</f>
        <v>Moto Z Power     = R$ 160,00</v>
      </c>
      <c r="R787" s="22" t="s">
        <v>231</v>
      </c>
    </row>
    <row r="788" spans="1:18" ht="14.4" x14ac:dyDescent="0.3">
      <c r="A788" t="s">
        <v>1898</v>
      </c>
      <c r="B788">
        <f>I266</f>
        <v>85</v>
      </c>
      <c r="E788" s="85" t="s">
        <v>13194</v>
      </c>
      <c r="F788" s="8">
        <v>80</v>
      </c>
      <c r="H788" s="4" t="s">
        <v>11124</v>
      </c>
      <c r="I788" s="5">
        <f>F727</f>
        <v>80</v>
      </c>
      <c r="J788" s="5"/>
      <c r="K788" s="4" t="str">
        <f t="shared" ref="K788" si="794">CONCATENATE(H788,I788,",00")</f>
        <v>Moto Z Play - incell = R$ 80,00</v>
      </c>
      <c r="M788" s="4" t="str">
        <f t="shared" ref="M788" si="795">CONCATENATE(H788,I788+5,",00")</f>
        <v>Moto Z Play - incell = R$ 85,00</v>
      </c>
      <c r="O788" s="4" t="str">
        <f t="shared" ref="O788" si="796">CONCATENATE(H788,I788-5,",00")</f>
        <v>Moto Z Play - incell = R$ 75,00</v>
      </c>
      <c r="Q788" s="4" t="str">
        <f t="shared" ref="Q788" si="797">CONCATENATE(H788,I788+10,",00")</f>
        <v>Moto Z Play - incell = R$ 90,00</v>
      </c>
    </row>
    <row r="789" spans="1:18" ht="14.4" x14ac:dyDescent="0.3">
      <c r="A789" t="s">
        <v>11241</v>
      </c>
      <c r="B789">
        <f>I267</f>
        <v>85</v>
      </c>
      <c r="E789" s="85" t="s">
        <v>13195</v>
      </c>
      <c r="F789" s="8">
        <v>90</v>
      </c>
      <c r="H789" s="4" t="s">
        <v>11123</v>
      </c>
      <c r="I789" s="5">
        <f>F728</f>
        <v>120</v>
      </c>
      <c r="J789" s="5"/>
      <c r="K789" s="4" t="str">
        <f t="shared" si="790"/>
        <v>Moto Z Play - original = R$ 120,00</v>
      </c>
      <c r="M789" s="4" t="str">
        <f t="shared" si="791"/>
        <v>Moto Z Play - original = R$ 125,00</v>
      </c>
      <c r="O789" s="4" t="str">
        <f t="shared" si="792"/>
        <v>Moto Z Play - original = R$ 115,00</v>
      </c>
      <c r="Q789" s="4" t="str">
        <f t="shared" si="793"/>
        <v>Moto Z Play - original = R$ 130,00</v>
      </c>
    </row>
    <row r="790" spans="1:18" ht="14.4" x14ac:dyDescent="0.3">
      <c r="A790" t="s">
        <v>11242</v>
      </c>
      <c r="B790">
        <f>I267</f>
        <v>85</v>
      </c>
      <c r="E790" s="85" t="s">
        <v>11801</v>
      </c>
      <c r="F790" s="8">
        <v>100</v>
      </c>
      <c r="H790" s="4" t="s">
        <v>725</v>
      </c>
      <c r="I790" s="5">
        <f>F729</f>
        <v>120</v>
      </c>
      <c r="J790" s="5"/>
      <c r="K790" s="4" t="str">
        <f t="shared" si="790"/>
        <v>Moto Z2 Play      = R$ 120,00</v>
      </c>
      <c r="M790" s="4" t="str">
        <f t="shared" si="791"/>
        <v>Moto Z2 Play      = R$ 125,00</v>
      </c>
      <c r="O790" s="4" t="str">
        <f t="shared" si="792"/>
        <v>Moto Z2 Play      = R$ 115,00</v>
      </c>
      <c r="Q790" s="4" t="str">
        <f t="shared" si="793"/>
        <v>Moto Z2 Play      = R$ 130,00</v>
      </c>
    </row>
    <row r="791" spans="1:18" ht="14.4" x14ac:dyDescent="0.3">
      <c r="A791" t="s">
        <v>11243</v>
      </c>
      <c r="B791">
        <f>I268</f>
        <v>150</v>
      </c>
      <c r="E791" s="85" t="s">
        <v>13187</v>
      </c>
      <c r="F791" s="8">
        <v>60</v>
      </c>
      <c r="H791" s="4" t="s">
        <v>726</v>
      </c>
      <c r="I791" s="5">
        <f>F730</f>
        <v>165</v>
      </c>
      <c r="J791" s="5"/>
      <c r="K791" s="4" t="str">
        <f t="shared" si="790"/>
        <v>Moto Z3 Play      = R$ 165,00</v>
      </c>
      <c r="M791" s="4" t="str">
        <f t="shared" si="791"/>
        <v>Moto Z3 Play      = R$ 170,00</v>
      </c>
      <c r="O791" s="4" t="str">
        <f t="shared" si="792"/>
        <v>Moto Z3 Play      = R$ 160,00</v>
      </c>
      <c r="Q791" s="4" t="str">
        <f t="shared" si="793"/>
        <v>Moto Z3 Play      = R$ 175,00</v>
      </c>
    </row>
    <row r="792" spans="1:18" ht="14.4" x14ac:dyDescent="0.3">
      <c r="A792" t="s">
        <v>11244</v>
      </c>
      <c r="B792">
        <f>I268</f>
        <v>150</v>
      </c>
      <c r="E792" s="85" t="s">
        <v>13188</v>
      </c>
      <c r="F792" s="8">
        <v>80</v>
      </c>
      <c r="I792" s="5"/>
      <c r="J792" s="5"/>
    </row>
    <row r="793" spans="1:18" ht="14.4" x14ac:dyDescent="0.3">
      <c r="A793" t="s">
        <v>11245</v>
      </c>
      <c r="B793">
        <f>I268</f>
        <v>150</v>
      </c>
      <c r="E793" s="85" t="s">
        <v>13189</v>
      </c>
      <c r="F793" s="8">
        <v>95</v>
      </c>
      <c r="H793" s="4" t="s">
        <v>727</v>
      </c>
      <c r="I793" s="5"/>
      <c r="J793" s="5"/>
      <c r="K793" s="4" t="s">
        <v>727</v>
      </c>
      <c r="M793" s="4" t="s">
        <v>727</v>
      </c>
      <c r="O793" s="4" t="s">
        <v>727</v>
      </c>
      <c r="Q793" s="4" t="s">
        <v>727</v>
      </c>
    </row>
    <row r="794" spans="1:18" ht="14.4" x14ac:dyDescent="0.3">
      <c r="A794" t="s">
        <v>11246</v>
      </c>
      <c r="B794">
        <f>I268</f>
        <v>150</v>
      </c>
      <c r="E794" s="85" t="s">
        <v>13190</v>
      </c>
      <c r="F794" s="8">
        <v>105</v>
      </c>
      <c r="H794" s="4" t="s">
        <v>728</v>
      </c>
      <c r="I794" s="5">
        <f t="shared" ref="I794:J809" si="798">F736</f>
        <v>70</v>
      </c>
      <c r="J794" s="5"/>
      <c r="K794" s="4" t="str">
        <f t="shared" ref="K794:K836" si="799">CONCATENATE(H794,I794,",00")</f>
        <v>K8 2017 c/aro        = R$ 70,00</v>
      </c>
      <c r="M794" s="4" t="str">
        <f t="shared" ref="M794:M836" si="800">CONCATENATE(H794,I794+5,",00")</f>
        <v>K8 2017 c/aro        = R$ 75,00</v>
      </c>
      <c r="O794" s="4" t="str">
        <f t="shared" ref="O794:O836" si="801">CONCATENATE(H794,I794-5,",00")</f>
        <v>K8 2017 c/aro        = R$ 65,00</v>
      </c>
      <c r="Q794" s="4" t="str">
        <f t="shared" ref="Q794:Q836" si="802">CONCATENATE(H794,I794+10,",00")</f>
        <v>K8 2017 c/aro        = R$ 80,00</v>
      </c>
    </row>
    <row r="795" spans="1:18" ht="14.4" x14ac:dyDescent="0.3">
      <c r="A795" s="56" t="s">
        <v>11247</v>
      </c>
      <c r="B795">
        <f>I269</f>
        <v>210</v>
      </c>
      <c r="E795" s="85" t="s">
        <v>13191</v>
      </c>
      <c r="F795" s="8">
        <v>70</v>
      </c>
      <c r="H795" s="4" t="s">
        <v>729</v>
      </c>
      <c r="I795" s="5">
        <f t="shared" si="798"/>
        <v>70</v>
      </c>
      <c r="J795" s="5"/>
      <c r="K795" s="4" t="str">
        <f t="shared" si="799"/>
        <v>K8 Plus c/aro         = R$ 70,00</v>
      </c>
      <c r="M795" s="4" t="str">
        <f t="shared" si="800"/>
        <v>K8 Plus c/aro         = R$ 75,00</v>
      </c>
      <c r="O795" s="4" t="str">
        <f t="shared" si="801"/>
        <v>K8 Plus c/aro         = R$ 65,00</v>
      </c>
      <c r="Q795" s="4" t="str">
        <f t="shared" si="802"/>
        <v>K8 Plus c/aro         = R$ 80,00</v>
      </c>
    </row>
    <row r="796" spans="1:18" ht="14.4" x14ac:dyDescent="0.3">
      <c r="A796" s="56" t="s">
        <v>11248</v>
      </c>
      <c r="B796">
        <f>I269</f>
        <v>210</v>
      </c>
      <c r="E796" s="85" t="s">
        <v>13196</v>
      </c>
      <c r="F796" s="8">
        <v>65</v>
      </c>
      <c r="H796" s="4" t="s">
        <v>731</v>
      </c>
      <c r="I796" s="5">
        <f t="shared" si="798"/>
        <v>70</v>
      </c>
      <c r="J796" s="5"/>
      <c r="K796" s="4" t="str">
        <f t="shared" si="799"/>
        <v>K9 c/aro      = R$ 70,00</v>
      </c>
      <c r="M796" s="4" t="str">
        <f t="shared" si="800"/>
        <v>K9 c/aro      = R$ 75,00</v>
      </c>
      <c r="O796" s="4" t="str">
        <f t="shared" si="801"/>
        <v>K9 c/aro      = R$ 65,00</v>
      </c>
      <c r="Q796" s="4" t="str">
        <f t="shared" si="802"/>
        <v>K9 c/aro      = R$ 80,00</v>
      </c>
    </row>
    <row r="797" spans="1:18" ht="14.4" x14ac:dyDescent="0.3">
      <c r="A797" t="s">
        <v>11249</v>
      </c>
      <c r="B797">
        <f>I269</f>
        <v>210</v>
      </c>
      <c r="E797" s="85" t="s">
        <v>13197</v>
      </c>
      <c r="F797" s="17">
        <v>85</v>
      </c>
      <c r="H797" s="4" t="s">
        <v>732</v>
      </c>
      <c r="I797" s="5">
        <f t="shared" si="798"/>
        <v>80</v>
      </c>
      <c r="J797" s="5"/>
      <c r="K797" s="4" t="str">
        <f t="shared" si="799"/>
        <v>K10 s/TV c/aro         = R$ 80,00</v>
      </c>
      <c r="M797" s="4" t="str">
        <f t="shared" si="800"/>
        <v>K10 s/TV c/aro         = R$ 85,00</v>
      </c>
      <c r="O797" s="4" t="str">
        <f t="shared" si="801"/>
        <v>K10 s/TV c/aro         = R$ 75,00</v>
      </c>
      <c r="Q797" s="4" t="str">
        <f t="shared" si="802"/>
        <v>K10 s/TV c/aro         = R$ 90,00</v>
      </c>
    </row>
    <row r="798" spans="1:18" ht="14.4" x14ac:dyDescent="0.3">
      <c r="A798" t="s">
        <v>11250</v>
      </c>
      <c r="B798">
        <f>I269</f>
        <v>210</v>
      </c>
      <c r="E798" s="85" t="s">
        <v>13198</v>
      </c>
      <c r="F798" s="8">
        <v>105</v>
      </c>
      <c r="H798" s="4" t="s">
        <v>734</v>
      </c>
      <c r="I798" s="5">
        <f t="shared" si="798"/>
        <v>80</v>
      </c>
      <c r="J798" s="5"/>
      <c r="K798" s="4" t="str">
        <f t="shared" si="799"/>
        <v>K10 c/TV c/aro         = R$ 80,00</v>
      </c>
      <c r="M798" s="4" t="str">
        <f t="shared" si="800"/>
        <v>K10 c/TV c/aro         = R$ 85,00</v>
      </c>
      <c r="O798" s="4" t="str">
        <f t="shared" si="801"/>
        <v>K10 c/TV c/aro         = R$ 75,00</v>
      </c>
      <c r="Q798" s="4" t="str">
        <f t="shared" si="802"/>
        <v>K10 c/TV c/aro         = R$ 90,00</v>
      </c>
    </row>
    <row r="799" spans="1:18" ht="14.4" x14ac:dyDescent="0.3">
      <c r="A799" t="s">
        <v>2067</v>
      </c>
      <c r="B799">
        <f>I270</f>
        <v>65</v>
      </c>
      <c r="E799" s="85" t="s">
        <v>13199</v>
      </c>
      <c r="F799" s="8">
        <v>115</v>
      </c>
      <c r="H799" s="4" t="s">
        <v>735</v>
      </c>
      <c r="I799" s="5">
        <f t="shared" si="798"/>
        <v>65</v>
      </c>
      <c r="J799" s="5"/>
      <c r="K799" s="4" t="str">
        <f t="shared" si="799"/>
        <v>K10 2017 c/aro         = R$ 65,00</v>
      </c>
      <c r="M799" s="4" t="str">
        <f t="shared" si="800"/>
        <v>K10 2017 c/aro         = R$ 70,00</v>
      </c>
      <c r="O799" s="4" t="str">
        <f t="shared" si="801"/>
        <v>K10 2017 c/aro         = R$ 60,00</v>
      </c>
      <c r="Q799" s="4" t="str">
        <f t="shared" si="802"/>
        <v>K10 2017 c/aro         = R$ 75,00</v>
      </c>
    </row>
    <row r="800" spans="1:18" ht="14.4" x14ac:dyDescent="0.3">
      <c r="A800" t="s">
        <v>1899</v>
      </c>
      <c r="B800">
        <f>I271</f>
        <v>85</v>
      </c>
      <c r="E800" s="85" t="s">
        <v>13200</v>
      </c>
      <c r="F800" s="8">
        <v>65</v>
      </c>
      <c r="H800" s="4" t="s">
        <v>736</v>
      </c>
      <c r="I800" s="5">
        <f t="shared" si="798"/>
        <v>85</v>
      </c>
      <c r="J800" s="5"/>
      <c r="K800" s="4" t="str">
        <f t="shared" si="799"/>
        <v>K10 Power c/aro       = R$ 85,00</v>
      </c>
      <c r="M800" s="4" t="str">
        <f t="shared" si="800"/>
        <v>K10 Power c/aro       = R$ 90,00</v>
      </c>
      <c r="O800" s="4" t="str">
        <f t="shared" si="801"/>
        <v>K10 Power c/aro       = R$ 80,00</v>
      </c>
      <c r="Q800" s="4" t="str">
        <f t="shared" si="802"/>
        <v>K10 Power c/aro       = R$ 95,00</v>
      </c>
    </row>
    <row r="801" spans="1:17" ht="14.4" x14ac:dyDescent="0.3">
      <c r="A801" t="s">
        <v>12883</v>
      </c>
      <c r="B801">
        <f>I272</f>
        <v>90</v>
      </c>
      <c r="E801" s="85" t="s">
        <v>13201</v>
      </c>
      <c r="F801" s="8">
        <v>80</v>
      </c>
      <c r="H801" s="4" t="s">
        <v>737</v>
      </c>
      <c r="I801" s="5">
        <f t="shared" si="798"/>
        <v>105</v>
      </c>
      <c r="J801" s="5"/>
      <c r="K801" s="4" t="str">
        <f t="shared" si="799"/>
        <v>K10 Pro c/aro             = R$ 105,00</v>
      </c>
      <c r="M801" s="4" t="str">
        <f t="shared" si="800"/>
        <v>K10 Pro c/aro             = R$ 110,00</v>
      </c>
      <c r="O801" s="4" t="str">
        <f t="shared" si="801"/>
        <v>K10 Pro c/aro             = R$ 100,00</v>
      </c>
      <c r="Q801" s="4" t="str">
        <f t="shared" si="802"/>
        <v>K10 Pro c/aro             = R$ 115,00</v>
      </c>
    </row>
    <row r="802" spans="1:17" ht="14.4" x14ac:dyDescent="0.3">
      <c r="A802" t="s">
        <v>12884</v>
      </c>
      <c r="B802">
        <f>I272</f>
        <v>90</v>
      </c>
      <c r="E802" s="85" t="s">
        <v>13202</v>
      </c>
      <c r="F802" s="8">
        <v>90</v>
      </c>
      <c r="H802" s="4" t="s">
        <v>738</v>
      </c>
      <c r="I802" s="5">
        <f t="shared" si="798"/>
        <v>70</v>
      </c>
      <c r="J802" s="5"/>
      <c r="K802" s="4" t="str">
        <f t="shared" si="799"/>
        <v>K11+ c/aro        = R$ 70,00</v>
      </c>
      <c r="M802" s="4" t="str">
        <f t="shared" si="800"/>
        <v>K11+ c/aro        = R$ 75,00</v>
      </c>
      <c r="O802" s="4" t="str">
        <f t="shared" si="801"/>
        <v>K11+ c/aro        = R$ 65,00</v>
      </c>
      <c r="Q802" s="4" t="str">
        <f t="shared" si="802"/>
        <v>K11+ c/aro        = R$ 80,00</v>
      </c>
    </row>
    <row r="803" spans="1:17" ht="14.4" x14ac:dyDescent="0.3">
      <c r="A803" t="s">
        <v>2256</v>
      </c>
      <c r="B803">
        <f>I273</f>
        <v>70</v>
      </c>
      <c r="E803" s="85" t="s">
        <v>13204</v>
      </c>
      <c r="F803" s="8">
        <v>100</v>
      </c>
      <c r="H803" s="4" t="s">
        <v>739</v>
      </c>
      <c r="I803" s="5">
        <f t="shared" si="798"/>
        <v>75</v>
      </c>
      <c r="J803" s="5"/>
      <c r="K803" s="4" t="str">
        <f t="shared" si="799"/>
        <v>K12/K12+          = R$ 75,00</v>
      </c>
      <c r="M803" s="4" t="str">
        <f t="shared" si="800"/>
        <v>K12/K12+          = R$ 80,00</v>
      </c>
      <c r="O803" s="4" t="str">
        <f t="shared" si="801"/>
        <v>K12/K12+          = R$ 70,00</v>
      </c>
      <c r="Q803" s="4" t="str">
        <f t="shared" si="802"/>
        <v>K12/K12+          = R$ 85,00</v>
      </c>
    </row>
    <row r="804" spans="1:17" ht="14.4" x14ac:dyDescent="0.3">
      <c r="A804" t="s">
        <v>2305</v>
      </c>
      <c r="B804">
        <f>I281</f>
        <v>85</v>
      </c>
      <c r="E804" s="85" t="s">
        <v>13205</v>
      </c>
      <c r="F804" s="8">
        <v>65</v>
      </c>
      <c r="H804" s="4" t="s">
        <v>741</v>
      </c>
      <c r="I804" s="5">
        <f t="shared" si="798"/>
        <v>85</v>
      </c>
      <c r="J804" s="5"/>
      <c r="K804" s="4" t="str">
        <f t="shared" si="799"/>
        <v>K12/K12+ c/aro = R$ 85,00</v>
      </c>
      <c r="M804" s="4" t="str">
        <f t="shared" si="800"/>
        <v>K12/K12+ c/aro = R$ 90,00</v>
      </c>
      <c r="O804" s="4" t="str">
        <f t="shared" si="801"/>
        <v>K12/K12+ c/aro = R$ 80,00</v>
      </c>
      <c r="Q804" s="4" t="str">
        <f t="shared" si="802"/>
        <v>K12/K12+ c/aro = R$ 95,00</v>
      </c>
    </row>
    <row r="805" spans="1:17" ht="14.4" x14ac:dyDescent="0.3">
      <c r="A805" t="s">
        <v>1900</v>
      </c>
      <c r="B805">
        <f>I282</f>
        <v>160</v>
      </c>
      <c r="E805" s="85" t="s">
        <v>13203</v>
      </c>
      <c r="F805" s="8">
        <v>90</v>
      </c>
      <c r="H805" s="4" t="s">
        <v>742</v>
      </c>
      <c r="I805" s="5">
        <f t="shared" si="798"/>
        <v>75</v>
      </c>
      <c r="J805" s="5"/>
      <c r="K805" s="4" t="str">
        <f t="shared" si="799"/>
        <v>K12 Max/K12 Prime        = R$ 75,00</v>
      </c>
      <c r="M805" s="4" t="str">
        <f t="shared" si="800"/>
        <v>K12 Max/K12 Prime        = R$ 80,00</v>
      </c>
      <c r="O805" s="4" t="str">
        <f t="shared" si="801"/>
        <v>K12 Max/K12 Prime        = R$ 70,00</v>
      </c>
      <c r="Q805" s="4" t="str">
        <f t="shared" si="802"/>
        <v>K12 Max/K12 Prime        = R$ 85,00</v>
      </c>
    </row>
    <row r="806" spans="1:17" ht="14.4" x14ac:dyDescent="0.3">
      <c r="A806" t="s">
        <v>3318</v>
      </c>
      <c r="B806">
        <f>I282</f>
        <v>160</v>
      </c>
      <c r="E806" s="85" t="s">
        <v>13206</v>
      </c>
      <c r="F806" s="8">
        <v>100</v>
      </c>
      <c r="H806" s="4" t="s">
        <v>744</v>
      </c>
      <c r="I806" s="5">
        <f t="shared" si="798"/>
        <v>95</v>
      </c>
      <c r="J806" s="5"/>
      <c r="K806" s="4" t="str">
        <f t="shared" si="799"/>
        <v>K12 Max/K12 Prime c/aro= 95,00</v>
      </c>
      <c r="M806" s="4" t="str">
        <f t="shared" si="800"/>
        <v>K12 Max/K12 Prime c/aro= 100,00</v>
      </c>
      <c r="O806" s="4" t="str">
        <f t="shared" si="801"/>
        <v>K12 Max/K12 Prime c/aro= 90,00</v>
      </c>
      <c r="Q806" s="4" t="str">
        <f t="shared" si="802"/>
        <v>K12 Max/K12 Prime c/aro= 105,00</v>
      </c>
    </row>
    <row r="807" spans="1:17" ht="14.4" x14ac:dyDescent="0.3">
      <c r="A807" t="s">
        <v>3319</v>
      </c>
      <c r="B807">
        <f>I282</f>
        <v>160</v>
      </c>
      <c r="E807" s="85" t="s">
        <v>13207</v>
      </c>
      <c r="F807" s="8">
        <v>110</v>
      </c>
      <c r="H807" s="4" t="s">
        <v>746</v>
      </c>
      <c r="I807" s="5">
        <f t="shared" si="798"/>
        <v>65</v>
      </c>
      <c r="J807" s="5"/>
      <c r="K807" s="4" t="str">
        <f t="shared" si="799"/>
        <v>K22/K22 Plus    = R$ 65,00</v>
      </c>
      <c r="M807" s="4" t="str">
        <f t="shared" si="800"/>
        <v>K22/K22 Plus    = R$ 70,00</v>
      </c>
      <c r="O807" s="4" t="str">
        <f t="shared" si="801"/>
        <v>K22/K22 Plus    = R$ 60,00</v>
      </c>
      <c r="Q807" s="4" t="str">
        <f t="shared" si="802"/>
        <v>K22/K22 Plus    = R$ 75,00</v>
      </c>
    </row>
    <row r="808" spans="1:17" ht="14.4" x14ac:dyDescent="0.3">
      <c r="A808" t="s">
        <v>2068</v>
      </c>
      <c r="B808">
        <f>I277</f>
        <v>140</v>
      </c>
      <c r="E808" s="85" t="s">
        <v>13208</v>
      </c>
      <c r="F808" s="8">
        <v>65</v>
      </c>
      <c r="H808" s="4" t="s">
        <v>747</v>
      </c>
      <c r="I808" s="5">
        <f t="shared" si="798"/>
        <v>80</v>
      </c>
      <c r="J808" s="5"/>
      <c r="K808" s="4" t="str">
        <f t="shared" si="799"/>
        <v>K22/K22 Plus c/aro       = R$ 80,00</v>
      </c>
      <c r="M808" s="4" t="str">
        <f t="shared" si="800"/>
        <v>K22/K22 Plus c/aro       = R$ 85,00</v>
      </c>
      <c r="O808" s="4" t="str">
        <f t="shared" si="801"/>
        <v>K22/K22 Plus c/aro       = R$ 75,00</v>
      </c>
      <c r="Q808" s="4" t="str">
        <f t="shared" si="802"/>
        <v>K22/K22 Plus c/aro       = R$ 90,00</v>
      </c>
    </row>
    <row r="809" spans="1:17" ht="14.4" x14ac:dyDescent="0.3">
      <c r="A809" t="s">
        <v>3320</v>
      </c>
      <c r="B809">
        <f>I277</f>
        <v>140</v>
      </c>
      <c r="E809" s="85" t="s">
        <v>13209</v>
      </c>
      <c r="F809" s="8">
        <v>80</v>
      </c>
      <c r="H809" s="4" t="s">
        <v>11788</v>
      </c>
      <c r="I809" s="5">
        <f t="shared" si="798"/>
        <v>85</v>
      </c>
      <c r="J809" s="5"/>
      <c r="K809" s="4" t="str">
        <f t="shared" ref="K809:K812" si="803">CONCATENATE(H809,I809,",00")</f>
        <v>K22 c/aro  Nacional = R$ 85,00</v>
      </c>
      <c r="M809" s="4" t="str">
        <f t="shared" ref="M809:M812" si="804">CONCATENATE(H809,I809+5,",00")</f>
        <v>K22 c/aro  Nacional = R$ 90,00</v>
      </c>
      <c r="O809" s="4" t="str">
        <f t="shared" ref="O809:O812" si="805">CONCATENATE(H809,I809-5,",00")</f>
        <v>K22 c/aro  Nacional = R$ 80,00</v>
      </c>
      <c r="Q809" s="4" t="str">
        <f t="shared" ref="Q809:Q812" si="806">CONCATENATE(H809,I809+10,",00")</f>
        <v>K22 c/aro  Nacional = R$ 95,00</v>
      </c>
    </row>
    <row r="810" spans="1:17" ht="14.4" x14ac:dyDescent="0.3">
      <c r="A810" t="s">
        <v>3321</v>
      </c>
      <c r="B810">
        <f>I277</f>
        <v>140</v>
      </c>
      <c r="E810" s="85" t="s">
        <v>13210</v>
      </c>
      <c r="F810" s="8">
        <v>150</v>
      </c>
      <c r="H810" s="4" t="s">
        <v>11789</v>
      </c>
      <c r="I810" s="5">
        <f>F751</f>
        <v>85</v>
      </c>
      <c r="J810" s="5"/>
      <c r="K810" s="4" t="str">
        <f t="shared" si="803"/>
        <v>K22 Plus c/aro Nacional = R$ 85,00</v>
      </c>
      <c r="M810" s="4" t="str">
        <f t="shared" si="804"/>
        <v>K22 Plus c/aro Nacional = R$ 90,00</v>
      </c>
      <c r="O810" s="4" t="str">
        <f t="shared" si="805"/>
        <v>K22 Plus c/aro Nacional = R$ 80,00</v>
      </c>
      <c r="Q810" s="4" t="str">
        <f t="shared" si="806"/>
        <v>K22 Plus c/aro Nacional = R$ 95,00</v>
      </c>
    </row>
    <row r="811" spans="1:17" ht="14.4" x14ac:dyDescent="0.3">
      <c r="A811" t="s">
        <v>2306</v>
      </c>
      <c r="B811">
        <f>I284</f>
        <v>90</v>
      </c>
      <c r="E811" s="85" t="s">
        <v>13211</v>
      </c>
      <c r="F811" s="8">
        <v>180</v>
      </c>
      <c r="H811" s="4" t="s">
        <v>11786</v>
      </c>
      <c r="I811" s="5">
        <f>F752</f>
        <v>95</v>
      </c>
      <c r="J811" s="5"/>
      <c r="K811" s="4" t="str">
        <f t="shared" si="803"/>
        <v>K22 c/aro Nac Diamonds = 95,00</v>
      </c>
      <c r="M811" s="4" t="str">
        <f t="shared" si="804"/>
        <v>K22 c/aro Nac Diamonds = 100,00</v>
      </c>
      <c r="O811" s="4" t="str">
        <f t="shared" si="805"/>
        <v>K22 c/aro Nac Diamonds = 90,00</v>
      </c>
      <c r="Q811" s="4" t="str">
        <f t="shared" si="806"/>
        <v>K22 c/aro Nac Diamonds = 105,00</v>
      </c>
    </row>
    <row r="812" spans="1:17" ht="14.4" x14ac:dyDescent="0.3">
      <c r="A812" t="s">
        <v>2257</v>
      </c>
      <c r="B812">
        <f>I283</f>
        <v>85</v>
      </c>
      <c r="E812" s="86" t="s">
        <v>13212</v>
      </c>
      <c r="F812" s="17">
        <v>85</v>
      </c>
      <c r="H812" s="4" t="s">
        <v>11787</v>
      </c>
      <c r="I812" s="5">
        <f t="shared" ref="I812:J830" si="807">F752</f>
        <v>95</v>
      </c>
      <c r="J812" s="5"/>
      <c r="K812" s="4" t="str">
        <f t="shared" si="803"/>
        <v>K22 Plus c/aro Nac Diamonds = 95,00</v>
      </c>
      <c r="M812" s="4" t="str">
        <f t="shared" si="804"/>
        <v>K22 Plus c/aro Nac Diamonds = 100,00</v>
      </c>
      <c r="O812" s="4" t="str">
        <f t="shared" si="805"/>
        <v>K22 Plus c/aro Nac Diamonds = 90,00</v>
      </c>
      <c r="Q812" s="4" t="str">
        <f t="shared" si="806"/>
        <v>K22 Plus c/aro Nac Diamonds = 105,00</v>
      </c>
    </row>
    <row r="813" spans="1:17" ht="14.4" x14ac:dyDescent="0.3">
      <c r="A813" t="s">
        <v>1901</v>
      </c>
      <c r="B813">
        <f>I286</f>
        <v>160</v>
      </c>
      <c r="E813" s="85" t="s">
        <v>13213</v>
      </c>
      <c r="F813" s="8">
        <v>80</v>
      </c>
      <c r="H813" s="4" t="s">
        <v>749</v>
      </c>
      <c r="I813" s="5">
        <f t="shared" si="807"/>
        <v>65</v>
      </c>
      <c r="J813" s="5"/>
      <c r="K813" s="4" t="str">
        <f t="shared" si="799"/>
        <v>K40s     = R$ 65,00</v>
      </c>
      <c r="M813" s="4" t="str">
        <f t="shared" si="800"/>
        <v>K40s     = R$ 70,00</v>
      </c>
      <c r="O813" s="4" t="str">
        <f t="shared" si="801"/>
        <v>K40s     = R$ 60,00</v>
      </c>
      <c r="Q813" s="4" t="str">
        <f t="shared" si="802"/>
        <v>K40s     = R$ 75,00</v>
      </c>
    </row>
    <row r="814" spans="1:17" ht="14.4" x14ac:dyDescent="0.3">
      <c r="A814" t="s">
        <v>3322</v>
      </c>
      <c r="B814">
        <f>I286</f>
        <v>160</v>
      </c>
      <c r="E814" s="85" t="s">
        <v>13216</v>
      </c>
      <c r="F814" s="8">
        <v>200</v>
      </c>
      <c r="H814" s="4" t="s">
        <v>750</v>
      </c>
      <c r="I814" s="5">
        <f t="shared" si="807"/>
        <v>80</v>
      </c>
      <c r="J814" s="5"/>
      <c r="K814" s="4" t="str">
        <f t="shared" si="799"/>
        <v>K40s c/aro        = R$ 80,00</v>
      </c>
      <c r="M814" s="4" t="str">
        <f t="shared" si="800"/>
        <v>K40s c/aro        = R$ 85,00</v>
      </c>
      <c r="O814" s="4" t="str">
        <f t="shared" si="801"/>
        <v>K40s c/aro        = R$ 75,00</v>
      </c>
      <c r="Q814" s="4" t="str">
        <f t="shared" si="802"/>
        <v>K40s c/aro        = R$ 90,00</v>
      </c>
    </row>
    <row r="815" spans="1:17" ht="14.4" x14ac:dyDescent="0.3">
      <c r="A815" t="s">
        <v>3323</v>
      </c>
      <c r="B815">
        <f>I286</f>
        <v>160</v>
      </c>
      <c r="E815" s="85" t="s">
        <v>13214</v>
      </c>
      <c r="F815" s="8">
        <v>95</v>
      </c>
      <c r="H815" s="4" t="s">
        <v>751</v>
      </c>
      <c r="I815" s="5">
        <f t="shared" si="807"/>
        <v>65</v>
      </c>
      <c r="J815" s="5"/>
      <c r="K815" s="4" t="str">
        <f t="shared" si="799"/>
        <v>K41s     = R$ 65,00</v>
      </c>
      <c r="M815" s="4" t="str">
        <f t="shared" si="800"/>
        <v>K41s     = R$ 70,00</v>
      </c>
      <c r="O815" s="4" t="str">
        <f t="shared" si="801"/>
        <v>K41s     = R$ 60,00</v>
      </c>
      <c r="Q815" s="4" t="str">
        <f t="shared" si="802"/>
        <v>K41s     = R$ 75,00</v>
      </c>
    </row>
    <row r="816" spans="1:17" ht="14.4" x14ac:dyDescent="0.3">
      <c r="A816" t="s">
        <v>11869</v>
      </c>
      <c r="B816">
        <f>I287</f>
        <v>205</v>
      </c>
      <c r="E816" s="85" t="s">
        <v>13215</v>
      </c>
      <c r="F816" s="8">
        <v>220</v>
      </c>
      <c r="H816" s="4" t="s">
        <v>752</v>
      </c>
      <c r="I816" s="5">
        <f t="shared" si="807"/>
        <v>80</v>
      </c>
      <c r="J816" s="5"/>
      <c r="K816" s="4" t="str">
        <f t="shared" si="799"/>
        <v>K41s c/aro        = R$ 80,00</v>
      </c>
      <c r="M816" s="4" t="str">
        <f t="shared" si="800"/>
        <v>K41s c/aro        = R$ 85,00</v>
      </c>
      <c r="O816" s="4" t="str">
        <f t="shared" si="801"/>
        <v>K41s c/aro        = R$ 75,00</v>
      </c>
      <c r="Q816" s="4" t="str">
        <f t="shared" si="802"/>
        <v>K41s c/aro        = R$ 90,00</v>
      </c>
    </row>
    <row r="817" spans="1:17" ht="14.4" x14ac:dyDescent="0.3">
      <c r="A817" t="s">
        <v>11870</v>
      </c>
      <c r="B817">
        <f>I287</f>
        <v>205</v>
      </c>
      <c r="E817" s="85" t="s">
        <v>13217</v>
      </c>
      <c r="F817" s="8">
        <v>65</v>
      </c>
      <c r="H817" s="4" t="s">
        <v>753</v>
      </c>
      <c r="I817" s="5">
        <f t="shared" si="807"/>
        <v>85</v>
      </c>
      <c r="J817" s="5"/>
      <c r="K817" s="4" t="str">
        <f t="shared" ref="K817" si="808">CONCATENATE(H817,I817,",00")</f>
        <v>K41s c/aro Nacional = R$ 85,00</v>
      </c>
      <c r="M817" s="4" t="str">
        <f t="shared" ref="M817" si="809">CONCATENATE(H817,I817+5,",00")</f>
        <v>K41s c/aro Nacional = R$ 90,00</v>
      </c>
      <c r="O817" s="4" t="str">
        <f t="shared" ref="O817" si="810">CONCATENATE(H817,I817-5,",00")</f>
        <v>K41s c/aro Nacional = R$ 80,00</v>
      </c>
      <c r="Q817" s="4" t="str">
        <f t="shared" ref="Q817" si="811">CONCATENATE(H817,I817+10,",00")</f>
        <v>K41s c/aro Nacional = R$ 95,00</v>
      </c>
    </row>
    <row r="818" spans="1:17" ht="14.4" x14ac:dyDescent="0.3">
      <c r="A818" t="s">
        <v>2069</v>
      </c>
      <c r="B818">
        <f>I285</f>
        <v>150</v>
      </c>
      <c r="E818" s="85" t="s">
        <v>13218</v>
      </c>
      <c r="F818" s="8">
        <v>160</v>
      </c>
      <c r="H818" s="4" t="s">
        <v>11791</v>
      </c>
      <c r="I818" s="5">
        <f t="shared" si="807"/>
        <v>95</v>
      </c>
      <c r="J818" s="5"/>
      <c r="K818" s="4" t="str">
        <f t="shared" si="799"/>
        <v>K41s c/aro Nac Diamonds = 95,00</v>
      </c>
      <c r="M818" s="4" t="str">
        <f t="shared" si="800"/>
        <v>K41s c/aro Nac Diamonds = 100,00</v>
      </c>
      <c r="O818" s="4" t="str">
        <f t="shared" si="801"/>
        <v>K41s c/aro Nac Diamonds = 90,00</v>
      </c>
      <c r="Q818" s="4" t="str">
        <f t="shared" si="802"/>
        <v>K41s c/aro Nac Diamonds = 105,00</v>
      </c>
    </row>
    <row r="819" spans="1:17" ht="14.4" x14ac:dyDescent="0.3">
      <c r="A819" t="s">
        <v>3324</v>
      </c>
      <c r="B819">
        <f>I285</f>
        <v>150</v>
      </c>
      <c r="E819" s="85" t="s">
        <v>13219</v>
      </c>
      <c r="F819" s="8">
        <v>90</v>
      </c>
      <c r="H819" s="4" t="s">
        <v>754</v>
      </c>
      <c r="I819" s="5">
        <f t="shared" si="807"/>
        <v>65</v>
      </c>
      <c r="J819" s="5"/>
      <c r="K819" s="4" t="str">
        <f t="shared" si="799"/>
        <v>K42/K52/K62   = R$ 65,00</v>
      </c>
      <c r="M819" s="4" t="str">
        <f t="shared" si="800"/>
        <v>K42/K52/K62   = R$ 70,00</v>
      </c>
      <c r="O819" s="4" t="str">
        <f t="shared" si="801"/>
        <v>K42/K52/K62   = R$ 60,00</v>
      </c>
      <c r="Q819" s="4" t="str">
        <f t="shared" si="802"/>
        <v>K42/K52/K62   = R$ 75,00</v>
      </c>
    </row>
    <row r="820" spans="1:17" ht="14.4" x14ac:dyDescent="0.3">
      <c r="A820" t="s">
        <v>3325</v>
      </c>
      <c r="B820">
        <f>I285</f>
        <v>150</v>
      </c>
      <c r="E820" s="85" t="s">
        <v>13220</v>
      </c>
      <c r="F820" s="8">
        <v>180</v>
      </c>
      <c r="H820" s="4" t="s">
        <v>755</v>
      </c>
      <c r="I820" s="5">
        <f t="shared" si="807"/>
        <v>80</v>
      </c>
      <c r="J820" s="5"/>
      <c r="K820" s="4" t="str">
        <f t="shared" si="799"/>
        <v>K42/K52 c/aro            = R$ 80,00</v>
      </c>
      <c r="M820" s="4" t="str">
        <f t="shared" si="800"/>
        <v>K42/K52 c/aro            = R$ 85,00</v>
      </c>
      <c r="O820" s="4" t="str">
        <f t="shared" si="801"/>
        <v>K42/K52 c/aro            = R$ 75,00</v>
      </c>
      <c r="Q820" s="4" t="str">
        <f t="shared" si="802"/>
        <v>K42/K52 c/aro            = R$ 90,00</v>
      </c>
    </row>
    <row r="821" spans="1:17" ht="14.4" x14ac:dyDescent="0.3">
      <c r="A821" t="s">
        <v>2070</v>
      </c>
      <c r="B821">
        <f>I288</f>
        <v>65</v>
      </c>
      <c r="E821" s="86" t="s">
        <v>13221</v>
      </c>
      <c r="F821" s="17">
        <v>85</v>
      </c>
      <c r="H821" s="4" t="s">
        <v>10846</v>
      </c>
      <c r="I821" s="5">
        <f t="shared" si="807"/>
        <v>90</v>
      </c>
      <c r="J821" s="5"/>
      <c r="K821" s="4" t="str">
        <f t="shared" si="799"/>
        <v>K42 Nacional c/aro = R$ 90,00</v>
      </c>
      <c r="M821" s="4" t="str">
        <f t="shared" si="800"/>
        <v>K42 Nacional c/aro = R$ 95,00</v>
      </c>
      <c r="O821" s="4" t="str">
        <f t="shared" si="801"/>
        <v>K42 Nacional c/aro = R$ 85,00</v>
      </c>
      <c r="Q821" s="4" t="str">
        <f t="shared" si="802"/>
        <v>K42 Nacional c/aro = R$ 100,00</v>
      </c>
    </row>
    <row r="822" spans="1:17" ht="14.4" x14ac:dyDescent="0.3">
      <c r="A822" t="s">
        <v>2360</v>
      </c>
      <c r="B822">
        <f>I289</f>
        <v>100</v>
      </c>
      <c r="E822" s="85" t="s">
        <v>13222</v>
      </c>
      <c r="F822" s="17">
        <v>120</v>
      </c>
      <c r="H822" s="4" t="s">
        <v>11794</v>
      </c>
      <c r="I822" s="5">
        <f t="shared" si="807"/>
        <v>100</v>
      </c>
      <c r="J822" s="5"/>
      <c r="K822" s="4" t="str">
        <f t="shared" ref="K822" si="812">CONCATENATE(H822,I822,",00")</f>
        <v>K42 c/aro Nac Diamonds = 100,00</v>
      </c>
      <c r="M822" s="4" t="str">
        <f t="shared" ref="M822" si="813">CONCATENATE(H822,I822+5,",00")</f>
        <v>K42 c/aro Nac Diamonds = 105,00</v>
      </c>
      <c r="O822" s="4" t="str">
        <f t="shared" ref="O822" si="814">CONCATENATE(H822,I822-5,",00")</f>
        <v>K42 c/aro Nac Diamonds = 95,00</v>
      </c>
      <c r="Q822" s="4" t="str">
        <f t="shared" ref="Q822" si="815">CONCATENATE(H822,I822+10,",00")</f>
        <v>K42 c/aro Nac Diamonds = 110,00</v>
      </c>
    </row>
    <row r="823" spans="1:17" ht="14.4" x14ac:dyDescent="0.3">
      <c r="A823" t="s">
        <v>2521</v>
      </c>
      <c r="B823">
        <f>I289</f>
        <v>100</v>
      </c>
      <c r="E823" s="85" t="s">
        <v>13223</v>
      </c>
      <c r="F823" s="17">
        <v>220</v>
      </c>
      <c r="H823" s="4" t="s">
        <v>757</v>
      </c>
      <c r="I823" s="5">
        <f t="shared" si="807"/>
        <v>70</v>
      </c>
      <c r="J823" s="5"/>
      <c r="K823" s="4" t="str">
        <f t="shared" si="799"/>
        <v>K50s  = R$ 70,00</v>
      </c>
      <c r="M823" s="4" t="str">
        <f t="shared" si="800"/>
        <v>K50s  = R$ 75,00</v>
      </c>
      <c r="O823" s="4" t="str">
        <f t="shared" si="801"/>
        <v>K50s  = R$ 65,00</v>
      </c>
      <c r="Q823" s="4" t="str">
        <f t="shared" si="802"/>
        <v>K50s  = R$ 80,00</v>
      </c>
    </row>
    <row r="824" spans="1:17" ht="14.4" x14ac:dyDescent="0.3">
      <c r="A824" t="s">
        <v>11871</v>
      </c>
      <c r="B824">
        <f>I290</f>
        <v>110</v>
      </c>
      <c r="E824" s="85" t="s">
        <v>11808</v>
      </c>
      <c r="F824" s="17">
        <v>260</v>
      </c>
      <c r="H824" s="4" t="s">
        <v>758</v>
      </c>
      <c r="I824" s="5">
        <f t="shared" si="807"/>
        <v>85</v>
      </c>
      <c r="J824" s="5"/>
      <c r="K824" s="4" t="str">
        <f t="shared" si="799"/>
        <v>K50s c/aro     = R$ 85,00</v>
      </c>
      <c r="M824" s="4" t="str">
        <f t="shared" si="800"/>
        <v>K50s c/aro     = R$ 90,00</v>
      </c>
      <c r="O824" s="4" t="str">
        <f t="shared" si="801"/>
        <v>K50s c/aro     = R$ 80,00</v>
      </c>
      <c r="Q824" s="4" t="str">
        <f t="shared" si="802"/>
        <v>K50s c/aro     = R$ 95,00</v>
      </c>
    </row>
    <row r="825" spans="1:17" ht="14.4" x14ac:dyDescent="0.3">
      <c r="A825" t="s">
        <v>11872</v>
      </c>
      <c r="B825">
        <f>I290</f>
        <v>110</v>
      </c>
      <c r="E825" s="85" t="s">
        <v>11807</v>
      </c>
      <c r="F825" s="17">
        <v>265</v>
      </c>
      <c r="H825" s="4" t="s">
        <v>12816</v>
      </c>
      <c r="I825" s="5">
        <f t="shared" si="807"/>
        <v>95</v>
      </c>
      <c r="J825" s="5"/>
      <c r="K825" s="4" t="str">
        <f t="shared" ref="K825" si="816">CONCATENATE(H825,I825,",00")</f>
        <v>K50s Nacional c/aro = R$ 95,00</v>
      </c>
      <c r="M825" s="4" t="str">
        <f t="shared" ref="M825" si="817">CONCATENATE(H825,I825+5,",00")</f>
        <v>K50s Nacional c/aro = R$ 100,00</v>
      </c>
      <c r="O825" s="4" t="str">
        <f t="shared" ref="O825" si="818">CONCATENATE(H825,I825-5,",00")</f>
        <v>K50s Nacional c/aro = R$ 90,00</v>
      </c>
      <c r="Q825" s="4" t="str">
        <f t="shared" ref="Q825" si="819">CONCATENATE(H825,I825+10,",00")</f>
        <v>K50s Nacional c/aro = R$ 105,00</v>
      </c>
    </row>
    <row r="826" spans="1:17" ht="14.4" x14ac:dyDescent="0.3">
      <c r="A826" t="s">
        <v>2838</v>
      </c>
      <c r="B826">
        <f>I274</f>
        <v>70</v>
      </c>
      <c r="E826" s="85" t="s">
        <v>4434</v>
      </c>
      <c r="F826" s="8">
        <v>75</v>
      </c>
      <c r="H826" s="4" t="s">
        <v>759</v>
      </c>
      <c r="I826" s="5">
        <f t="shared" si="807"/>
        <v>75</v>
      </c>
      <c r="J826" s="5"/>
      <c r="K826" s="4" t="str">
        <f t="shared" si="799"/>
        <v>K51   = R$ 75,00</v>
      </c>
      <c r="M826" s="4" t="str">
        <f t="shared" si="800"/>
        <v>K51   = R$ 80,00</v>
      </c>
      <c r="O826" s="4" t="str">
        <f t="shared" si="801"/>
        <v>K51   = R$ 70,00</v>
      </c>
      <c r="Q826" s="4" t="str">
        <f t="shared" si="802"/>
        <v>K51   = R$ 85,00</v>
      </c>
    </row>
    <row r="827" spans="1:17" ht="14.4" x14ac:dyDescent="0.3">
      <c r="A827" t="s">
        <v>2307</v>
      </c>
      <c r="B827">
        <f>I275</f>
        <v>85</v>
      </c>
      <c r="E827" s="85" t="s">
        <v>4435</v>
      </c>
      <c r="F827" s="8">
        <v>170</v>
      </c>
      <c r="H827" s="4" t="s">
        <v>760</v>
      </c>
      <c r="I827" s="5">
        <f t="shared" si="807"/>
        <v>75</v>
      </c>
      <c r="J827" s="5"/>
      <c r="K827" s="4" t="str">
        <f t="shared" si="799"/>
        <v>K51s              = R$ 75,00</v>
      </c>
      <c r="M827" s="4" t="str">
        <f t="shared" si="800"/>
        <v>K51s              = R$ 80,00</v>
      </c>
      <c r="O827" s="4" t="str">
        <f t="shared" si="801"/>
        <v>K51s              = R$ 70,00</v>
      </c>
      <c r="Q827" s="4" t="str">
        <f t="shared" si="802"/>
        <v>K51s              = R$ 85,00</v>
      </c>
    </row>
    <row r="828" spans="1:17" ht="14.4" x14ac:dyDescent="0.3">
      <c r="A828" t="s">
        <v>1902</v>
      </c>
      <c r="B828">
        <f>I279</f>
        <v>160</v>
      </c>
      <c r="E828" s="85" t="s">
        <v>788</v>
      </c>
      <c r="F828" s="8">
        <v>90</v>
      </c>
      <c r="H828" s="4" t="s">
        <v>761</v>
      </c>
      <c r="I828" s="5">
        <f t="shared" si="807"/>
        <v>85</v>
      </c>
      <c r="J828" s="5"/>
      <c r="K828" s="4" t="str">
        <f t="shared" si="799"/>
        <v>K51s c/aro   = R$ 85,00</v>
      </c>
      <c r="M828" s="4" t="str">
        <f t="shared" si="800"/>
        <v>K51s c/aro   = R$ 90,00</v>
      </c>
      <c r="O828" s="4" t="str">
        <f t="shared" si="801"/>
        <v>K51s c/aro   = R$ 80,00</v>
      </c>
      <c r="Q828" s="4" t="str">
        <f t="shared" si="802"/>
        <v>K51s c/aro   = R$ 95,00</v>
      </c>
    </row>
    <row r="829" spans="1:17" ht="14.4" x14ac:dyDescent="0.3">
      <c r="A829" t="s">
        <v>3326</v>
      </c>
      <c r="B829">
        <f>I279</f>
        <v>160</v>
      </c>
      <c r="E829" s="85" t="s">
        <v>790</v>
      </c>
      <c r="F829" s="8">
        <v>190</v>
      </c>
      <c r="H829" s="4" t="s">
        <v>12181</v>
      </c>
      <c r="I829" s="5">
        <f t="shared" si="807"/>
        <v>95</v>
      </c>
      <c r="J829" s="5"/>
      <c r="K829" s="4" t="str">
        <f t="shared" ref="K829:K830" si="820">CONCATENATE(H829,I829,",00")</f>
        <v>K51s Nacional c/aro = R$ 95,00</v>
      </c>
      <c r="M829" s="4" t="str">
        <f t="shared" ref="M829:M830" si="821">CONCATENATE(H829,I829+5,",00")</f>
        <v>K51s Nacional c/aro = R$ 100,00</v>
      </c>
      <c r="O829" s="4" t="str">
        <f t="shared" ref="O829:O830" si="822">CONCATENATE(H829,I829-5,",00")</f>
        <v>K51s Nacional c/aro = R$ 90,00</v>
      </c>
      <c r="Q829" s="4" t="str">
        <f t="shared" ref="Q829:Q830" si="823">CONCATENATE(H829,I829+10,",00")</f>
        <v>K51s Nacional c/aro = R$ 105,00</v>
      </c>
    </row>
    <row r="830" spans="1:17" ht="14.4" x14ac:dyDescent="0.3">
      <c r="A830" t="s">
        <v>3327</v>
      </c>
      <c r="B830">
        <f>I279</f>
        <v>160</v>
      </c>
      <c r="E830" s="85" t="s">
        <v>792</v>
      </c>
      <c r="F830" s="8">
        <v>210</v>
      </c>
      <c r="H830" s="4" t="s">
        <v>12182</v>
      </c>
      <c r="I830" s="5">
        <f t="shared" si="807"/>
        <v>105</v>
      </c>
      <c r="J830" s="5"/>
      <c r="K830" s="4" t="str">
        <f t="shared" si="820"/>
        <v>K51s c/aro Nac Diamonds = 105,00</v>
      </c>
      <c r="M830" s="4" t="str">
        <f t="shared" si="821"/>
        <v>K51s c/aro Nac Diamonds = 110,00</v>
      </c>
      <c r="O830" s="4" t="str">
        <f t="shared" si="822"/>
        <v>K51s c/aro Nac Diamonds = 100,00</v>
      </c>
      <c r="Q830" s="4" t="str">
        <f t="shared" si="823"/>
        <v>K51s c/aro Nac Diamonds = 115,00</v>
      </c>
    </row>
    <row r="831" spans="1:17" ht="14.4" x14ac:dyDescent="0.3">
      <c r="A831" t="s">
        <v>3092</v>
      </c>
      <c r="B831">
        <f>I278</f>
        <v>140</v>
      </c>
      <c r="E831" s="85" t="s">
        <v>11813</v>
      </c>
      <c r="F831" s="8">
        <v>220</v>
      </c>
      <c r="H831" s="4" t="s">
        <v>10847</v>
      </c>
      <c r="I831" s="5">
        <f>F761</f>
        <v>90</v>
      </c>
      <c r="J831" s="5"/>
      <c r="K831" s="4" t="str">
        <f t="shared" si="799"/>
        <v>K52 Nacional c/aro = R$ 90,00</v>
      </c>
      <c r="M831" s="4" t="str">
        <f t="shared" si="800"/>
        <v>K52 Nacional c/aro = R$ 95,00</v>
      </c>
      <c r="O831" s="4" t="str">
        <f t="shared" si="801"/>
        <v>K52 Nacional c/aro = R$ 85,00</v>
      </c>
      <c r="Q831" s="4" t="str">
        <f t="shared" si="802"/>
        <v>K52 Nacional c/aro = R$ 100,00</v>
      </c>
    </row>
    <row r="832" spans="1:17" ht="14.4" x14ac:dyDescent="0.3">
      <c r="A832" t="s">
        <v>3329</v>
      </c>
      <c r="B832">
        <f>I278</f>
        <v>140</v>
      </c>
      <c r="E832" s="85" t="s">
        <v>4436</v>
      </c>
      <c r="F832" s="8">
        <v>100</v>
      </c>
      <c r="H832" s="4" t="s">
        <v>11795</v>
      </c>
      <c r="I832" s="5">
        <f>F762</f>
        <v>100</v>
      </c>
      <c r="J832" s="5"/>
      <c r="K832" s="4" t="str">
        <f t="shared" ref="K832" si="824">CONCATENATE(H832,I832,",00")</f>
        <v>K52 c/aro Nac Diamonds = 100,00</v>
      </c>
      <c r="M832" s="4" t="str">
        <f t="shared" ref="M832" si="825">CONCATENATE(H832,I832+5,",00")</f>
        <v>K52 c/aro Nac Diamonds = 105,00</v>
      </c>
      <c r="O832" s="4" t="str">
        <f t="shared" ref="O832" si="826">CONCATENATE(H832,I832-5,",00")</f>
        <v>K52 c/aro Nac Diamonds = 95,00</v>
      </c>
      <c r="Q832" s="4" t="str">
        <f t="shared" ref="Q832" si="827">CONCATENATE(H832,I832+10,",00")</f>
        <v>K52 c/aro Nac Diamonds = 110,00</v>
      </c>
    </row>
    <row r="833" spans="1:17" ht="14.4" x14ac:dyDescent="0.3">
      <c r="A833" t="s">
        <v>2259</v>
      </c>
      <c r="B833">
        <f>I274</f>
        <v>70</v>
      </c>
      <c r="E833" s="85" t="s">
        <v>4437</v>
      </c>
      <c r="F833" s="8">
        <v>220</v>
      </c>
      <c r="H833" s="4" t="s">
        <v>762</v>
      </c>
      <c r="I833" s="5">
        <f>F771</f>
        <v>75</v>
      </c>
      <c r="J833" s="5"/>
      <c r="K833" s="4" t="str">
        <f t="shared" si="799"/>
        <v>K61             = R$ 75,00</v>
      </c>
      <c r="M833" s="4" t="str">
        <f t="shared" si="800"/>
        <v>K61             = R$ 80,00</v>
      </c>
      <c r="O833" s="4" t="str">
        <f t="shared" si="801"/>
        <v>K61             = R$ 70,00</v>
      </c>
      <c r="Q833" s="4" t="str">
        <f t="shared" si="802"/>
        <v>K61             = R$ 85,00</v>
      </c>
    </row>
    <row r="834" spans="1:17" ht="14.4" x14ac:dyDescent="0.3">
      <c r="A834" t="s">
        <v>2308</v>
      </c>
      <c r="B834">
        <f>I276</f>
        <v>85</v>
      </c>
      <c r="E834" s="85" t="s">
        <v>10925</v>
      </c>
      <c r="F834" s="17">
        <v>240</v>
      </c>
      <c r="H834" s="4" t="s">
        <v>763</v>
      </c>
      <c r="I834" s="5">
        <f>F772</f>
        <v>85</v>
      </c>
      <c r="J834" s="5"/>
      <c r="K834" s="4" t="str">
        <f t="shared" si="799"/>
        <v>K61 c/aro   = R$ 85,00</v>
      </c>
      <c r="M834" s="4" t="str">
        <f t="shared" si="800"/>
        <v>K61 c/aro   = R$ 90,00</v>
      </c>
      <c r="O834" s="4" t="str">
        <f t="shared" si="801"/>
        <v>K61 c/aro   = R$ 80,00</v>
      </c>
      <c r="Q834" s="4" t="str">
        <f t="shared" si="802"/>
        <v>K61 c/aro   = R$ 95,00</v>
      </c>
    </row>
    <row r="835" spans="1:17" ht="14.4" x14ac:dyDescent="0.3">
      <c r="A835" t="s">
        <v>1903</v>
      </c>
      <c r="B835">
        <f>I280</f>
        <v>160</v>
      </c>
      <c r="E835" s="85" t="s">
        <v>11816</v>
      </c>
      <c r="F835" s="17">
        <v>250</v>
      </c>
      <c r="H835" s="24" t="s">
        <v>6594</v>
      </c>
      <c r="I835" s="5">
        <f>F773</f>
        <v>95</v>
      </c>
      <c r="J835" s="5"/>
      <c r="K835" s="4" t="str">
        <f t="shared" ref="K835" si="828">CONCATENATE(H835,I835,",00")</f>
        <v>K61 c/aro Nacional = R$ 95,00</v>
      </c>
      <c r="M835" s="4" t="str">
        <f t="shared" ref="M835" si="829">CONCATENATE(H835,I835+5,",00")</f>
        <v>K61 c/aro Nacional = R$ 100,00</v>
      </c>
      <c r="O835" s="4" t="str">
        <f t="shared" ref="O835" si="830">CONCATENATE(H835,I835-5,",00")</f>
        <v>K61 c/aro Nacional = R$ 90,00</v>
      </c>
      <c r="Q835" s="4" t="str">
        <f t="shared" ref="Q835" si="831">CONCATENATE(H835,I835+10,",00")</f>
        <v>K61 c/aro Nacional = R$ 105,00</v>
      </c>
    </row>
    <row r="836" spans="1:17" ht="14.4" x14ac:dyDescent="0.3">
      <c r="A836" t="s">
        <v>3330</v>
      </c>
      <c r="B836">
        <f>I280</f>
        <v>160</v>
      </c>
      <c r="E836" s="85" t="s">
        <v>797</v>
      </c>
      <c r="F836" s="8">
        <v>120</v>
      </c>
      <c r="H836" s="4" t="s">
        <v>11797</v>
      </c>
      <c r="I836" s="5">
        <f>F774</f>
        <v>105</v>
      </c>
      <c r="J836" s="5"/>
      <c r="K836" s="4" t="str">
        <f t="shared" si="799"/>
        <v>K61 c/aro Nac Diamonds = 105,00</v>
      </c>
      <c r="M836" s="4" t="str">
        <f t="shared" si="800"/>
        <v>K61 c/aro Nac Diamonds = 110,00</v>
      </c>
      <c r="O836" s="4" t="str">
        <f t="shared" si="801"/>
        <v>K61 c/aro Nac Diamonds = 100,00</v>
      </c>
      <c r="Q836" s="4" t="str">
        <f t="shared" si="802"/>
        <v>K61 c/aro Nac Diamonds = 115,00</v>
      </c>
    </row>
    <row r="837" spans="1:17" ht="14.4" x14ac:dyDescent="0.3">
      <c r="A837" t="s">
        <v>3331</v>
      </c>
      <c r="B837">
        <f>I280</f>
        <v>160</v>
      </c>
      <c r="E837" s="85" t="s">
        <v>798</v>
      </c>
      <c r="F837" s="8">
        <v>230</v>
      </c>
      <c r="H837" s="4" t="s">
        <v>3536</v>
      </c>
      <c r="I837" s="5">
        <f>F759</f>
        <v>65</v>
      </c>
      <c r="J837" s="5"/>
      <c r="K837" s="4" t="str">
        <f t="shared" ref="K837" si="832">CONCATENATE(H837,I837,",00")</f>
        <v>K62 Plus        = R$ 65,00</v>
      </c>
      <c r="M837" s="4" t="str">
        <f t="shared" ref="M837" si="833">CONCATENATE(H837,I837+5,",00")</f>
        <v>K62 Plus        = R$ 70,00</v>
      </c>
      <c r="O837" s="4" t="str">
        <f t="shared" ref="O837" si="834">CONCATENATE(H837,I837-5,",00")</f>
        <v>K62 Plus        = R$ 60,00</v>
      </c>
      <c r="Q837" s="4" t="str">
        <f t="shared" ref="Q837" si="835">CONCATENATE(H837,I837+10,",00")</f>
        <v>K62 Plus        = R$ 75,00</v>
      </c>
    </row>
    <row r="838" spans="1:17" ht="14.4" x14ac:dyDescent="0.3">
      <c r="A838" t="s">
        <v>2072</v>
      </c>
      <c r="B838">
        <f>I278</f>
        <v>140</v>
      </c>
      <c r="E838" s="85" t="s">
        <v>800</v>
      </c>
      <c r="F838" s="8">
        <v>90</v>
      </c>
      <c r="H838" s="4" t="s">
        <v>764</v>
      </c>
      <c r="I838" s="5">
        <f>F775</f>
        <v>80</v>
      </c>
      <c r="J838" s="5"/>
      <c r="K838" s="4" t="str">
        <f>CONCATENATE(H838,I838,",00")</f>
        <v>K62/K62 Plus c/aro = R$ 80,00</v>
      </c>
      <c r="M838" s="4" t="str">
        <f>CONCATENATE(H838,I838+5,",00")</f>
        <v>K62/K62 Plus c/aro = R$ 85,00</v>
      </c>
      <c r="O838" s="4" t="str">
        <f>CONCATENATE(H838,I838-5,",00")</f>
        <v>K62/K62 Plus c/aro = R$ 75,00</v>
      </c>
      <c r="Q838" s="4" t="str">
        <f>CONCATENATE(H838,I838+10,",00")</f>
        <v>K62/K62 Plus c/aro = R$ 90,00</v>
      </c>
    </row>
    <row r="839" spans="1:17" ht="14.4" x14ac:dyDescent="0.3">
      <c r="A839" t="s">
        <v>2258</v>
      </c>
      <c r="B839">
        <f>I274</f>
        <v>70</v>
      </c>
      <c r="E839" s="85" t="s">
        <v>4452</v>
      </c>
      <c r="F839" s="8">
        <v>110</v>
      </c>
      <c r="H839" s="4" t="s">
        <v>765</v>
      </c>
      <c r="I839" s="5">
        <f>F776</f>
        <v>90</v>
      </c>
      <c r="J839" s="5"/>
      <c r="K839" s="4" t="str">
        <f>CONCATENATE(H839,I839,",00")</f>
        <v>K62/K62 Plus Nac c/aro = 90,00</v>
      </c>
      <c r="M839" s="4" t="str">
        <f>CONCATENATE(H839,I839+5,",00")</f>
        <v>K62/K62 Plus Nac c/aro = 95,00</v>
      </c>
      <c r="O839" s="4" t="str">
        <f>CONCATENATE(H839,I839-5,",00")</f>
        <v>K62/K62 Plus Nac c/aro = 85,00</v>
      </c>
      <c r="Q839" s="4" t="str">
        <f>CONCATENATE(H839,I839+10,",00")</f>
        <v>K62/K62 Plus Nac c/aro = 100,00</v>
      </c>
    </row>
    <row r="840" spans="1:17" ht="14.4" x14ac:dyDescent="0.3">
      <c r="A840" t="s">
        <v>2071</v>
      </c>
      <c r="B840">
        <f>I278</f>
        <v>140</v>
      </c>
      <c r="E840" s="97" t="s">
        <v>803</v>
      </c>
      <c r="F840" s="8">
        <v>190</v>
      </c>
      <c r="H840" s="4" t="s">
        <v>11800</v>
      </c>
      <c r="I840" s="5">
        <f>F777</f>
        <v>100</v>
      </c>
      <c r="J840" s="5"/>
      <c r="K840" s="4" t="str">
        <f>CONCATENATE(H840,I840,",00")</f>
        <v>K62/K62 Plus c/aro Nac Diamonds = 100,00</v>
      </c>
      <c r="M840" s="4" t="str">
        <f>CONCATENATE(H840,I840+5,",00")</f>
        <v>K62/K62 Plus c/aro Nac Diamonds = 105,00</v>
      </c>
      <c r="O840" s="4" t="str">
        <f>CONCATENATE(H840,I840-5,",00")</f>
        <v>K62/K62 Plus c/aro Nac Diamonds = 95,00</v>
      </c>
      <c r="Q840" s="4" t="str">
        <f>CONCATENATE(H840,I840+10,",00")</f>
        <v>K62/K62 Plus c/aro Nac Diamonds = 110,00</v>
      </c>
    </row>
    <row r="841" spans="1:17" ht="14.4" x14ac:dyDescent="0.3">
      <c r="A841" t="s">
        <v>3328</v>
      </c>
      <c r="B841">
        <f>I278</f>
        <v>140</v>
      </c>
      <c r="E841" s="97" t="s">
        <v>4453</v>
      </c>
      <c r="F841" s="8">
        <v>230</v>
      </c>
      <c r="I841" s="5"/>
      <c r="J841" s="5"/>
    </row>
    <row r="842" spans="1:17" ht="14.4" x14ac:dyDescent="0.3">
      <c r="A842" t="s">
        <v>2260</v>
      </c>
      <c r="B842">
        <f>I274</f>
        <v>70</v>
      </c>
      <c r="E842" s="85" t="s">
        <v>4454</v>
      </c>
      <c r="F842" s="8">
        <v>260</v>
      </c>
      <c r="H842" s="4" t="s">
        <v>766</v>
      </c>
      <c r="I842" s="5"/>
      <c r="J842" s="5"/>
      <c r="K842" s="4" t="s">
        <v>766</v>
      </c>
      <c r="M842" s="4" t="s">
        <v>766</v>
      </c>
      <c r="O842" s="4" t="s">
        <v>766</v>
      </c>
      <c r="Q842" s="4" t="s">
        <v>766</v>
      </c>
    </row>
    <row r="843" spans="1:17" ht="14.4" x14ac:dyDescent="0.3">
      <c r="A843" t="s">
        <v>2309</v>
      </c>
      <c r="B843">
        <f>I276</f>
        <v>85</v>
      </c>
      <c r="E843" s="85" t="s">
        <v>11819</v>
      </c>
      <c r="F843" s="8">
        <v>270</v>
      </c>
      <c r="H843" s="4" t="s">
        <v>767</v>
      </c>
      <c r="I843" s="5">
        <f t="shared" ref="I843:J872" si="836">F786</f>
        <v>60</v>
      </c>
      <c r="J843" s="5"/>
      <c r="K843" s="4" t="str">
        <f t="shared" ref="K843:K956" si="837">CONCATENATE(H843,I843,",00")</f>
        <v>Redmi Note 6 Pro= 60,00</v>
      </c>
      <c r="M843" s="4" t="str">
        <f t="shared" ref="M843:M956" si="838">CONCATENATE(H843,I843+5,",00")</f>
        <v>Redmi Note 6 Pro= 65,00</v>
      </c>
      <c r="O843" s="4" t="str">
        <f t="shared" ref="O843:O956" si="839">CONCATENATE(H843,I843-5,",00")</f>
        <v>Redmi Note 6 Pro= 55,00</v>
      </c>
      <c r="Q843" s="4" t="str">
        <f t="shared" ref="Q843:Q928" si="840">CONCATENATE(H843,I843+10,",00")</f>
        <v>Redmi Note 6 Pro= 70,00</v>
      </c>
    </row>
    <row r="844" spans="1:17" ht="14.4" x14ac:dyDescent="0.3">
      <c r="A844" t="s">
        <v>1904</v>
      </c>
      <c r="B844">
        <f>I280</f>
        <v>160</v>
      </c>
      <c r="E844" s="85" t="s">
        <v>807</v>
      </c>
      <c r="F844" s="8">
        <v>85</v>
      </c>
      <c r="H844" s="4" t="s">
        <v>768</v>
      </c>
      <c r="I844" s="5">
        <f t="shared" si="836"/>
        <v>60</v>
      </c>
      <c r="J844" s="5"/>
      <c r="K844" s="4" t="str">
        <f t="shared" si="837"/>
        <v>Redmi Note 7/Note 7 Pro= 60,00</v>
      </c>
      <c r="M844" s="4" t="str">
        <f t="shared" si="838"/>
        <v>Redmi Note 7/Note 7 Pro= 65,00</v>
      </c>
      <c r="O844" s="4" t="str">
        <f t="shared" si="839"/>
        <v>Redmi Note 7/Note 7 Pro= 55,00</v>
      </c>
      <c r="Q844" s="4" t="str">
        <f t="shared" si="840"/>
        <v>Redmi Note 7/Note 7 Pro= 70,00</v>
      </c>
    </row>
    <row r="845" spans="1:17" ht="14.4" x14ac:dyDescent="0.3">
      <c r="A845" t="s">
        <v>3332</v>
      </c>
      <c r="B845">
        <f>I280</f>
        <v>160</v>
      </c>
      <c r="E845" s="85" t="s">
        <v>809</v>
      </c>
      <c r="F845" s="8">
        <v>95</v>
      </c>
      <c r="H845" s="4" t="s">
        <v>769</v>
      </c>
      <c r="I845" s="5">
        <f t="shared" si="836"/>
        <v>80</v>
      </c>
      <c r="J845" s="5"/>
      <c r="K845" s="4" t="str">
        <f t="shared" si="837"/>
        <v>Redmi Note 7/7 Pro c/aro=80,00</v>
      </c>
      <c r="M845" s="4" t="str">
        <f t="shared" si="838"/>
        <v>Redmi Note 7/7 Pro c/aro=85,00</v>
      </c>
      <c r="O845" s="4" t="str">
        <f t="shared" si="839"/>
        <v>Redmi Note 7/7 Pro c/aro=75,00</v>
      </c>
      <c r="Q845" s="4" t="str">
        <f t="shared" si="840"/>
        <v>Redmi Note 7/7 Pro c/aro=90,00</v>
      </c>
    </row>
    <row r="846" spans="1:17" ht="14.4" x14ac:dyDescent="0.3">
      <c r="A846" t="s">
        <v>3333</v>
      </c>
      <c r="B846">
        <f>I280</f>
        <v>160</v>
      </c>
      <c r="E846" s="85" t="s">
        <v>13346</v>
      </c>
      <c r="F846" s="8">
        <v>170</v>
      </c>
      <c r="H846" s="4" t="s">
        <v>770</v>
      </c>
      <c r="I846" s="5">
        <f t="shared" si="836"/>
        <v>90</v>
      </c>
      <c r="J846" s="5"/>
      <c r="K846" s="4" t="str">
        <f t="shared" ref="K846" si="841">CONCATENATE(H846,I846,",00")</f>
        <v>Note 7/7 Pro c/aro Nac = R$ 90,00</v>
      </c>
      <c r="M846" s="4" t="str">
        <f t="shared" ref="M846" si="842">CONCATENATE(H846,I846+5,",00")</f>
        <v>Note 7/7 Pro c/aro Nac = R$ 95,00</v>
      </c>
      <c r="O846" s="4" t="str">
        <f t="shared" ref="O846" si="843">CONCATENATE(H846,I846-5,",00")</f>
        <v>Note 7/7 Pro c/aro Nac = R$ 85,00</v>
      </c>
      <c r="Q846" s="4" t="str">
        <f t="shared" ref="Q846" si="844">CONCATENATE(H846,I846+10,",00")</f>
        <v>Note 7/7 Pro c/aro Nac = R$ 100,00</v>
      </c>
    </row>
    <row r="847" spans="1:17" ht="14.4" x14ac:dyDescent="0.3">
      <c r="A847" t="s">
        <v>2073</v>
      </c>
      <c r="B847">
        <f>I278</f>
        <v>140</v>
      </c>
      <c r="E847" s="85" t="s">
        <v>812</v>
      </c>
      <c r="F847" s="8">
        <v>200</v>
      </c>
      <c r="H847" s="4" t="s">
        <v>11802</v>
      </c>
      <c r="I847" s="5">
        <f t="shared" si="836"/>
        <v>100</v>
      </c>
      <c r="J847" s="5"/>
      <c r="K847" s="4" t="str">
        <f t="shared" si="837"/>
        <v>Note 7/7 Pro c/aro Nac Diamonds = 100,00</v>
      </c>
      <c r="M847" s="4" t="str">
        <f t="shared" si="838"/>
        <v>Note 7/7 Pro c/aro Nac Diamonds = 105,00</v>
      </c>
      <c r="O847" s="4" t="str">
        <f t="shared" si="839"/>
        <v>Note 7/7 Pro c/aro Nac Diamonds = 95,00</v>
      </c>
      <c r="Q847" s="4" t="str">
        <f t="shared" si="840"/>
        <v>Note 7/7 Pro c/aro Nac Diamonds = 110,00</v>
      </c>
    </row>
    <row r="848" spans="1:17" ht="14.4" x14ac:dyDescent="0.3">
      <c r="A848" t="s">
        <v>3334</v>
      </c>
      <c r="B848">
        <f>I278</f>
        <v>140</v>
      </c>
      <c r="E848" s="85" t="s">
        <v>13120</v>
      </c>
      <c r="F848" s="8">
        <v>100</v>
      </c>
      <c r="H848" s="4" t="s">
        <v>771</v>
      </c>
      <c r="I848" s="5">
        <f t="shared" si="836"/>
        <v>60</v>
      </c>
      <c r="J848" s="5"/>
      <c r="K848" s="4" t="str">
        <f t="shared" si="837"/>
        <v>Redmi Note 8    = R$ 60,00</v>
      </c>
      <c r="M848" s="4" t="str">
        <f t="shared" si="838"/>
        <v>Redmi Note 8    = R$ 65,00</v>
      </c>
      <c r="O848" s="4" t="str">
        <f t="shared" si="839"/>
        <v>Redmi Note 8    = R$ 55,00</v>
      </c>
      <c r="Q848" s="4" t="str">
        <f t="shared" si="840"/>
        <v>Redmi Note 8    = R$ 70,00</v>
      </c>
    </row>
    <row r="849" spans="1:17" ht="14.4" x14ac:dyDescent="0.3">
      <c r="A849" t="s">
        <v>3335</v>
      </c>
      <c r="B849">
        <f>I278</f>
        <v>140</v>
      </c>
      <c r="E849" s="85" t="s">
        <v>815</v>
      </c>
      <c r="F849" s="8">
        <v>155</v>
      </c>
      <c r="H849" s="4" t="s">
        <v>772</v>
      </c>
      <c r="I849" s="5">
        <f t="shared" si="836"/>
        <v>80</v>
      </c>
      <c r="J849" s="5"/>
      <c r="K849" s="4" t="str">
        <f t="shared" si="837"/>
        <v>Redmi Note 8 c/aro      = R$ 80,00</v>
      </c>
      <c r="M849" s="4" t="str">
        <f t="shared" si="838"/>
        <v>Redmi Note 8 c/aro      = R$ 85,00</v>
      </c>
      <c r="O849" s="4" t="str">
        <f t="shared" si="839"/>
        <v>Redmi Note 8 c/aro      = R$ 75,00</v>
      </c>
      <c r="Q849" s="4" t="str">
        <f t="shared" si="840"/>
        <v>Redmi Note 8 c/aro      = R$ 90,00</v>
      </c>
    </row>
    <row r="850" spans="1:17" ht="14.4" x14ac:dyDescent="0.3">
      <c r="A850" t="s">
        <v>2310</v>
      </c>
      <c r="B850">
        <f>I291</f>
        <v>90</v>
      </c>
      <c r="E850" s="85" t="s">
        <v>13121</v>
      </c>
      <c r="F850" s="8">
        <v>220</v>
      </c>
      <c r="H850" s="4" t="s">
        <v>773</v>
      </c>
      <c r="I850" s="5">
        <f t="shared" si="836"/>
        <v>95</v>
      </c>
      <c r="J850" s="5"/>
      <c r="K850" s="4" t="str">
        <f t="shared" ref="K850" si="845">CONCATENATE(H850,I850,",00")</f>
        <v>Note 8 c/aro Nacional = R$ 95,00</v>
      </c>
      <c r="M850" s="4" t="str">
        <f t="shared" ref="M850" si="846">CONCATENATE(H850,I850+5,",00")</f>
        <v>Note 8 c/aro Nacional = R$ 100,00</v>
      </c>
      <c r="O850" s="4" t="str">
        <f t="shared" ref="O850" si="847">CONCATENATE(H850,I850-5,",00")</f>
        <v>Note 8 c/aro Nacional = R$ 90,00</v>
      </c>
      <c r="Q850" s="4" t="str">
        <f t="shared" ref="Q850" si="848">CONCATENATE(H850,I850+10,",00")</f>
        <v>Note 8 c/aro Nacional = R$ 105,00</v>
      </c>
    </row>
    <row r="851" spans="1:17" ht="14.4" x14ac:dyDescent="0.3">
      <c r="A851" t="s">
        <v>1905</v>
      </c>
      <c r="B851">
        <f>I292</f>
        <v>160</v>
      </c>
      <c r="E851" s="85" t="s">
        <v>817</v>
      </c>
      <c r="F851" s="8">
        <v>270</v>
      </c>
      <c r="H851" s="4" t="s">
        <v>11803</v>
      </c>
      <c r="I851" s="5">
        <f t="shared" si="836"/>
        <v>105</v>
      </c>
      <c r="J851" s="5"/>
      <c r="K851" s="4" t="str">
        <f t="shared" si="837"/>
        <v>Note 8 c/aro Nac Diamonds = 105,00</v>
      </c>
      <c r="M851" s="4" t="str">
        <f t="shared" si="838"/>
        <v>Note 8 c/aro Nac Diamonds = 110,00</v>
      </c>
      <c r="O851" s="4" t="str">
        <f t="shared" si="839"/>
        <v>Note 8 c/aro Nac Diamonds = 100,00</v>
      </c>
      <c r="Q851" s="4" t="str">
        <f t="shared" si="840"/>
        <v>Note 8 c/aro Nac Diamonds = 115,00</v>
      </c>
    </row>
    <row r="852" spans="1:17" ht="14.4" x14ac:dyDescent="0.3">
      <c r="A852" t="s">
        <v>3336</v>
      </c>
      <c r="B852">
        <f>I292</f>
        <v>160</v>
      </c>
      <c r="E852" s="85" t="s">
        <v>10685</v>
      </c>
      <c r="F852" s="17">
        <v>80</v>
      </c>
      <c r="H852" s="4" t="s">
        <v>774</v>
      </c>
      <c r="I852" s="5">
        <f t="shared" si="836"/>
        <v>70</v>
      </c>
      <c r="J852" s="5"/>
      <c r="K852" s="4" t="str">
        <f t="shared" si="837"/>
        <v>Redmi Note 8T = R$ 70,00</v>
      </c>
      <c r="M852" s="4" t="str">
        <f t="shared" si="838"/>
        <v>Redmi Note 8T = R$ 75,00</v>
      </c>
      <c r="O852" s="4" t="str">
        <f t="shared" si="839"/>
        <v>Redmi Note 8T = R$ 65,00</v>
      </c>
      <c r="Q852" s="4" t="str">
        <f t="shared" si="840"/>
        <v>Redmi Note 8T = R$ 80,00</v>
      </c>
    </row>
    <row r="853" spans="1:17" ht="14.4" x14ac:dyDescent="0.3">
      <c r="A853" t="s">
        <v>3337</v>
      </c>
      <c r="B853">
        <f>I292</f>
        <v>160</v>
      </c>
      <c r="E853" s="85" t="s">
        <v>12012</v>
      </c>
      <c r="F853" s="17">
        <v>220</v>
      </c>
      <c r="H853" s="4" t="s">
        <v>775</v>
      </c>
      <c r="I853" s="5">
        <f t="shared" si="836"/>
        <v>65</v>
      </c>
      <c r="J853" s="5"/>
      <c r="K853" s="4" t="str">
        <f t="shared" si="837"/>
        <v>Redmi Note 8 Pro         = R$ 65,00</v>
      </c>
      <c r="M853" s="4" t="str">
        <f t="shared" si="838"/>
        <v>Redmi Note 8 Pro         = R$ 70,00</v>
      </c>
      <c r="O853" s="4" t="str">
        <f t="shared" si="839"/>
        <v>Redmi Note 8 Pro         = R$ 60,00</v>
      </c>
      <c r="Q853" s="4" t="str">
        <f t="shared" si="840"/>
        <v>Redmi Note 8 Pro         = R$ 75,00</v>
      </c>
    </row>
    <row r="854" spans="1:17" ht="14.4" x14ac:dyDescent="0.3">
      <c r="A854" t="s">
        <v>12495</v>
      </c>
      <c r="B854">
        <f>I293</f>
        <v>190</v>
      </c>
      <c r="E854" s="85" t="s">
        <v>12013</v>
      </c>
      <c r="F854" s="17">
        <v>280</v>
      </c>
      <c r="H854" s="4" t="s">
        <v>10620</v>
      </c>
      <c r="I854" s="5">
        <f t="shared" si="836"/>
        <v>85</v>
      </c>
      <c r="J854" s="5"/>
      <c r="K854" s="4" t="str">
        <f t="shared" ref="K854:K855" si="849">CONCATENATE(H854,I854,",00")</f>
        <v>Redmi Note 8 Pro c/aro = R$ 85,00</v>
      </c>
      <c r="M854" s="4" t="str">
        <f t="shared" ref="M854:M855" si="850">CONCATENATE(H854,I854+5,",00")</f>
        <v>Redmi Note 8 Pro c/aro = R$ 90,00</v>
      </c>
      <c r="O854" s="4" t="str">
        <f t="shared" ref="O854:O855" si="851">CONCATENATE(H854,I854-5,",00")</f>
        <v>Redmi Note 8 Pro c/aro = R$ 80,00</v>
      </c>
      <c r="Q854" s="4" t="str">
        <f t="shared" ref="Q854:Q855" si="852">CONCATENATE(H854,I854+10,",00")</f>
        <v>Redmi Note 8 Pro c/aro = R$ 95,00</v>
      </c>
    </row>
    <row r="855" spans="1:17" ht="14.4" x14ac:dyDescent="0.3">
      <c r="A855" t="s">
        <v>12496</v>
      </c>
      <c r="B855">
        <f>I293</f>
        <v>190</v>
      </c>
      <c r="E855" s="85" t="s">
        <v>11086</v>
      </c>
      <c r="F855" s="17">
        <v>85</v>
      </c>
      <c r="H855" s="4" t="s">
        <v>776</v>
      </c>
      <c r="I855" s="5">
        <f t="shared" si="836"/>
        <v>105</v>
      </c>
      <c r="J855" s="5"/>
      <c r="K855" s="4" t="str">
        <f t="shared" si="849"/>
        <v>Note 8 Pro Nacional c/aro = 105,00</v>
      </c>
      <c r="M855" s="4" t="str">
        <f t="shared" si="850"/>
        <v>Note 8 Pro Nacional c/aro = 110,00</v>
      </c>
      <c r="O855" s="4" t="str">
        <f t="shared" si="851"/>
        <v>Note 8 Pro Nacional c/aro = 100,00</v>
      </c>
      <c r="Q855" s="4" t="str">
        <f t="shared" si="852"/>
        <v>Note 8 Pro Nacional c/aro = 115,00</v>
      </c>
    </row>
    <row r="856" spans="1:17" ht="14.4" x14ac:dyDescent="0.3">
      <c r="A856" t="s">
        <v>2311</v>
      </c>
      <c r="B856">
        <f>I295</f>
        <v>100</v>
      </c>
      <c r="E856" s="85" t="s">
        <v>11087</v>
      </c>
      <c r="F856" s="17">
        <v>200</v>
      </c>
      <c r="H856" s="4" t="s">
        <v>11804</v>
      </c>
      <c r="I856" s="5">
        <f t="shared" si="836"/>
        <v>115</v>
      </c>
      <c r="J856" s="5"/>
      <c r="K856" s="4" t="str">
        <f t="shared" si="837"/>
        <v>Note 8 Pro Nac Diamonds = 115,00</v>
      </c>
      <c r="M856" s="4" t="str">
        <f t="shared" si="838"/>
        <v>Note 8 Pro Nac Diamonds = 120,00</v>
      </c>
      <c r="O856" s="4" t="str">
        <f t="shared" si="839"/>
        <v>Note 8 Pro Nac Diamonds = 110,00</v>
      </c>
      <c r="Q856" s="4" t="str">
        <f t="shared" si="840"/>
        <v>Note 8 Pro Nac Diamonds = 125,00</v>
      </c>
    </row>
    <row r="857" spans="1:17" ht="14.4" x14ac:dyDescent="0.3">
      <c r="A857" t="s">
        <v>1906</v>
      </c>
      <c r="B857">
        <f>I297</f>
        <v>180</v>
      </c>
      <c r="E857" s="85" t="s">
        <v>13023</v>
      </c>
      <c r="F857" s="17">
        <v>220</v>
      </c>
      <c r="H857" s="4" t="s">
        <v>777</v>
      </c>
      <c r="I857" s="5">
        <f t="shared" si="836"/>
        <v>65</v>
      </c>
      <c r="J857" s="5"/>
      <c r="K857" s="4" t="str">
        <f t="shared" si="837"/>
        <v>Redmi Note 9   = R$ 65,00</v>
      </c>
      <c r="M857" s="4" t="str">
        <f t="shared" si="838"/>
        <v>Redmi Note 9   = R$ 70,00</v>
      </c>
      <c r="O857" s="4" t="str">
        <f t="shared" si="839"/>
        <v>Redmi Note 9   = R$ 60,00</v>
      </c>
      <c r="Q857" s="4" t="str">
        <f t="shared" si="840"/>
        <v>Redmi Note 9   = R$ 75,00</v>
      </c>
    </row>
    <row r="858" spans="1:17" ht="14.4" x14ac:dyDescent="0.3">
      <c r="A858" t="s">
        <v>3338</v>
      </c>
      <c r="B858">
        <f>I297</f>
        <v>180</v>
      </c>
      <c r="E858" s="85" t="s">
        <v>12543</v>
      </c>
      <c r="F858" s="17">
        <v>100</v>
      </c>
      <c r="H858" s="4" t="s">
        <v>778</v>
      </c>
      <c r="I858" s="5">
        <f t="shared" si="836"/>
        <v>80</v>
      </c>
      <c r="J858" s="5"/>
      <c r="K858" s="4" t="str">
        <f t="shared" si="837"/>
        <v>Redmi Note 9 c/aro     = R$ 80,00</v>
      </c>
      <c r="M858" s="4" t="str">
        <f t="shared" si="838"/>
        <v>Redmi Note 9 c/aro     = R$ 85,00</v>
      </c>
      <c r="O858" s="4" t="str">
        <f t="shared" si="839"/>
        <v>Redmi Note 9 c/aro     = R$ 75,00</v>
      </c>
      <c r="Q858" s="4" t="str">
        <f t="shared" si="840"/>
        <v>Redmi Note 9 c/aro     = R$ 90,00</v>
      </c>
    </row>
    <row r="859" spans="1:17" ht="14.4" x14ac:dyDescent="0.3">
      <c r="A859" t="s">
        <v>3339</v>
      </c>
      <c r="B859">
        <f>I297</f>
        <v>180</v>
      </c>
      <c r="E859" s="85" t="s">
        <v>12544</v>
      </c>
      <c r="F859" s="17">
        <v>220</v>
      </c>
      <c r="H859" s="4" t="s">
        <v>779</v>
      </c>
      <c r="I859" s="5">
        <f t="shared" si="836"/>
        <v>90</v>
      </c>
      <c r="J859" s="5"/>
      <c r="K859" s="4" t="str">
        <f t="shared" ref="K859" si="853">CONCATENATE(H859,I859,",00")</f>
        <v>Note 9 c/aro Nacional = R$ 90,00</v>
      </c>
      <c r="M859" s="4" t="str">
        <f t="shared" ref="M859" si="854">CONCATENATE(H859,I859+5,",00")</f>
        <v>Note 9 c/aro Nacional = R$ 95,00</v>
      </c>
      <c r="O859" s="4" t="str">
        <f t="shared" ref="O859" si="855">CONCATENATE(H859,I859-5,",00")</f>
        <v>Note 9 c/aro Nacional = R$ 85,00</v>
      </c>
      <c r="Q859" s="4" t="str">
        <f t="shared" ref="Q859" si="856">CONCATENATE(H859,I859+10,",00")</f>
        <v>Note 9 c/aro Nacional = R$ 100,00</v>
      </c>
    </row>
    <row r="860" spans="1:17" ht="14.4" x14ac:dyDescent="0.3">
      <c r="A860" t="s">
        <v>2361</v>
      </c>
      <c r="B860">
        <f>I298</f>
        <v>290</v>
      </c>
      <c r="E860" s="85" t="s">
        <v>13065</v>
      </c>
      <c r="F860" s="17">
        <v>120</v>
      </c>
      <c r="H860" s="4" t="s">
        <v>11805</v>
      </c>
      <c r="I860" s="5">
        <f t="shared" si="836"/>
        <v>100</v>
      </c>
      <c r="J860" s="5"/>
      <c r="K860" s="4" t="str">
        <f t="shared" si="837"/>
        <v>Note 9 c/aro Nac Diamonds = 100,00</v>
      </c>
      <c r="M860" s="4" t="str">
        <f t="shared" si="838"/>
        <v>Note 9 c/aro Nac Diamonds = 105,00</v>
      </c>
      <c r="O860" s="4" t="str">
        <f t="shared" si="839"/>
        <v>Note 9 c/aro Nac Diamonds = 95,00</v>
      </c>
      <c r="Q860" s="4" t="str">
        <f t="shared" si="840"/>
        <v>Note 9 c/aro Nac Diamonds = 110,00</v>
      </c>
    </row>
    <row r="861" spans="1:17" ht="14.4" x14ac:dyDescent="0.3">
      <c r="A861" t="s">
        <v>2522</v>
      </c>
      <c r="B861">
        <f>I298</f>
        <v>290</v>
      </c>
      <c r="E861" s="85" t="s">
        <v>13347</v>
      </c>
      <c r="F861" s="17">
        <v>170</v>
      </c>
      <c r="H861" s="4" t="s">
        <v>780</v>
      </c>
      <c r="I861" s="5">
        <f t="shared" si="836"/>
        <v>65</v>
      </c>
      <c r="J861" s="5"/>
      <c r="K861" s="4" t="str">
        <f t="shared" si="837"/>
        <v>Redmi Note 9 Pro/9s    = R$ 65,00</v>
      </c>
      <c r="M861" s="4" t="str">
        <f t="shared" si="838"/>
        <v>Redmi Note 9 Pro/9s    = R$ 70,00</v>
      </c>
      <c r="O861" s="4" t="str">
        <f t="shared" si="839"/>
        <v>Redmi Note 9 Pro/9s    = R$ 60,00</v>
      </c>
      <c r="Q861" s="4" t="str">
        <f t="shared" si="840"/>
        <v>Redmi Note 9 Pro/9s    = R$ 75,00</v>
      </c>
    </row>
    <row r="862" spans="1:17" ht="14.4" x14ac:dyDescent="0.3">
      <c r="A862" t="s">
        <v>11873</v>
      </c>
      <c r="B862">
        <f>I299</f>
        <v>295</v>
      </c>
      <c r="E862" s="85" t="s">
        <v>13047</v>
      </c>
      <c r="F862" s="17">
        <v>270</v>
      </c>
      <c r="H862" s="4" t="s">
        <v>781</v>
      </c>
      <c r="I862" s="5">
        <f t="shared" si="836"/>
        <v>90</v>
      </c>
      <c r="J862" s="5"/>
      <c r="K862" s="4" t="str">
        <f t="shared" si="837"/>
        <v>Note 9 Pro/9s c/aro = R$ 90,00</v>
      </c>
      <c r="M862" s="4" t="str">
        <f t="shared" si="838"/>
        <v>Note 9 Pro/9s c/aro = R$ 95,00</v>
      </c>
      <c r="O862" s="4" t="str">
        <f t="shared" si="839"/>
        <v>Note 9 Pro/9s c/aro = R$ 85,00</v>
      </c>
      <c r="Q862" s="4" t="str">
        <f t="shared" si="840"/>
        <v>Note 9 Pro/9s c/aro = R$ 100,00</v>
      </c>
    </row>
    <row r="863" spans="1:17" ht="14.4" x14ac:dyDescent="0.3">
      <c r="A863" t="s">
        <v>11874</v>
      </c>
      <c r="B863">
        <f>I299</f>
        <v>295</v>
      </c>
      <c r="E863" s="85" t="s">
        <v>820</v>
      </c>
      <c r="F863" s="8">
        <v>55</v>
      </c>
      <c r="H863" s="4" t="s">
        <v>782</v>
      </c>
      <c r="I863" s="5">
        <f t="shared" si="836"/>
        <v>100</v>
      </c>
      <c r="J863" s="5"/>
      <c r="K863" s="4" t="str">
        <f t="shared" ref="K863" si="857">CONCATENATE(H863,I863,",00")</f>
        <v>Note 9 Pro/9s c/aro Nac=R$100,00</v>
      </c>
      <c r="M863" s="4" t="str">
        <f t="shared" ref="M863" si="858">CONCATENATE(H863,I863+5,",00")</f>
        <v>Note 9 Pro/9s c/aro Nac=R$105,00</v>
      </c>
      <c r="O863" s="4" t="str">
        <f t="shared" ref="O863" si="859">CONCATENATE(H863,I863-5,",00")</f>
        <v>Note 9 Pro/9s c/aro Nac=R$95,00</v>
      </c>
      <c r="Q863" s="4" t="str">
        <f t="shared" ref="Q863" si="860">CONCATENATE(H863,I863+10,",00")</f>
        <v>Note 9 Pro/9s c/aro Nac=R$110,00</v>
      </c>
    </row>
    <row r="864" spans="1:17" ht="14.4" x14ac:dyDescent="0.3">
      <c r="A864" t="s">
        <v>2261</v>
      </c>
      <c r="B864">
        <f>I294</f>
        <v>75</v>
      </c>
      <c r="E864" s="85" t="s">
        <v>822</v>
      </c>
      <c r="F864" s="8">
        <v>65</v>
      </c>
      <c r="H864" s="4" t="s">
        <v>11806</v>
      </c>
      <c r="I864" s="5">
        <f t="shared" si="836"/>
        <v>110</v>
      </c>
      <c r="J864" s="5"/>
      <c r="K864" s="4" t="str">
        <f t="shared" si="837"/>
        <v>Note 9 Pro/9s c/aro Nac Diamonds = 110,00</v>
      </c>
      <c r="M864" s="4" t="str">
        <f t="shared" si="838"/>
        <v>Note 9 Pro/9s c/aro Nac Diamonds = 115,00</v>
      </c>
      <c r="O864" s="4" t="str">
        <f t="shared" si="839"/>
        <v>Note 9 Pro/9s c/aro Nac Diamonds = 105,00</v>
      </c>
      <c r="Q864" s="4" t="str">
        <f t="shared" si="840"/>
        <v>Note 9 Pro/9s c/aro Nac Diamonds = 120,00</v>
      </c>
    </row>
    <row r="865" spans="1:17" ht="14.4" x14ac:dyDescent="0.3">
      <c r="A865" t="s">
        <v>10999</v>
      </c>
      <c r="B865">
        <f>I294</f>
        <v>75</v>
      </c>
      <c r="E865" s="85" t="s">
        <v>824</v>
      </c>
      <c r="F865" s="8">
        <v>65</v>
      </c>
      <c r="H865" s="4" t="s">
        <v>783</v>
      </c>
      <c r="I865" s="5">
        <f t="shared" si="836"/>
        <v>65</v>
      </c>
      <c r="J865" s="5"/>
      <c r="K865" s="4" t="str">
        <f t="shared" si="837"/>
        <v>Redmi Note 10 4G/10s-inc= 65,00</v>
      </c>
      <c r="M865" s="4" t="str">
        <f t="shared" si="838"/>
        <v>Redmi Note 10 4G/10s-inc= 70,00</v>
      </c>
      <c r="O865" s="4" t="str">
        <f t="shared" si="839"/>
        <v>Redmi Note 10 4G/10s-inc= 60,00</v>
      </c>
      <c r="Q865" s="4" t="str">
        <f t="shared" si="840"/>
        <v>Redmi Note 10 4G/10s-inc= 75,00</v>
      </c>
    </row>
    <row r="866" spans="1:17" ht="14.4" x14ac:dyDescent="0.3">
      <c r="A866" t="s">
        <v>11000</v>
      </c>
      <c r="B866">
        <f>I296</f>
        <v>160</v>
      </c>
      <c r="E866" s="85" t="s">
        <v>826</v>
      </c>
      <c r="F866" s="8">
        <v>65</v>
      </c>
      <c r="H866" s="4" t="s">
        <v>784</v>
      </c>
      <c r="I866" s="5">
        <f t="shared" si="836"/>
        <v>80</v>
      </c>
      <c r="J866" s="5"/>
      <c r="K866" s="4" t="str">
        <f t="shared" si="837"/>
        <v>Note 10 4G/10s-inc c/aro = 80,00</v>
      </c>
      <c r="M866" s="4" t="str">
        <f t="shared" si="838"/>
        <v>Note 10 4G/10s-inc c/aro = 85,00</v>
      </c>
      <c r="O866" s="4" t="str">
        <f t="shared" si="839"/>
        <v>Note 10 4G/10s-inc c/aro = 75,00</v>
      </c>
      <c r="Q866" s="4" t="str">
        <f t="shared" si="840"/>
        <v>Note 10 4G/10s-inc c/aro = 90,00</v>
      </c>
    </row>
    <row r="867" spans="1:17" ht="14.4" x14ac:dyDescent="0.3">
      <c r="A867" t="s">
        <v>11001</v>
      </c>
      <c r="B867">
        <f>I296</f>
        <v>160</v>
      </c>
      <c r="E867" s="85" t="s">
        <v>828</v>
      </c>
      <c r="F867" s="8">
        <v>80</v>
      </c>
      <c r="H867" s="4" t="s">
        <v>785</v>
      </c>
      <c r="I867" s="5">
        <f t="shared" si="836"/>
        <v>150</v>
      </c>
      <c r="J867" s="5"/>
      <c r="K867" s="4" t="str">
        <f t="shared" si="837"/>
        <v>Redmi Note 10 4G/10s-ori= 150,00</v>
      </c>
      <c r="M867" s="4" t="str">
        <f t="shared" si="838"/>
        <v>Redmi Note 10 4G/10s-ori= 155,00</v>
      </c>
      <c r="O867" s="4" t="str">
        <f t="shared" si="839"/>
        <v>Redmi Note 10 4G/10s-ori= 145,00</v>
      </c>
      <c r="Q867" s="4" t="str">
        <f t="shared" si="840"/>
        <v>Redmi Note 10 4G/10s-ori= 160,00</v>
      </c>
    </row>
    <row r="868" spans="1:17" ht="14.4" x14ac:dyDescent="0.3">
      <c r="A868" t="s">
        <v>11002</v>
      </c>
      <c r="B868">
        <f>I296</f>
        <v>160</v>
      </c>
      <c r="E868" s="85" t="s">
        <v>10542</v>
      </c>
      <c r="F868" s="17">
        <v>90</v>
      </c>
      <c r="H868" s="4" t="s">
        <v>786</v>
      </c>
      <c r="I868" s="5">
        <f t="shared" si="836"/>
        <v>180</v>
      </c>
      <c r="J868" s="5"/>
      <c r="K868" s="4" t="str">
        <f t="shared" si="837"/>
        <v>Note 10 4G/10s-orig c/aro = 180,00</v>
      </c>
      <c r="M868" s="4" t="str">
        <f t="shared" si="838"/>
        <v>Note 10 4G/10s-orig c/aro = 185,00</v>
      </c>
      <c r="O868" s="4" t="str">
        <f t="shared" si="839"/>
        <v>Note 10 4G/10s-orig c/aro = 175,00</v>
      </c>
      <c r="Q868" s="4" t="str">
        <f t="shared" si="840"/>
        <v>Note 10 4G/10s-orig c/aro = 190,00</v>
      </c>
    </row>
    <row r="869" spans="1:17" ht="14.4" x14ac:dyDescent="0.3">
      <c r="A869" t="s">
        <v>11003</v>
      </c>
      <c r="B869">
        <f>I296</f>
        <v>160</v>
      </c>
      <c r="E869" s="85" t="s">
        <v>11823</v>
      </c>
      <c r="F869" s="17">
        <v>100</v>
      </c>
      <c r="H869" s="4" t="s">
        <v>787</v>
      </c>
      <c r="I869" s="5">
        <f t="shared" si="836"/>
        <v>85</v>
      </c>
      <c r="J869" s="5"/>
      <c r="K869" s="4" t="str">
        <f t="shared" si="837"/>
        <v>Redmi Note 10 5G          = R$ 85,00</v>
      </c>
      <c r="M869" s="4" t="str">
        <f t="shared" si="838"/>
        <v>Redmi Note 10 5G          = R$ 90,00</v>
      </c>
      <c r="O869" s="4" t="str">
        <f t="shared" si="839"/>
        <v>Redmi Note 10 5G          = R$ 80,00</v>
      </c>
      <c r="Q869" s="4" t="str">
        <f t="shared" si="840"/>
        <v>Redmi Note 10 5G          = R$ 95,00</v>
      </c>
    </row>
    <row r="870" spans="1:17" ht="14.4" x14ac:dyDescent="0.3">
      <c r="A870" t="s">
        <v>2074</v>
      </c>
      <c r="B870">
        <f>I301</f>
        <v>160</v>
      </c>
      <c r="E870" s="85" t="s">
        <v>12272</v>
      </c>
      <c r="F870" s="8">
        <v>60</v>
      </c>
      <c r="H870" s="4" t="s">
        <v>789</v>
      </c>
      <c r="I870" s="5">
        <f t="shared" si="836"/>
        <v>80</v>
      </c>
      <c r="J870" s="5"/>
      <c r="K870" s="4" t="str">
        <f t="shared" si="837"/>
        <v>Note 10 Pro/10 Pro Max inc=80,00</v>
      </c>
      <c r="M870" s="4" t="str">
        <f t="shared" si="838"/>
        <v>Note 10 Pro/10 Pro Max inc=85,00</v>
      </c>
      <c r="O870" s="4" t="str">
        <f t="shared" si="839"/>
        <v>Note 10 Pro/10 Pro Max inc=75,00</v>
      </c>
      <c r="Q870" s="4" t="str">
        <f t="shared" si="840"/>
        <v>Note 10 Pro/10 Pro Max inc=90,00</v>
      </c>
    </row>
    <row r="871" spans="1:17" ht="14.4" x14ac:dyDescent="0.3">
      <c r="A871" t="s">
        <v>3340</v>
      </c>
      <c r="B871">
        <f>I303</f>
        <v>270</v>
      </c>
      <c r="E871" s="85" t="s">
        <v>831</v>
      </c>
      <c r="F871" s="8">
        <v>75</v>
      </c>
      <c r="H871" s="4" t="s">
        <v>791</v>
      </c>
      <c r="I871" s="5">
        <f t="shared" si="836"/>
        <v>200</v>
      </c>
      <c r="J871" s="5"/>
      <c r="K871" s="4" t="str">
        <f t="shared" si="837"/>
        <v>Note 10 Pro/10 Pro Max ori=200,00</v>
      </c>
      <c r="M871" s="4" t="str">
        <f t="shared" si="838"/>
        <v>Note 10 Pro/10 Pro Max ori=205,00</v>
      </c>
      <c r="O871" s="4" t="str">
        <f t="shared" si="839"/>
        <v>Note 10 Pro/10 Pro Max ori=195,00</v>
      </c>
      <c r="Q871" s="4" t="str">
        <f t="shared" si="840"/>
        <v>Note 10 Pro/10 Pro Max ori=210,00</v>
      </c>
    </row>
    <row r="872" spans="1:17" ht="14.4" x14ac:dyDescent="0.3">
      <c r="A872" t="s">
        <v>3341</v>
      </c>
      <c r="B872">
        <f>I303</f>
        <v>270</v>
      </c>
      <c r="E872" s="85" t="s">
        <v>11827</v>
      </c>
      <c r="F872" s="8">
        <v>85</v>
      </c>
      <c r="H872" s="4" t="s">
        <v>10919</v>
      </c>
      <c r="I872" s="5">
        <f t="shared" si="836"/>
        <v>95</v>
      </c>
      <c r="J872" s="5"/>
      <c r="K872" s="4" t="str">
        <f t="shared" ref="K872:K873" si="861">CONCATENATE(H872,I872,",00")</f>
        <v>Note 10 Pro - incell c/aro= R$ 95,00</v>
      </c>
      <c r="M872" s="4" t="str">
        <f t="shared" ref="M872:M873" si="862">CONCATENATE(H872,I872+5,",00")</f>
        <v>Note 10 Pro - incell c/aro= R$ 100,00</v>
      </c>
      <c r="O872" s="4" t="str">
        <f t="shared" ref="O872:O873" si="863">CONCATENATE(H872,I872-5,",00")</f>
        <v>Note 10 Pro - incell c/aro= R$ 90,00</v>
      </c>
      <c r="Q872" s="4" t="str">
        <f t="shared" ref="Q872:Q873" si="864">CONCATENATE(H872,I872+10,",00")</f>
        <v>Note 10 Pro - incell c/aro= R$ 105,00</v>
      </c>
    </row>
    <row r="873" spans="1:17" ht="14.4" x14ac:dyDescent="0.3">
      <c r="A873" t="s">
        <v>3342</v>
      </c>
      <c r="B873">
        <f>I303</f>
        <v>270</v>
      </c>
      <c r="E873" s="85" t="s">
        <v>11826</v>
      </c>
      <c r="F873" s="8">
        <v>95</v>
      </c>
      <c r="H873" s="4" t="s">
        <v>10918</v>
      </c>
      <c r="I873" s="5">
        <f>F815</f>
        <v>95</v>
      </c>
      <c r="J873" s="5"/>
      <c r="K873" s="4" t="str">
        <f t="shared" si="861"/>
        <v>Note 10 Pro Max incell c/aro=95,00</v>
      </c>
      <c r="M873" s="4" t="str">
        <f t="shared" si="862"/>
        <v>Note 10 Pro Max incell c/aro=100,00</v>
      </c>
      <c r="O873" s="4" t="str">
        <f t="shared" si="863"/>
        <v>Note 10 Pro Max incell c/aro=90,00</v>
      </c>
      <c r="Q873" s="4" t="str">
        <f t="shared" si="864"/>
        <v>Note 10 Pro Max incell c/aro=105,00</v>
      </c>
    </row>
    <row r="874" spans="1:17" ht="14.4" x14ac:dyDescent="0.3">
      <c r="A874" t="s">
        <v>3343</v>
      </c>
      <c r="B874">
        <f>I303</f>
        <v>270</v>
      </c>
      <c r="E874" s="85" t="s">
        <v>834</v>
      </c>
      <c r="F874" s="8">
        <v>65</v>
      </c>
      <c r="H874" s="4" t="s">
        <v>10920</v>
      </c>
      <c r="I874" s="5">
        <f>F816</f>
        <v>220</v>
      </c>
      <c r="J874" s="5"/>
      <c r="K874" s="4" t="str">
        <f t="shared" si="837"/>
        <v>Note 10 Pro - orig c/aro= R$ 220,00</v>
      </c>
      <c r="M874" s="4" t="str">
        <f t="shared" si="838"/>
        <v>Note 10 Pro - orig c/aro= R$ 225,00</v>
      </c>
      <c r="O874" s="4" t="str">
        <f t="shared" si="839"/>
        <v>Note 10 Pro - orig c/aro= R$ 215,00</v>
      </c>
      <c r="Q874" s="4" t="str">
        <f t="shared" si="840"/>
        <v>Note 10 Pro - orig c/aro= R$ 230,00</v>
      </c>
    </row>
    <row r="875" spans="1:17" ht="14.4" x14ac:dyDescent="0.3">
      <c r="A875" t="s">
        <v>3344</v>
      </c>
      <c r="B875">
        <f>I302</f>
        <v>200</v>
      </c>
      <c r="E875" s="85" t="s">
        <v>836</v>
      </c>
      <c r="F875" s="8">
        <v>80</v>
      </c>
      <c r="H875" s="4" t="s">
        <v>793</v>
      </c>
      <c r="I875" s="5">
        <f>F816</f>
        <v>220</v>
      </c>
      <c r="J875" s="5"/>
      <c r="K875" s="4" t="str">
        <f t="shared" si="837"/>
        <v>Note 10 Pro Max orig c/aro=220,00</v>
      </c>
      <c r="M875" s="4" t="str">
        <f t="shared" si="838"/>
        <v>Note 10 Pro Max orig c/aro=225,00</v>
      </c>
      <c r="O875" s="4" t="str">
        <f t="shared" si="839"/>
        <v>Note 10 Pro Max orig c/aro=215,00</v>
      </c>
      <c r="Q875" s="4" t="str">
        <f t="shared" si="840"/>
        <v>Note 10 Pro Max orig c/aro=230,00</v>
      </c>
    </row>
    <row r="876" spans="1:17" ht="14.4" x14ac:dyDescent="0.3">
      <c r="A876" t="s">
        <v>3345</v>
      </c>
      <c r="B876">
        <f>I302</f>
        <v>200</v>
      </c>
      <c r="E876" s="85" t="s">
        <v>12138</v>
      </c>
      <c r="F876" s="17">
        <v>90</v>
      </c>
      <c r="H876" s="4" t="s">
        <v>794</v>
      </c>
      <c r="I876" s="5">
        <f>F952</f>
        <v>90</v>
      </c>
      <c r="J876" s="5"/>
      <c r="K876" s="4" t="str">
        <f t="shared" si="837"/>
        <v>Note 10 Pro 5G (Flex Reto)= 90,00</v>
      </c>
      <c r="M876" s="4" t="str">
        <f t="shared" si="838"/>
        <v>Note 10 Pro 5G (Flex Reto)= 95,00</v>
      </c>
      <c r="O876" s="4" t="str">
        <f t="shared" si="839"/>
        <v>Note 10 Pro 5G (Flex Reto)= 85,00</v>
      </c>
      <c r="Q876" s="4" t="str">
        <f t="shared" si="840"/>
        <v>Note 10 Pro 5G (Flex Reto)= 100,00</v>
      </c>
    </row>
    <row r="877" spans="1:17" ht="14.4" x14ac:dyDescent="0.3">
      <c r="A877" t="s">
        <v>3346</v>
      </c>
      <c r="B877">
        <f>I302</f>
        <v>200</v>
      </c>
      <c r="E877" s="85" t="s">
        <v>12139</v>
      </c>
      <c r="F877" s="17">
        <v>100</v>
      </c>
      <c r="H877" s="4" t="s">
        <v>795</v>
      </c>
      <c r="I877" s="5">
        <f>F813</f>
        <v>80</v>
      </c>
      <c r="J877" s="5"/>
      <c r="K877" s="4" t="str">
        <f t="shared" si="837"/>
        <v>Note 11 Pro - incell = R$ 80,00</v>
      </c>
      <c r="M877" s="4" t="str">
        <f t="shared" si="838"/>
        <v>Note 11 Pro - incell = R$ 85,00</v>
      </c>
      <c r="O877" s="4" t="str">
        <f t="shared" si="839"/>
        <v>Note 11 Pro - incell = R$ 75,00</v>
      </c>
      <c r="Q877" s="4" t="str">
        <f t="shared" si="840"/>
        <v>Note 11 Pro - incell = R$ 90,00</v>
      </c>
    </row>
    <row r="878" spans="1:17" ht="14.4" x14ac:dyDescent="0.3">
      <c r="A878" t="s">
        <v>3347</v>
      </c>
      <c r="B878">
        <f>I302</f>
        <v>200</v>
      </c>
      <c r="E878" s="85" t="s">
        <v>838</v>
      </c>
      <c r="F878" s="8">
        <v>80</v>
      </c>
      <c r="H878" s="4" t="s">
        <v>796</v>
      </c>
      <c r="I878" s="5">
        <f>F814</f>
        <v>200</v>
      </c>
      <c r="J878" s="5"/>
      <c r="K878" s="4" t="str">
        <f t="shared" si="837"/>
        <v>Note 11 Pro - original = R$ 200,00</v>
      </c>
      <c r="M878" s="4" t="str">
        <f t="shared" si="838"/>
        <v>Note 11 Pro - original = R$ 205,00</v>
      </c>
      <c r="O878" s="4" t="str">
        <f t="shared" si="839"/>
        <v>Note 11 Pro - original = R$ 195,00</v>
      </c>
      <c r="Q878" s="4" t="str">
        <f t="shared" si="840"/>
        <v>Note 11 Pro - original = R$ 210,00</v>
      </c>
    </row>
    <row r="879" spans="1:17" ht="14.4" x14ac:dyDescent="0.3">
      <c r="A879" t="s">
        <v>11171</v>
      </c>
      <c r="B879">
        <f>I300</f>
        <v>80</v>
      </c>
      <c r="E879" s="85" t="s">
        <v>840</v>
      </c>
      <c r="F879" s="8">
        <v>90</v>
      </c>
      <c r="H879" s="4" t="s">
        <v>10922</v>
      </c>
      <c r="I879" s="5">
        <f>F822</f>
        <v>120</v>
      </c>
      <c r="J879" s="5"/>
      <c r="K879" s="4" t="str">
        <f t="shared" ref="K879" si="865">CONCATENATE(H879,I879,",00")</f>
        <v>Note 11 Pro - incell c/aro=R$ 120,00</v>
      </c>
      <c r="M879" s="4" t="str">
        <f t="shared" ref="M879" si="866">CONCATENATE(H879,I879+5,",00")</f>
        <v>Note 11 Pro - incell c/aro=R$ 125,00</v>
      </c>
      <c r="O879" s="4" t="str">
        <f t="shared" ref="O879" si="867">CONCATENATE(H879,I879-5,",00")</f>
        <v>Note 11 Pro - incell c/aro=R$ 115,00</v>
      </c>
      <c r="Q879" s="4" t="str">
        <f t="shared" ref="Q879" si="868">CONCATENATE(H879,I879+10,",00")</f>
        <v>Note 11 Pro - incell c/aro=R$ 130,00</v>
      </c>
    </row>
    <row r="880" spans="1:17" ht="14.4" x14ac:dyDescent="0.3">
      <c r="A880" t="s">
        <v>11172</v>
      </c>
      <c r="B880">
        <f>I300</f>
        <v>80</v>
      </c>
      <c r="E880" s="85" t="s">
        <v>842</v>
      </c>
      <c r="F880" s="8">
        <v>100</v>
      </c>
      <c r="H880" s="4" t="s">
        <v>10921</v>
      </c>
      <c r="I880" s="5">
        <f>F823</f>
        <v>220</v>
      </c>
      <c r="J880" s="5"/>
      <c r="K880" s="4" t="str">
        <f t="shared" si="837"/>
        <v>Note 11 Pro - orig c/aro= R$ 220,00</v>
      </c>
      <c r="M880" s="4" t="str">
        <f t="shared" si="838"/>
        <v>Note 11 Pro - orig c/aro= R$ 225,00</v>
      </c>
      <c r="O880" s="4" t="str">
        <f t="shared" si="839"/>
        <v>Note 11 Pro - orig c/aro= R$ 215,00</v>
      </c>
      <c r="Q880" s="4" t="str">
        <f t="shared" si="840"/>
        <v>Note 11 Pro - orig c/aro= R$ 230,00</v>
      </c>
    </row>
    <row r="881" spans="1:17" ht="14.4" x14ac:dyDescent="0.3">
      <c r="A881" t="s">
        <v>3348</v>
      </c>
      <c r="B881">
        <f>I301</f>
        <v>160</v>
      </c>
      <c r="E881" s="85" t="s">
        <v>11829</v>
      </c>
      <c r="F881" s="8">
        <v>110</v>
      </c>
      <c r="H881" s="4" t="s">
        <v>11810</v>
      </c>
      <c r="I881" s="5">
        <f>F824</f>
        <v>260</v>
      </c>
      <c r="J881" s="5"/>
      <c r="K881" s="4" t="str">
        <f t="shared" si="837"/>
        <v>Note 11 Pro c/aro Nacional  = 260,00</v>
      </c>
      <c r="M881" s="4" t="str">
        <f t="shared" si="838"/>
        <v>Note 11 Pro c/aro Nacional  = 265,00</v>
      </c>
      <c r="O881" s="4" t="str">
        <f t="shared" si="839"/>
        <v>Note 11 Pro c/aro Nacional  = 255,00</v>
      </c>
      <c r="Q881" s="4" t="str">
        <f t="shared" si="840"/>
        <v>Note 11 Pro c/aro Nacional  = 270,00</v>
      </c>
    </row>
    <row r="882" spans="1:17" ht="14.4" x14ac:dyDescent="0.3">
      <c r="A882" t="s">
        <v>3349</v>
      </c>
      <c r="B882">
        <f>I301</f>
        <v>160</v>
      </c>
      <c r="E882" s="85" t="s">
        <v>844</v>
      </c>
      <c r="F882" s="8">
        <v>80</v>
      </c>
      <c r="H882" s="4" t="s">
        <v>11809</v>
      </c>
      <c r="I882" s="5">
        <f>F825</f>
        <v>265</v>
      </c>
      <c r="J882" s="5"/>
      <c r="K882" s="4" t="str">
        <f t="shared" ref="K882" si="869">CONCATENATE(H882,I882,",00")</f>
        <v>Note 11 Pro c/aro Nac Diamonds = 265,00</v>
      </c>
      <c r="M882" s="4" t="str">
        <f t="shared" ref="M882" si="870">CONCATENATE(H882,I882+5,",00")</f>
        <v>Note 11 Pro c/aro Nac Diamonds = 270,00</v>
      </c>
      <c r="O882" s="4" t="str">
        <f t="shared" ref="O882" si="871">CONCATENATE(H882,I882-5,",00")</f>
        <v>Note 11 Pro c/aro Nac Diamonds = 260,00</v>
      </c>
      <c r="Q882" s="4" t="str">
        <f t="shared" ref="Q882" si="872">CONCATENATE(H882,I882+10,",00")</f>
        <v>Note 11 Pro c/aro Nac Diamonds = 275,00</v>
      </c>
    </row>
    <row r="883" spans="1:17" ht="14.4" x14ac:dyDescent="0.3">
      <c r="A883" t="s">
        <v>2312</v>
      </c>
      <c r="B883">
        <f>I305</f>
        <v>80</v>
      </c>
      <c r="E883" s="85" t="s">
        <v>10613</v>
      </c>
      <c r="F883" s="17">
        <v>90</v>
      </c>
      <c r="H883" s="4" t="s">
        <v>799</v>
      </c>
      <c r="I883" s="5">
        <f>F817</f>
        <v>65</v>
      </c>
      <c r="J883" s="5"/>
      <c r="K883" s="4" t="str">
        <f t="shared" si="837"/>
        <v>Redmi Note 11 4G/11s-inc=65,00</v>
      </c>
      <c r="M883" s="4" t="str">
        <f t="shared" si="838"/>
        <v>Redmi Note 11 4G/11s-inc=70,00</v>
      </c>
      <c r="O883" s="4" t="str">
        <f t="shared" si="839"/>
        <v>Redmi Note 11 4G/11s-inc=60,00</v>
      </c>
      <c r="Q883" s="4" t="str">
        <f t="shared" si="840"/>
        <v>Redmi Note 11 4G/11s-inc=75,00</v>
      </c>
    </row>
    <row r="884" spans="1:17" ht="14.4" x14ac:dyDescent="0.3">
      <c r="A884" t="s">
        <v>3350</v>
      </c>
      <c r="B884">
        <f>I307</f>
        <v>190</v>
      </c>
      <c r="E884" s="85" t="s">
        <v>11833</v>
      </c>
      <c r="F884" s="17">
        <v>100</v>
      </c>
      <c r="H884" s="4" t="s">
        <v>801</v>
      </c>
      <c r="I884" s="5">
        <f>F819</f>
        <v>90</v>
      </c>
      <c r="J884" s="5"/>
      <c r="K884" s="4" t="str">
        <f t="shared" si="837"/>
        <v>Note 11 4G c/aro incell=R$ 90,00</v>
      </c>
      <c r="M884" s="4" t="str">
        <f t="shared" si="838"/>
        <v>Note 11 4G c/aro incell=R$ 95,00</v>
      </c>
      <c r="O884" s="4" t="str">
        <f t="shared" si="839"/>
        <v>Note 11 4G c/aro incell=R$ 85,00</v>
      </c>
      <c r="Q884" s="4" t="str">
        <f t="shared" si="840"/>
        <v>Note 11 4G c/aro incell=R$ 100,00</v>
      </c>
    </row>
    <row r="885" spans="1:17" ht="14.4" x14ac:dyDescent="0.3">
      <c r="A885" t="s">
        <v>3351</v>
      </c>
      <c r="B885">
        <f>I307</f>
        <v>190</v>
      </c>
      <c r="E885" s="85" t="s">
        <v>846</v>
      </c>
      <c r="F885" s="8">
        <v>70</v>
      </c>
      <c r="H885" s="4" t="s">
        <v>802</v>
      </c>
      <c r="I885" s="5">
        <f>F819</f>
        <v>90</v>
      </c>
      <c r="J885" s="5"/>
      <c r="K885" s="4" t="str">
        <f t="shared" si="837"/>
        <v>Note 11s 4G c/aro incell= R$ 90,00</v>
      </c>
      <c r="M885" s="4" t="str">
        <f t="shared" si="838"/>
        <v>Note 11s 4G c/aro incell= R$ 95,00</v>
      </c>
      <c r="O885" s="4" t="str">
        <f t="shared" si="839"/>
        <v>Note 11s 4G c/aro incell= R$ 85,00</v>
      </c>
      <c r="Q885" s="4" t="str">
        <f t="shared" si="840"/>
        <v>Note 11s 4G c/aro incell= R$ 100,00</v>
      </c>
    </row>
    <row r="886" spans="1:17" ht="14.4" x14ac:dyDescent="0.3">
      <c r="A886" t="s">
        <v>3352</v>
      </c>
      <c r="B886">
        <f>I307</f>
        <v>190</v>
      </c>
      <c r="E886" s="85" t="s">
        <v>848</v>
      </c>
      <c r="F886" s="8">
        <v>85</v>
      </c>
      <c r="H886" s="4" t="s">
        <v>804</v>
      </c>
      <c r="I886" s="5">
        <f>F818</f>
        <v>160</v>
      </c>
      <c r="J886" s="5"/>
      <c r="K886" s="4" t="str">
        <f t="shared" si="837"/>
        <v>Redmi Note 11 4G/11s-orig=160,00</v>
      </c>
      <c r="M886" s="4" t="str">
        <f t="shared" si="838"/>
        <v>Redmi Note 11 4G/11s-orig=165,00</v>
      </c>
      <c r="O886" s="4" t="str">
        <f t="shared" si="839"/>
        <v>Redmi Note 11 4G/11s-orig=155,00</v>
      </c>
      <c r="Q886" s="4" t="str">
        <f t="shared" si="840"/>
        <v>Redmi Note 11 4G/11s-orig=170,00</v>
      </c>
    </row>
    <row r="887" spans="1:17" ht="14.4" x14ac:dyDescent="0.3">
      <c r="A887" t="s">
        <v>3353</v>
      </c>
      <c r="B887">
        <f>I307</f>
        <v>190</v>
      </c>
      <c r="E887" s="85" t="s">
        <v>12318</v>
      </c>
      <c r="F887" s="17">
        <v>90</v>
      </c>
      <c r="H887" s="4" t="s">
        <v>805</v>
      </c>
      <c r="I887" s="5">
        <f>F820</f>
        <v>180</v>
      </c>
      <c r="J887" s="5"/>
      <c r="K887" s="4" t="str">
        <f t="shared" si="837"/>
        <v>Note 11 4G c/aro orig   = R$ 180,00</v>
      </c>
      <c r="M887" s="4" t="str">
        <f t="shared" si="838"/>
        <v>Note 11 4G c/aro orig   = R$ 185,00</v>
      </c>
      <c r="O887" s="4" t="str">
        <f t="shared" si="839"/>
        <v>Note 11 4G c/aro orig   = R$ 175,00</v>
      </c>
      <c r="Q887" s="4" t="str">
        <f t="shared" si="840"/>
        <v>Note 11 4G c/aro orig   = R$ 190,00</v>
      </c>
    </row>
    <row r="888" spans="1:17" ht="14.4" x14ac:dyDescent="0.3">
      <c r="A888" t="s">
        <v>3354</v>
      </c>
      <c r="B888">
        <f>I306</f>
        <v>150</v>
      </c>
      <c r="E888" s="85" t="s">
        <v>12497</v>
      </c>
      <c r="F888" s="17">
        <v>100</v>
      </c>
      <c r="H888" s="4" t="s">
        <v>806</v>
      </c>
      <c r="I888" s="5">
        <f>F820</f>
        <v>180</v>
      </c>
      <c r="J888" s="5"/>
      <c r="K888" s="4" t="str">
        <f t="shared" si="837"/>
        <v>Note 11s 4G c/aro orig = R$ 180,00</v>
      </c>
      <c r="M888" s="4" t="str">
        <f t="shared" si="838"/>
        <v>Note 11s 4G c/aro orig = R$ 185,00</v>
      </c>
      <c r="O888" s="4" t="str">
        <f t="shared" si="839"/>
        <v>Note 11s 4G c/aro orig = R$ 175,00</v>
      </c>
      <c r="Q888" s="4" t="str">
        <f t="shared" si="840"/>
        <v>Note 11s 4G c/aro orig = R$ 190,00</v>
      </c>
    </row>
    <row r="889" spans="1:17" ht="14.4" x14ac:dyDescent="0.3">
      <c r="A889" t="s">
        <v>3355</v>
      </c>
      <c r="B889">
        <f>I306</f>
        <v>150</v>
      </c>
      <c r="E889" s="85" t="s">
        <v>13291</v>
      </c>
      <c r="F889" s="8">
        <v>80</v>
      </c>
      <c r="H889" s="4" t="s">
        <v>808</v>
      </c>
      <c r="I889" s="5">
        <f>F821</f>
        <v>85</v>
      </c>
      <c r="J889" s="5"/>
      <c r="K889" s="4" t="str">
        <f t="shared" si="837"/>
        <v>Redmi Note 11 5G      = R$ 85,00</v>
      </c>
      <c r="M889" s="4" t="str">
        <f t="shared" si="838"/>
        <v>Redmi Note 11 5G      = R$ 90,00</v>
      </c>
      <c r="O889" s="4" t="str">
        <f t="shared" si="839"/>
        <v>Redmi Note 11 5G      = R$ 80,00</v>
      </c>
      <c r="Q889" s="4" t="str">
        <f t="shared" si="840"/>
        <v>Redmi Note 11 5G      = R$ 95,00</v>
      </c>
    </row>
    <row r="890" spans="1:17" ht="14.4" x14ac:dyDescent="0.3">
      <c r="A890" t="s">
        <v>3356</v>
      </c>
      <c r="B890">
        <f>I306</f>
        <v>150</v>
      </c>
      <c r="E890" s="85" t="s">
        <v>852</v>
      </c>
      <c r="F890" s="8">
        <v>85</v>
      </c>
      <c r="H890" s="4" t="s">
        <v>10502</v>
      </c>
      <c r="I890" s="5">
        <f>F821</f>
        <v>85</v>
      </c>
      <c r="J890" s="5"/>
      <c r="K890" s="4" t="str">
        <f t="shared" ref="K890:K891" si="873">CONCATENATE(H890,I890,",00")</f>
        <v>Redmi Note 11s 5G      = R$ 85,00</v>
      </c>
      <c r="M890" s="4" t="str">
        <f t="shared" ref="M890:M891" si="874">CONCATENATE(H890,I890+5,",00")</f>
        <v>Redmi Note 11s 5G      = R$ 90,00</v>
      </c>
      <c r="O890" s="4" t="str">
        <f t="shared" ref="O890:O891" si="875">CONCATENATE(H890,I890-5,",00")</f>
        <v>Redmi Note 11s 5G      = R$ 80,00</v>
      </c>
      <c r="Q890" s="4" t="str">
        <f t="shared" ref="Q890:Q891" si="876">CONCATENATE(H890,I890+10,",00")</f>
        <v>Redmi Note 11s 5G      = R$ 95,00</v>
      </c>
    </row>
    <row r="891" spans="1:17" ht="14.4" x14ac:dyDescent="0.3">
      <c r="A891" t="s">
        <v>3357</v>
      </c>
      <c r="B891">
        <f>I306</f>
        <v>150</v>
      </c>
      <c r="E891" s="85" t="s">
        <v>11836</v>
      </c>
      <c r="F891" s="8">
        <v>95</v>
      </c>
      <c r="H891" s="4" t="s">
        <v>11021</v>
      </c>
      <c r="I891" s="5">
        <f>F953</f>
        <v>105</v>
      </c>
      <c r="J891" s="5"/>
      <c r="K891" s="4" t="str">
        <f t="shared" si="873"/>
        <v>Redmi Note 11T      = R$ 105,00</v>
      </c>
      <c r="M891" s="4" t="str">
        <f t="shared" si="874"/>
        <v>Redmi Note 11T      = R$ 110,00</v>
      </c>
      <c r="O891" s="4" t="str">
        <f t="shared" si="875"/>
        <v>Redmi Note 11T      = R$ 100,00</v>
      </c>
      <c r="Q891" s="4" t="str">
        <f t="shared" si="876"/>
        <v>Redmi Note 11T      = R$ 115,00</v>
      </c>
    </row>
    <row r="892" spans="1:17" ht="14.4" x14ac:dyDescent="0.3">
      <c r="A892" t="s">
        <v>2262</v>
      </c>
      <c r="B892">
        <f>I304</f>
        <v>75</v>
      </c>
      <c r="E892" s="85" t="s">
        <v>11835</v>
      </c>
      <c r="F892" s="8">
        <v>105</v>
      </c>
      <c r="H892" s="4" t="s">
        <v>810</v>
      </c>
      <c r="I892" s="5">
        <f t="shared" ref="I892:J901" si="877">F826</f>
        <v>75</v>
      </c>
      <c r="J892" s="5"/>
      <c r="K892" s="4" t="str">
        <f t="shared" si="837"/>
        <v>Redmi Note 12 - incell = R$ 75,00</v>
      </c>
      <c r="M892" s="4" t="str">
        <f t="shared" si="838"/>
        <v>Redmi Note 12 - incell = R$ 80,00</v>
      </c>
      <c r="O892" s="4" t="str">
        <f t="shared" si="839"/>
        <v>Redmi Note 12 - incell = R$ 70,00</v>
      </c>
      <c r="Q892" s="4" t="str">
        <f t="shared" si="840"/>
        <v>Redmi Note 12 - incell = R$ 85,00</v>
      </c>
    </row>
    <row r="893" spans="1:17" ht="14.4" x14ac:dyDescent="0.3">
      <c r="A893" t="s">
        <v>2362</v>
      </c>
      <c r="B893">
        <f>I308</f>
        <v>230</v>
      </c>
      <c r="E893" s="85" t="s">
        <v>12387</v>
      </c>
      <c r="F893" s="8">
        <v>65</v>
      </c>
      <c r="H893" s="4" t="s">
        <v>811</v>
      </c>
      <c r="I893" s="5">
        <f t="shared" si="877"/>
        <v>170</v>
      </c>
      <c r="J893" s="5"/>
      <c r="K893" s="4" t="str">
        <f t="shared" si="837"/>
        <v>Redmi Note 12 - orig = R$ 170,00</v>
      </c>
      <c r="M893" s="4" t="str">
        <f t="shared" si="838"/>
        <v>Redmi Note 12 - orig = R$ 175,00</v>
      </c>
      <c r="O893" s="4" t="str">
        <f t="shared" si="839"/>
        <v>Redmi Note 12 - orig = R$ 165,00</v>
      </c>
      <c r="Q893" s="4" t="str">
        <f t="shared" si="840"/>
        <v>Redmi Note 12 - orig = R$ 180,00</v>
      </c>
    </row>
    <row r="894" spans="1:17" ht="14.4" x14ac:dyDescent="0.3">
      <c r="A894" t="s">
        <v>2523</v>
      </c>
      <c r="B894">
        <f>I308</f>
        <v>230</v>
      </c>
      <c r="E894" s="85" t="s">
        <v>12388</v>
      </c>
      <c r="F894" s="8">
        <v>80</v>
      </c>
      <c r="H894" s="4" t="s">
        <v>813</v>
      </c>
      <c r="I894" s="5">
        <f t="shared" si="877"/>
        <v>90</v>
      </c>
      <c r="J894" s="5"/>
      <c r="K894" s="4" t="str">
        <f t="shared" si="837"/>
        <v>Note 12 4G - incell c/aro=R$ 90,00</v>
      </c>
      <c r="M894" s="4" t="str">
        <f t="shared" si="838"/>
        <v>Note 12 4G - incell c/aro=R$ 95,00</v>
      </c>
      <c r="O894" s="4" t="str">
        <f t="shared" si="839"/>
        <v>Note 12 4G - incell c/aro=R$ 85,00</v>
      </c>
      <c r="Q894" s="4" t="str">
        <f t="shared" si="840"/>
        <v>Note 12 4G - incell c/aro=R$ 100,00</v>
      </c>
    </row>
    <row r="895" spans="1:17" ht="14.4" x14ac:dyDescent="0.3">
      <c r="A895" t="s">
        <v>11875</v>
      </c>
      <c r="B895">
        <f>I309</f>
        <v>240</v>
      </c>
      <c r="E895" s="85" t="s">
        <v>12389</v>
      </c>
      <c r="F895" s="17">
        <v>90</v>
      </c>
      <c r="H895" s="4" t="s">
        <v>814</v>
      </c>
      <c r="I895" s="5">
        <f t="shared" si="877"/>
        <v>190</v>
      </c>
      <c r="J895" s="5"/>
      <c r="K895" s="4" t="str">
        <f t="shared" si="837"/>
        <v>Note 12 4G - orig c/aro = R$ 190,00</v>
      </c>
      <c r="M895" s="4" t="str">
        <f t="shared" si="838"/>
        <v>Note 12 4G - orig c/aro = R$ 195,00</v>
      </c>
      <c r="O895" s="4" t="str">
        <f t="shared" si="839"/>
        <v>Note 12 4G - orig c/aro = R$ 185,00</v>
      </c>
      <c r="Q895" s="4" t="str">
        <f t="shared" si="840"/>
        <v>Note 12 4G - orig c/aro = R$ 200,00</v>
      </c>
    </row>
    <row r="896" spans="1:17" ht="14.4" x14ac:dyDescent="0.3">
      <c r="A896" t="s">
        <v>11876</v>
      </c>
      <c r="B896">
        <f>I309</f>
        <v>240</v>
      </c>
      <c r="E896" s="85" t="s">
        <v>12390</v>
      </c>
      <c r="F896" s="17">
        <v>100</v>
      </c>
      <c r="H896" s="4" t="s">
        <v>11815</v>
      </c>
      <c r="I896" s="5">
        <f t="shared" si="877"/>
        <v>210</v>
      </c>
      <c r="J896" s="5"/>
      <c r="K896" s="4" t="str">
        <f t="shared" ref="K896" si="878">CONCATENATE(H896,I896,",00")</f>
        <v>Note 12 4G c/aro Nacional = 210,00</v>
      </c>
      <c r="M896" s="4" t="str">
        <f t="shared" ref="M896" si="879">CONCATENATE(H896,I896+5,",00")</f>
        <v>Note 12 4G c/aro Nacional = 215,00</v>
      </c>
      <c r="O896" s="4" t="str">
        <f t="shared" ref="O896" si="880">CONCATENATE(H896,I896-5,",00")</f>
        <v>Note 12 4G c/aro Nacional = 205,00</v>
      </c>
      <c r="Q896" s="4" t="str">
        <f t="shared" ref="Q896" si="881">CONCATENATE(H896,I896+10,",00")</f>
        <v>Note 12 4G c/aro Nacional = 220,00</v>
      </c>
    </row>
    <row r="897" spans="1:17" ht="14.4" x14ac:dyDescent="0.3">
      <c r="A897" t="s">
        <v>2313</v>
      </c>
      <c r="B897">
        <f>I310</f>
        <v>95</v>
      </c>
      <c r="E897" s="85" t="s">
        <v>992</v>
      </c>
      <c r="F897" s="8">
        <v>90</v>
      </c>
      <c r="H897" s="4" t="s">
        <v>11814</v>
      </c>
      <c r="I897" s="5">
        <f t="shared" si="877"/>
        <v>220</v>
      </c>
      <c r="J897" s="5"/>
      <c r="K897" s="4" t="str">
        <f t="shared" si="837"/>
        <v>Note 12 4G c/aro Nac Diamonds = 220,00</v>
      </c>
      <c r="M897" s="4" t="str">
        <f t="shared" si="838"/>
        <v>Note 12 4G c/aro Nac Diamonds = 225,00</v>
      </c>
      <c r="O897" s="4" t="str">
        <f t="shared" si="839"/>
        <v>Note 12 4G c/aro Nac Diamonds = 215,00</v>
      </c>
      <c r="Q897" s="4" t="str">
        <f t="shared" si="840"/>
        <v>Note 12 4G c/aro Nac Diamonds = 230,00</v>
      </c>
    </row>
    <row r="898" spans="1:17" ht="14.4" x14ac:dyDescent="0.3">
      <c r="A898" t="s">
        <v>1907</v>
      </c>
      <c r="B898">
        <f>I311</f>
        <v>210</v>
      </c>
      <c r="E898" s="85" t="s">
        <v>12348</v>
      </c>
      <c r="F898" s="17">
        <v>95</v>
      </c>
      <c r="H898" s="4" t="s">
        <v>816</v>
      </c>
      <c r="I898" s="5">
        <f t="shared" si="877"/>
        <v>100</v>
      </c>
      <c r="J898" s="5"/>
      <c r="K898" s="4" t="str">
        <f t="shared" si="837"/>
        <v>Note 12 5G -incell c/aro= R$ 100,00</v>
      </c>
      <c r="M898" s="4" t="str">
        <f t="shared" si="838"/>
        <v>Note 12 5G -incell c/aro= R$ 105,00</v>
      </c>
      <c r="O898" s="4" t="str">
        <f t="shared" si="839"/>
        <v>Note 12 5G -incell c/aro= R$ 95,00</v>
      </c>
      <c r="Q898" s="4" t="str">
        <f t="shared" si="840"/>
        <v>Note 12 5G -incell c/aro= R$ 110,00</v>
      </c>
    </row>
    <row r="899" spans="1:17" ht="14.4" x14ac:dyDescent="0.3">
      <c r="A899" t="s">
        <v>3358</v>
      </c>
      <c r="B899">
        <f>I311</f>
        <v>210</v>
      </c>
      <c r="E899" s="85" t="s">
        <v>12349</v>
      </c>
      <c r="F899" s="17">
        <v>105</v>
      </c>
      <c r="H899" s="4" t="s">
        <v>818</v>
      </c>
      <c r="I899" s="5">
        <f t="shared" si="877"/>
        <v>220</v>
      </c>
      <c r="J899" s="5"/>
      <c r="K899" s="4" t="str">
        <f t="shared" si="837"/>
        <v>Note 12 5G - orig c/aro = R$ 220,00</v>
      </c>
      <c r="M899" s="4" t="str">
        <f t="shared" si="838"/>
        <v>Note 12 5G - orig c/aro = R$ 225,00</v>
      </c>
      <c r="O899" s="4" t="str">
        <f t="shared" si="839"/>
        <v>Note 12 5G - orig c/aro = R$ 215,00</v>
      </c>
      <c r="Q899" s="4" t="str">
        <f t="shared" si="840"/>
        <v>Note 12 5G - orig c/aro = R$ 230,00</v>
      </c>
    </row>
    <row r="900" spans="1:17" ht="14.4" x14ac:dyDescent="0.3">
      <c r="A900" t="s">
        <v>3359</v>
      </c>
      <c r="B900">
        <f>I311</f>
        <v>210</v>
      </c>
      <c r="E900" s="85" t="s">
        <v>13292</v>
      </c>
      <c r="F900" s="8">
        <v>65</v>
      </c>
      <c r="H900" s="4" t="s">
        <v>11818</v>
      </c>
      <c r="I900" s="5">
        <f t="shared" si="877"/>
        <v>240</v>
      </c>
      <c r="J900" s="5"/>
      <c r="K900" s="4" t="str">
        <f t="shared" si="837"/>
        <v>Note 12 5G c/aro Nacional = 240,00</v>
      </c>
      <c r="M900" s="4" t="str">
        <f t="shared" si="838"/>
        <v>Note 12 5G c/aro Nacional = 245,00</v>
      </c>
      <c r="O900" s="4" t="str">
        <f t="shared" si="839"/>
        <v>Note 12 5G c/aro Nacional = 235,00</v>
      </c>
      <c r="Q900" s="4" t="str">
        <f t="shared" si="840"/>
        <v>Note 12 5G c/aro Nacional = 250,00</v>
      </c>
    </row>
    <row r="901" spans="1:17" ht="14.4" x14ac:dyDescent="0.3">
      <c r="A901" t="s">
        <v>2363</v>
      </c>
      <c r="B901">
        <f>I312</f>
        <v>270</v>
      </c>
      <c r="E901" s="85" t="s">
        <v>12370</v>
      </c>
      <c r="F901" s="8">
        <v>80</v>
      </c>
      <c r="H901" s="4" t="s">
        <v>11817</v>
      </c>
      <c r="I901" s="5">
        <f t="shared" si="877"/>
        <v>250</v>
      </c>
      <c r="J901" s="5"/>
      <c r="K901" s="4" t="str">
        <f t="shared" ref="K901" si="882">CONCATENATE(H901,I901,",00")</f>
        <v>Note 12 5G c/aro Nac Diamonds = 250,00</v>
      </c>
      <c r="M901" s="4" t="str">
        <f t="shared" ref="M901" si="883">CONCATENATE(H901,I901+5,",00")</f>
        <v>Note 12 5G c/aro Nac Diamonds = 255,00</v>
      </c>
      <c r="O901" s="4" t="str">
        <f t="shared" ref="O901" si="884">CONCATENATE(H901,I901-5,",00")</f>
        <v>Note 12 5G c/aro Nac Diamonds = 245,00</v>
      </c>
      <c r="Q901" s="4" t="str">
        <f t="shared" ref="Q901" si="885">CONCATENATE(H901,I901+10,",00")</f>
        <v>Note 12 5G c/aro Nac Diamonds = 260,00</v>
      </c>
    </row>
    <row r="902" spans="1:17" ht="14.4" x14ac:dyDescent="0.3">
      <c r="A902" t="s">
        <v>2524</v>
      </c>
      <c r="B902">
        <f>I312</f>
        <v>270</v>
      </c>
      <c r="E902" s="85" t="s">
        <v>11842</v>
      </c>
      <c r="F902" s="8">
        <v>95</v>
      </c>
      <c r="H902" s="4" t="s">
        <v>819</v>
      </c>
      <c r="I902" s="5">
        <f>F817</f>
        <v>65</v>
      </c>
      <c r="J902" s="5"/>
      <c r="K902" s="4" t="str">
        <f t="shared" si="837"/>
        <v>Redmi Note 12s-incell = R$ 65,00</v>
      </c>
      <c r="M902" s="4" t="str">
        <f t="shared" si="838"/>
        <v>Redmi Note 12s-incell = R$ 70,00</v>
      </c>
      <c r="O902" s="4" t="str">
        <f t="shared" si="839"/>
        <v>Redmi Note 12s-incell = R$ 60,00</v>
      </c>
      <c r="Q902" s="4" t="str">
        <f t="shared" si="840"/>
        <v>Redmi Note 12s-incell = R$ 75,00</v>
      </c>
    </row>
    <row r="903" spans="1:17" ht="14.4" x14ac:dyDescent="0.3">
      <c r="A903" t="s">
        <v>11877</v>
      </c>
      <c r="B903">
        <f>I313</f>
        <v>280</v>
      </c>
      <c r="E903" s="85" t="s">
        <v>11841</v>
      </c>
      <c r="F903" s="8">
        <v>105</v>
      </c>
      <c r="H903" s="4" t="s">
        <v>821</v>
      </c>
      <c r="I903" s="5">
        <f>F818</f>
        <v>160</v>
      </c>
      <c r="J903" s="5"/>
      <c r="K903" s="4" t="str">
        <f t="shared" si="837"/>
        <v>Redmi Note 12s - orig = R$ 160,00</v>
      </c>
      <c r="M903" s="4" t="str">
        <f t="shared" si="838"/>
        <v>Redmi Note 12s - orig = R$ 165,00</v>
      </c>
      <c r="O903" s="4" t="str">
        <f t="shared" si="839"/>
        <v>Redmi Note 12s - orig = R$ 155,00</v>
      </c>
      <c r="Q903" s="4" t="str">
        <f t="shared" si="840"/>
        <v>Redmi Note 12s - orig = R$ 170,00</v>
      </c>
    </row>
    <row r="904" spans="1:17" ht="14.4" x14ac:dyDescent="0.3">
      <c r="A904" t="s">
        <v>11878</v>
      </c>
      <c r="B904">
        <f>I313</f>
        <v>280</v>
      </c>
      <c r="E904" s="85" t="s">
        <v>10680</v>
      </c>
      <c r="F904" s="8">
        <v>75</v>
      </c>
      <c r="H904" s="4" t="s">
        <v>989</v>
      </c>
      <c r="I904" s="5">
        <f>F819</f>
        <v>90</v>
      </c>
      <c r="J904" s="5"/>
      <c r="K904" s="4" t="str">
        <f t="shared" ref="K904" si="886">CONCATENATE(H904,I904,",00")</f>
        <v>Note 12s - incell c/aro    = R$ 90,00</v>
      </c>
      <c r="M904" s="4" t="str">
        <f t="shared" ref="M904" si="887">CONCATENATE(H904,I904+5,",00")</f>
        <v>Note 12s - incell c/aro    = R$ 95,00</v>
      </c>
      <c r="O904" s="4" t="str">
        <f t="shared" ref="O904" si="888">CONCATENATE(H904,I904-5,",00")</f>
        <v>Note 12s - incell c/aro    = R$ 85,00</v>
      </c>
      <c r="Q904" s="4" t="str">
        <f t="shared" ref="Q904" si="889">CONCATENATE(H904,I904+10,",00")</f>
        <v>Note 12s - incell c/aro    = R$ 100,00</v>
      </c>
    </row>
    <row r="905" spans="1:17" ht="14.4" x14ac:dyDescent="0.3">
      <c r="A905" t="s">
        <v>12001</v>
      </c>
      <c r="B905">
        <f>I314</f>
        <v>120</v>
      </c>
      <c r="E905" s="85" t="s">
        <v>10938</v>
      </c>
      <c r="F905" s="8">
        <v>85</v>
      </c>
      <c r="H905" s="4" t="s">
        <v>823</v>
      </c>
      <c r="I905" s="5">
        <f>F820</f>
        <v>180</v>
      </c>
      <c r="J905" s="5"/>
      <c r="K905" s="4" t="str">
        <f t="shared" si="837"/>
        <v>Note 12s - orig c/aro    = R$ 180,00</v>
      </c>
      <c r="M905" s="4" t="str">
        <f t="shared" si="838"/>
        <v>Note 12s - orig c/aro    = R$ 185,00</v>
      </c>
      <c r="O905" s="4" t="str">
        <f t="shared" si="839"/>
        <v>Note 12s - orig c/aro    = R$ 175,00</v>
      </c>
      <c r="Q905" s="4" t="str">
        <f t="shared" si="840"/>
        <v>Note 12s - orig c/aro    = R$ 190,00</v>
      </c>
    </row>
    <row r="906" spans="1:17" ht="14.4" x14ac:dyDescent="0.3">
      <c r="A906" t="s">
        <v>12002</v>
      </c>
      <c r="B906">
        <f>I314</f>
        <v>120</v>
      </c>
      <c r="E906" s="85" t="s">
        <v>12501</v>
      </c>
      <c r="F906" s="17">
        <v>90</v>
      </c>
      <c r="H906" s="4" t="s">
        <v>12322</v>
      </c>
      <c r="I906" s="5">
        <f>F813</f>
        <v>80</v>
      </c>
      <c r="J906" s="5"/>
      <c r="K906" s="4" t="str">
        <f t="shared" ref="K906" si="890">CONCATENATE(H906,I906,",00")</f>
        <v>Note 12 Pro 4G - incell = R$ 80,00</v>
      </c>
      <c r="M906" s="4" t="str">
        <f t="shared" ref="M906" si="891">CONCATENATE(H906,I906+5,",00")</f>
        <v>Note 12 Pro 4G - incell = R$ 85,00</v>
      </c>
      <c r="O906" s="4" t="str">
        <f t="shared" ref="O906" si="892">CONCATENATE(H906,I906-5,",00")</f>
        <v>Note 12 Pro 4G - incell = R$ 75,00</v>
      </c>
      <c r="Q906" s="4" t="str">
        <f t="shared" ref="Q906" si="893">CONCATENATE(H906,I906+10,",00")</f>
        <v>Note 12 Pro 4G - incell = R$ 90,00</v>
      </c>
    </row>
    <row r="907" spans="1:17" ht="14.4" x14ac:dyDescent="0.3">
      <c r="A907" t="s">
        <v>12003</v>
      </c>
      <c r="B907">
        <f>I315</f>
        <v>220</v>
      </c>
      <c r="E907" s="85" t="s">
        <v>12502</v>
      </c>
      <c r="F907" s="17">
        <v>100</v>
      </c>
      <c r="H907" s="4" t="s">
        <v>825</v>
      </c>
      <c r="I907" s="5">
        <f>F814</f>
        <v>200</v>
      </c>
      <c r="J907" s="5"/>
      <c r="K907" s="4" t="str">
        <f t="shared" si="837"/>
        <v>Note 12 Pro 4G - orig = R$ 200,00</v>
      </c>
      <c r="M907" s="4" t="str">
        <f t="shared" si="838"/>
        <v>Note 12 Pro 4G - orig = R$ 205,00</v>
      </c>
      <c r="O907" s="4" t="str">
        <f t="shared" si="839"/>
        <v>Note 12 Pro 4G - orig = R$ 195,00</v>
      </c>
      <c r="Q907" s="4" t="str">
        <f t="shared" si="840"/>
        <v>Note 12 Pro 4G - orig = R$ 210,00</v>
      </c>
    </row>
    <row r="908" spans="1:17" ht="14.4" x14ac:dyDescent="0.3">
      <c r="A908" t="s">
        <v>12006</v>
      </c>
      <c r="B908">
        <f>I315</f>
        <v>220</v>
      </c>
      <c r="E908" s="85" t="s">
        <v>13015</v>
      </c>
      <c r="F908" s="17">
        <v>90</v>
      </c>
      <c r="H908" s="4" t="s">
        <v>827</v>
      </c>
      <c r="I908" s="5">
        <f t="shared" ref="I908:J915" si="894">F836</f>
        <v>120</v>
      </c>
      <c r="J908" s="5"/>
      <c r="K908" s="4" t="str">
        <f t="shared" si="837"/>
        <v>Note 12 Pro 4G-incell c/aro=120,00</v>
      </c>
      <c r="M908" s="4" t="str">
        <f t="shared" si="838"/>
        <v>Note 12 Pro 4G-incell c/aro=125,00</v>
      </c>
      <c r="O908" s="4" t="str">
        <f t="shared" si="839"/>
        <v>Note 12 Pro 4G-incell c/aro=115,00</v>
      </c>
      <c r="Q908" s="4" t="str">
        <f t="shared" si="840"/>
        <v>Note 12 Pro 4G-incell c/aro=130,00</v>
      </c>
    </row>
    <row r="909" spans="1:17" ht="14.4" x14ac:dyDescent="0.3">
      <c r="A909" t="s">
        <v>12004</v>
      </c>
      <c r="B909">
        <f>I315</f>
        <v>220</v>
      </c>
      <c r="E909" s="85" t="s">
        <v>13016</v>
      </c>
      <c r="F909" s="17">
        <v>100</v>
      </c>
      <c r="H909" s="4" t="s">
        <v>829</v>
      </c>
      <c r="I909" s="5">
        <f t="shared" si="894"/>
        <v>230</v>
      </c>
      <c r="J909" s="5"/>
      <c r="K909" s="4" t="str">
        <f t="shared" si="837"/>
        <v>Note 12 Pro 4G-orig c/aro=230,00</v>
      </c>
      <c r="M909" s="4" t="str">
        <f t="shared" si="838"/>
        <v>Note 12 Pro 4G-orig c/aro=235,00</v>
      </c>
      <c r="O909" s="4" t="str">
        <f t="shared" si="839"/>
        <v>Note 12 Pro 4G-orig c/aro=225,00</v>
      </c>
      <c r="Q909" s="4" t="str">
        <f t="shared" si="840"/>
        <v>Note 12 Pro 4G-orig c/aro=240,00</v>
      </c>
    </row>
    <row r="910" spans="1:17" ht="14.4" x14ac:dyDescent="0.3">
      <c r="A910" t="s">
        <v>12005</v>
      </c>
      <c r="B910">
        <f>I315</f>
        <v>220</v>
      </c>
      <c r="E910" s="85" t="s">
        <v>860</v>
      </c>
      <c r="F910" s="8">
        <v>65</v>
      </c>
      <c r="H910" s="4" t="s">
        <v>830</v>
      </c>
      <c r="I910" s="5">
        <f t="shared" si="894"/>
        <v>90</v>
      </c>
      <c r="J910" s="5"/>
      <c r="K910" s="4" t="str">
        <f t="shared" si="837"/>
        <v>Note 12 Pro 5G - incell= R$ 90,00</v>
      </c>
      <c r="M910" s="4" t="str">
        <f t="shared" si="838"/>
        <v>Note 12 Pro 5G - incell= R$ 95,00</v>
      </c>
      <c r="O910" s="4" t="str">
        <f t="shared" si="839"/>
        <v>Note 12 Pro 5G - incell= R$ 85,00</v>
      </c>
      <c r="Q910" s="4" t="str">
        <f t="shared" si="840"/>
        <v>Note 12 Pro 5G - incell= R$ 100,00</v>
      </c>
    </row>
    <row r="911" spans="1:17" ht="14.4" x14ac:dyDescent="0.3">
      <c r="A911" t="s">
        <v>2314</v>
      </c>
      <c r="B911">
        <f>I316</f>
        <v>100</v>
      </c>
      <c r="E911" s="85" t="s">
        <v>12201</v>
      </c>
      <c r="F911" s="17">
        <v>85</v>
      </c>
      <c r="H911" s="4" t="s">
        <v>832</v>
      </c>
      <c r="I911" s="5">
        <f t="shared" si="894"/>
        <v>110</v>
      </c>
      <c r="J911" s="5"/>
      <c r="K911" s="4" t="str">
        <f t="shared" si="837"/>
        <v>Note 12 Pro 5G-incell c/aro=110,00</v>
      </c>
      <c r="M911" s="4" t="str">
        <f t="shared" si="838"/>
        <v>Note 12 Pro 5G-incell c/aro=115,00</v>
      </c>
      <c r="O911" s="4" t="str">
        <f t="shared" si="839"/>
        <v>Note 12 Pro 5G-incell c/aro=105,00</v>
      </c>
      <c r="Q911" s="4" t="str">
        <f t="shared" si="840"/>
        <v>Note 12 Pro 5G-incell c/aro=120,00</v>
      </c>
    </row>
    <row r="912" spans="1:17" ht="14.4" x14ac:dyDescent="0.3">
      <c r="A912" t="s">
        <v>3360</v>
      </c>
      <c r="B912">
        <f>I317</f>
        <v>130</v>
      </c>
      <c r="E912" s="85" t="s">
        <v>13094</v>
      </c>
      <c r="F912" s="8">
        <v>75</v>
      </c>
      <c r="H912" s="4" t="s">
        <v>833</v>
      </c>
      <c r="I912" s="5">
        <f t="shared" si="894"/>
        <v>190</v>
      </c>
      <c r="J912" s="5"/>
      <c r="K912" s="4" t="str">
        <f t="shared" si="837"/>
        <v>Note 12 Pro 5G -orig = R$ 190,00</v>
      </c>
      <c r="M912" s="4" t="str">
        <f t="shared" si="838"/>
        <v>Note 12 Pro 5G -orig = R$ 195,00</v>
      </c>
      <c r="O912" s="4" t="str">
        <f t="shared" si="839"/>
        <v>Note 12 Pro 5G -orig = R$ 185,00</v>
      </c>
      <c r="Q912" s="4" t="str">
        <f t="shared" si="840"/>
        <v>Note 12 Pro 5G -orig = R$ 200,00</v>
      </c>
    </row>
    <row r="913" spans="1:17" ht="14.4" x14ac:dyDescent="0.3">
      <c r="A913" t="s">
        <v>3361</v>
      </c>
      <c r="B913">
        <f>I317</f>
        <v>130</v>
      </c>
      <c r="E913" s="85" t="s">
        <v>12481</v>
      </c>
      <c r="F913" s="17">
        <v>80</v>
      </c>
      <c r="H913" s="4" t="s">
        <v>835</v>
      </c>
      <c r="I913" s="5">
        <f t="shared" si="894"/>
        <v>230</v>
      </c>
      <c r="J913" s="5"/>
      <c r="K913" s="4" t="str">
        <f t="shared" si="837"/>
        <v>Note 12 Pro 5G-orig  c/aro=230,00</v>
      </c>
      <c r="M913" s="4" t="str">
        <f t="shared" si="838"/>
        <v>Note 12 Pro 5G-orig  c/aro=235,00</v>
      </c>
      <c r="O913" s="4" t="str">
        <f t="shared" si="839"/>
        <v>Note 12 Pro 5G-orig  c/aro=225,00</v>
      </c>
      <c r="Q913" s="4" t="str">
        <f t="shared" si="840"/>
        <v>Note 12 Pro 5G-orig  c/aro=240,00</v>
      </c>
    </row>
    <row r="914" spans="1:17" ht="14.4" x14ac:dyDescent="0.3">
      <c r="A914" t="s">
        <v>3362</v>
      </c>
      <c r="B914">
        <f>I319</f>
        <v>210</v>
      </c>
      <c r="E914" s="85" t="s">
        <v>13630</v>
      </c>
      <c r="F914" s="17">
        <v>90</v>
      </c>
      <c r="H914" s="4" t="s">
        <v>837</v>
      </c>
      <c r="I914" s="5">
        <f t="shared" si="894"/>
        <v>260</v>
      </c>
      <c r="J914" s="5"/>
      <c r="K914" s="4" t="str">
        <f t="shared" ref="K914" si="895">CONCATENATE(H914,I914,",00")</f>
        <v>Note 12 Pro 5G- Nac c/aro=260,00</v>
      </c>
      <c r="M914" s="4" t="str">
        <f t="shared" ref="M914" si="896">CONCATENATE(H914,I914+5,",00")</f>
        <v>Note 12 Pro 5G- Nac c/aro=265,00</v>
      </c>
      <c r="O914" s="4" t="str">
        <f t="shared" ref="O914" si="897">CONCATENATE(H914,I914-5,",00")</f>
        <v>Note 12 Pro 5G- Nac c/aro=255,00</v>
      </c>
      <c r="Q914" s="4" t="str">
        <f t="shared" ref="Q914" si="898">CONCATENATE(H914,I914+10,",00")</f>
        <v>Note 12 Pro 5G- Nac c/aro=270,00</v>
      </c>
    </row>
    <row r="915" spans="1:17" ht="14.4" x14ac:dyDescent="0.3">
      <c r="A915" t="s">
        <v>3363</v>
      </c>
      <c r="B915">
        <f>I319</f>
        <v>210</v>
      </c>
      <c r="E915" s="85" t="s">
        <v>861</v>
      </c>
      <c r="F915" s="8">
        <v>75</v>
      </c>
      <c r="H915" s="4" t="s">
        <v>11820</v>
      </c>
      <c r="I915" s="5">
        <f t="shared" si="894"/>
        <v>270</v>
      </c>
      <c r="J915" s="5"/>
      <c r="K915" s="4" t="str">
        <f t="shared" si="837"/>
        <v>Note 12 Pro 5G c/aro Nac Diamonds = 270,00</v>
      </c>
      <c r="M915" s="4" t="str">
        <f t="shared" si="838"/>
        <v>Note 12 Pro 5G c/aro Nac Diamonds = 275,00</v>
      </c>
      <c r="O915" s="4" t="str">
        <f t="shared" si="839"/>
        <v>Note 12 Pro 5G c/aro Nac Diamonds = 265,00</v>
      </c>
      <c r="Q915" s="4" t="str">
        <f t="shared" si="840"/>
        <v>Note 12 Pro 5G c/aro Nac Diamonds = 280,00</v>
      </c>
    </row>
    <row r="916" spans="1:17" ht="14.4" x14ac:dyDescent="0.3">
      <c r="A916" t="s">
        <v>2525</v>
      </c>
      <c r="B916">
        <f>I318</f>
        <v>190</v>
      </c>
      <c r="E916" s="85" t="s">
        <v>863</v>
      </c>
      <c r="F916" s="8">
        <v>110</v>
      </c>
      <c r="H916" s="4" t="s">
        <v>839</v>
      </c>
      <c r="I916" s="5">
        <f>F838</f>
        <v>90</v>
      </c>
      <c r="J916" s="5"/>
      <c r="K916" s="4" t="str">
        <f t="shared" si="837"/>
        <v>Note 12 Pro Plus-incell=R$ 90,00</v>
      </c>
      <c r="M916" s="4" t="str">
        <f t="shared" si="838"/>
        <v>Note 12 Pro Plus-incell=R$ 95,00</v>
      </c>
      <c r="O916" s="4" t="str">
        <f t="shared" si="839"/>
        <v>Note 12 Pro Plus-incell=R$ 85,00</v>
      </c>
      <c r="Q916" s="4" t="str">
        <f t="shared" si="840"/>
        <v>Note 12 Pro Plus-incell=R$ 100,00</v>
      </c>
    </row>
    <row r="917" spans="1:17" ht="14.4" x14ac:dyDescent="0.3">
      <c r="A917" t="s">
        <v>2642</v>
      </c>
      <c r="B917">
        <f>I318</f>
        <v>190</v>
      </c>
      <c r="E917" s="85" t="s">
        <v>865</v>
      </c>
      <c r="F917" s="8">
        <v>140</v>
      </c>
      <c r="H917" s="4" t="s">
        <v>841</v>
      </c>
      <c r="I917" s="5">
        <f>F840</f>
        <v>190</v>
      </c>
      <c r="J917" s="5"/>
      <c r="K917" s="4" t="str">
        <f t="shared" si="837"/>
        <v>Note 12 Pro Plus - orig = R$ 190,00</v>
      </c>
      <c r="M917" s="4" t="str">
        <f t="shared" si="838"/>
        <v>Note 12 Pro Plus - orig = R$ 195,00</v>
      </c>
      <c r="O917" s="4" t="str">
        <f t="shared" si="839"/>
        <v>Note 12 Pro Plus - orig = R$ 185,00</v>
      </c>
      <c r="Q917" s="4" t="str">
        <f t="shared" si="840"/>
        <v>Note 12 Pro Plus - orig = R$ 200,00</v>
      </c>
    </row>
    <row r="918" spans="1:17" ht="14.4" x14ac:dyDescent="0.3">
      <c r="A918" t="s">
        <v>3364</v>
      </c>
      <c r="B918">
        <f>I318</f>
        <v>190</v>
      </c>
      <c r="E918" s="85" t="s">
        <v>867</v>
      </c>
      <c r="F918" s="8">
        <v>65</v>
      </c>
      <c r="H918" s="4" t="s">
        <v>843</v>
      </c>
      <c r="I918" s="5">
        <f t="shared" ref="I918:J932" si="899">F844</f>
        <v>85</v>
      </c>
      <c r="J918" s="5"/>
      <c r="K918" s="4" t="str">
        <f t="shared" si="837"/>
        <v>Note 13 4G - incell = R$ 85,00</v>
      </c>
      <c r="M918" s="4" t="str">
        <f t="shared" si="838"/>
        <v>Note 13 4G - incell = R$ 90,00</v>
      </c>
      <c r="O918" s="4" t="str">
        <f t="shared" si="839"/>
        <v>Note 13 4G - incell = R$ 80,00</v>
      </c>
      <c r="Q918" s="4" t="str">
        <f t="shared" si="840"/>
        <v>Note 13 4G - incell = R$ 95,00</v>
      </c>
    </row>
    <row r="919" spans="1:17" ht="14.4" x14ac:dyDescent="0.3">
      <c r="A919" t="s">
        <v>3365</v>
      </c>
      <c r="B919">
        <f>I318</f>
        <v>190</v>
      </c>
      <c r="E919" s="85" t="s">
        <v>869</v>
      </c>
      <c r="F919" s="8">
        <v>100</v>
      </c>
      <c r="H919" s="4" t="s">
        <v>845</v>
      </c>
      <c r="I919" s="5">
        <f t="shared" si="899"/>
        <v>95</v>
      </c>
      <c r="J919" s="5"/>
      <c r="K919" s="4" t="str">
        <f t="shared" si="837"/>
        <v>Note 13 4G-incell c/aro= R$ 95,00</v>
      </c>
      <c r="M919" s="4" t="str">
        <f t="shared" si="838"/>
        <v>Note 13 4G-incell c/aro= R$ 100,00</v>
      </c>
      <c r="O919" s="4" t="str">
        <f t="shared" si="839"/>
        <v>Note 13 4G-incell c/aro= R$ 90,00</v>
      </c>
      <c r="Q919" s="4" t="str">
        <f t="shared" si="840"/>
        <v>Note 13 4G-incell c/aro= R$ 105,00</v>
      </c>
    </row>
    <row r="920" spans="1:17" ht="14.4" x14ac:dyDescent="0.3">
      <c r="A920" t="s">
        <v>2075</v>
      </c>
      <c r="B920">
        <f>I317</f>
        <v>130</v>
      </c>
      <c r="E920" s="85" t="s">
        <v>871</v>
      </c>
      <c r="F920" s="8">
        <v>155</v>
      </c>
      <c r="H920" s="4" t="s">
        <v>847</v>
      </c>
      <c r="I920" s="5">
        <f t="shared" si="899"/>
        <v>170</v>
      </c>
      <c r="J920" s="5"/>
      <c r="K920" s="4" t="str">
        <f t="shared" si="837"/>
        <v>Note 13 4G - original = R$ 170,00</v>
      </c>
      <c r="M920" s="4" t="str">
        <f t="shared" si="838"/>
        <v>Note 13 4G - original = R$ 175,00</v>
      </c>
      <c r="O920" s="4" t="str">
        <f t="shared" si="839"/>
        <v>Note 13 4G - original = R$ 165,00</v>
      </c>
      <c r="Q920" s="4" t="str">
        <f t="shared" si="840"/>
        <v>Note 13 4G - original = R$ 180,00</v>
      </c>
    </row>
    <row r="921" spans="1:17" ht="14.4" x14ac:dyDescent="0.3">
      <c r="A921" t="s">
        <v>3366</v>
      </c>
      <c r="B921">
        <f>I317</f>
        <v>130</v>
      </c>
      <c r="E921" s="85" t="s">
        <v>873</v>
      </c>
      <c r="F921" s="8">
        <v>110</v>
      </c>
      <c r="H921" s="4" t="s">
        <v>849</v>
      </c>
      <c r="I921" s="5">
        <f t="shared" si="899"/>
        <v>200</v>
      </c>
      <c r="J921" s="5"/>
      <c r="K921" s="4" t="str">
        <f t="shared" si="837"/>
        <v>Note 13 4G - orig c/aro= R$ 200,00</v>
      </c>
      <c r="M921" s="4" t="str">
        <f t="shared" si="838"/>
        <v>Note 13 4G - orig c/aro= R$ 205,00</v>
      </c>
      <c r="O921" s="4" t="str">
        <f t="shared" si="839"/>
        <v>Note 13 4G - orig c/aro= R$ 195,00</v>
      </c>
      <c r="Q921" s="4" t="str">
        <f t="shared" si="840"/>
        <v>Note 13 4G - orig c/aro= R$ 210,00</v>
      </c>
    </row>
    <row r="922" spans="1:17" ht="14.4" x14ac:dyDescent="0.3">
      <c r="A922" t="s">
        <v>3367</v>
      </c>
      <c r="B922">
        <f>I317</f>
        <v>130</v>
      </c>
      <c r="E922" s="85" t="s">
        <v>13224</v>
      </c>
      <c r="F922" s="8">
        <v>250</v>
      </c>
      <c r="H922" s="4" t="s">
        <v>850</v>
      </c>
      <c r="I922" s="5">
        <f t="shared" si="899"/>
        <v>100</v>
      </c>
      <c r="J922" s="5"/>
      <c r="K922" s="4" t="str">
        <f t="shared" si="837"/>
        <v>Note 13 5G - incell = R$ 100,00</v>
      </c>
      <c r="M922" s="4" t="str">
        <f t="shared" si="838"/>
        <v>Note 13 5G - incell = R$ 105,00</v>
      </c>
      <c r="O922" s="4" t="str">
        <f t="shared" si="839"/>
        <v>Note 13 5G - incell = R$ 95,00</v>
      </c>
      <c r="Q922" s="4" t="str">
        <f t="shared" si="840"/>
        <v>Note 13 5G - incell = R$ 110,00</v>
      </c>
    </row>
    <row r="923" spans="1:17" ht="14.4" x14ac:dyDescent="0.3">
      <c r="A923" t="s">
        <v>2586</v>
      </c>
      <c r="B923">
        <f>B3</f>
        <v>65</v>
      </c>
      <c r="C923" t="s">
        <v>12635</v>
      </c>
      <c r="E923" s="85" t="s">
        <v>875</v>
      </c>
      <c r="F923" s="8">
        <v>100</v>
      </c>
      <c r="H923" s="4" t="s">
        <v>851</v>
      </c>
      <c r="I923" s="5">
        <f t="shared" si="899"/>
        <v>155</v>
      </c>
      <c r="J923" s="5"/>
      <c r="K923" s="4" t="str">
        <f t="shared" si="837"/>
        <v>Note 13 5G - incell c/aro= 155,00</v>
      </c>
      <c r="M923" s="4" t="str">
        <f t="shared" si="838"/>
        <v>Note 13 5G - incell c/aro= 160,00</v>
      </c>
      <c r="O923" s="4" t="str">
        <f t="shared" si="839"/>
        <v>Note 13 5G - incell c/aro= 150,00</v>
      </c>
      <c r="Q923" s="4" t="str">
        <f t="shared" si="840"/>
        <v>Note 13 5G - incell c/aro= 165,00</v>
      </c>
    </row>
    <row r="924" spans="1:17" ht="14.4" x14ac:dyDescent="0.3">
      <c r="A924" t="s">
        <v>3029</v>
      </c>
      <c r="B924">
        <f>B2</f>
        <v>60</v>
      </c>
      <c r="C924" t="s">
        <v>12633</v>
      </c>
      <c r="E924" s="85" t="s">
        <v>877</v>
      </c>
      <c r="F924" s="8">
        <v>160</v>
      </c>
      <c r="H924" s="4" t="s">
        <v>853</v>
      </c>
      <c r="I924" s="5">
        <f t="shared" si="899"/>
        <v>220</v>
      </c>
      <c r="J924" s="5"/>
      <c r="K924" s="4" t="str">
        <f t="shared" si="837"/>
        <v>Note 13 5G - original = R$ 220,00</v>
      </c>
      <c r="M924" s="4" t="str">
        <f t="shared" si="838"/>
        <v>Note 13 5G - original = R$ 225,00</v>
      </c>
      <c r="O924" s="4" t="str">
        <f t="shared" si="839"/>
        <v>Note 13 5G - original = R$ 215,00</v>
      </c>
      <c r="Q924" s="4" t="str">
        <f t="shared" si="840"/>
        <v>Note 13 5G - original = R$ 230,00</v>
      </c>
    </row>
    <row r="925" spans="1:17" ht="14.4" x14ac:dyDescent="0.3">
      <c r="A925" t="s">
        <v>2587</v>
      </c>
      <c r="B925">
        <f>B9</f>
        <v>65</v>
      </c>
      <c r="C925" t="s">
        <v>12637</v>
      </c>
      <c r="E925" s="85" t="s">
        <v>879</v>
      </c>
      <c r="F925" s="8">
        <v>80</v>
      </c>
      <c r="H925" s="4" t="s">
        <v>854</v>
      </c>
      <c r="I925" s="5">
        <f t="shared" si="899"/>
        <v>270</v>
      </c>
      <c r="J925" s="5"/>
      <c r="K925" s="4" t="str">
        <f t="shared" si="837"/>
        <v>Note 13 5G - orig c/aro= 270,00</v>
      </c>
      <c r="M925" s="4" t="str">
        <f t="shared" si="838"/>
        <v>Note 13 5G - orig c/aro= 275,00</v>
      </c>
      <c r="O925" s="4" t="str">
        <f t="shared" si="839"/>
        <v>Note 13 5G - orig c/aro= 265,00</v>
      </c>
      <c r="Q925" s="4" t="str">
        <f t="shared" si="840"/>
        <v>Note 13 5G - orig c/aro= 280,00</v>
      </c>
    </row>
    <row r="926" spans="1:17" ht="14.4" x14ac:dyDescent="0.3">
      <c r="A926" t="s">
        <v>3030</v>
      </c>
      <c r="B926">
        <f>B8</f>
        <v>60</v>
      </c>
      <c r="C926" t="s">
        <v>12636</v>
      </c>
      <c r="E926" s="85" t="s">
        <v>881</v>
      </c>
      <c r="F926" s="8">
        <v>190</v>
      </c>
      <c r="H926" s="4" t="s">
        <v>10686</v>
      </c>
      <c r="I926" s="5">
        <f t="shared" si="899"/>
        <v>80</v>
      </c>
      <c r="J926" s="5"/>
      <c r="K926" s="4" t="str">
        <f t="shared" si="837"/>
        <v>Note 13 Pro 4G - incell = R$ 80,00</v>
      </c>
      <c r="M926" s="4" t="str">
        <f t="shared" si="838"/>
        <v>Note 13 Pro 4G - incell = R$ 85,00</v>
      </c>
      <c r="O926" s="4" t="str">
        <f t="shared" si="839"/>
        <v>Note 13 Pro 4G - incell = R$ 75,00</v>
      </c>
      <c r="Q926" s="4" t="str">
        <f t="shared" si="840"/>
        <v>Note 13 Pro 4G - incell = R$ 90,00</v>
      </c>
    </row>
    <row r="927" spans="1:17" ht="14.4" x14ac:dyDescent="0.3">
      <c r="A927" t="s">
        <v>2588</v>
      </c>
      <c r="B927">
        <f>B15</f>
        <v>65</v>
      </c>
      <c r="E927" s="85" t="s">
        <v>883</v>
      </c>
      <c r="F927" s="8">
        <v>80</v>
      </c>
      <c r="H927" s="4" t="s">
        <v>10687</v>
      </c>
      <c r="I927" s="5">
        <f t="shared" si="899"/>
        <v>220</v>
      </c>
      <c r="J927" s="5"/>
      <c r="K927" s="4" t="str">
        <f t="shared" si="837"/>
        <v>Note 13 Pro 4G - original = R$ 220,00</v>
      </c>
      <c r="M927" s="4" t="str">
        <f t="shared" si="838"/>
        <v>Note 13 Pro 4G - original = R$ 225,00</v>
      </c>
      <c r="O927" s="4" t="str">
        <f t="shared" si="839"/>
        <v>Note 13 Pro 4G - original = R$ 215,00</v>
      </c>
      <c r="Q927" s="4" t="str">
        <f t="shared" si="840"/>
        <v>Note 13 Pro 4G - original = R$ 230,00</v>
      </c>
    </row>
    <row r="928" spans="1:17" ht="14.4" x14ac:dyDescent="0.3">
      <c r="A928" t="s">
        <v>2589</v>
      </c>
      <c r="B928">
        <f>B21</f>
        <v>65</v>
      </c>
      <c r="C928" t="s">
        <v>12640</v>
      </c>
      <c r="E928" s="85" t="s">
        <v>885</v>
      </c>
      <c r="F928" s="8">
        <v>190</v>
      </c>
      <c r="H928" s="4" t="s">
        <v>12014</v>
      </c>
      <c r="I928" s="5">
        <f t="shared" si="899"/>
        <v>280</v>
      </c>
      <c r="J928" s="5"/>
      <c r="K928" s="4" t="str">
        <f t="shared" si="837"/>
        <v>Note 13 Pro 4G orig c/aro = R$ 280,00</v>
      </c>
      <c r="M928" s="4" t="str">
        <f t="shared" si="838"/>
        <v>Note 13 Pro 4G orig c/aro = R$ 285,00</v>
      </c>
      <c r="O928" s="4" t="str">
        <f t="shared" si="839"/>
        <v>Note 13 Pro 4G orig c/aro = R$ 275,00</v>
      </c>
      <c r="Q928" s="4" t="str">
        <f t="shared" si="840"/>
        <v>Note 13 Pro 4G orig c/aro = R$ 290,00</v>
      </c>
    </row>
    <row r="929" spans="1:17" ht="14.4" x14ac:dyDescent="0.3">
      <c r="A929" t="s">
        <v>3032</v>
      </c>
      <c r="B929">
        <f>B20</f>
        <v>60</v>
      </c>
      <c r="C929" t="s">
        <v>12641</v>
      </c>
      <c r="E929" s="85" t="s">
        <v>11127</v>
      </c>
      <c r="F929" s="8">
        <v>140</v>
      </c>
      <c r="H929" s="4" t="s">
        <v>10631</v>
      </c>
      <c r="I929" s="5">
        <f t="shared" si="899"/>
        <v>85</v>
      </c>
      <c r="J929" s="5"/>
      <c r="K929" s="4" t="str">
        <f t="shared" ref="K929:K937" si="900">CONCATENATE(H929,I929,",00")</f>
        <v>Note 13 Pro 5G - incell = R$ 85,00</v>
      </c>
      <c r="M929" s="4" t="str">
        <f t="shared" ref="M929:M937" si="901">CONCATENATE(H929,I929+5,",00")</f>
        <v>Note 13 Pro 5G - incell = R$ 90,00</v>
      </c>
      <c r="O929" s="4" t="str">
        <f t="shared" ref="O929:O937" si="902">CONCATENATE(H929,I929-5,",00")</f>
        <v>Note 13 Pro 5G - incell = R$ 80,00</v>
      </c>
      <c r="Q929" s="4" t="str">
        <f t="shared" ref="Q929:Q933" si="903">CONCATENATE(H929,I929+10,",00")</f>
        <v>Note 13 Pro 5G - incell = R$ 95,00</v>
      </c>
    </row>
    <row r="930" spans="1:17" ht="14.4" x14ac:dyDescent="0.3">
      <c r="A930" t="s">
        <v>2590</v>
      </c>
      <c r="B930">
        <f>B34</f>
        <v>65</v>
      </c>
      <c r="C930" t="s">
        <v>12646</v>
      </c>
      <c r="E930" s="85" t="s">
        <v>888</v>
      </c>
      <c r="F930" s="8">
        <v>100</v>
      </c>
      <c r="H930" s="4" t="s">
        <v>10636</v>
      </c>
      <c r="I930" s="5">
        <f t="shared" si="899"/>
        <v>200</v>
      </c>
      <c r="J930" s="5"/>
      <c r="K930" s="4" t="str">
        <f t="shared" si="900"/>
        <v>Note 13 Pro 5G - original = R$ 200,00</v>
      </c>
      <c r="M930" s="4" t="str">
        <f t="shared" si="901"/>
        <v>Note 13 Pro 5G - original = R$ 205,00</v>
      </c>
      <c r="O930" s="4" t="str">
        <f t="shared" si="902"/>
        <v>Note 13 Pro 5G - original = R$ 195,00</v>
      </c>
      <c r="Q930" s="4" t="str">
        <f t="shared" si="903"/>
        <v>Note 13 Pro 5G - original = R$ 210,00</v>
      </c>
    </row>
    <row r="931" spans="1:17" ht="14.4" x14ac:dyDescent="0.3">
      <c r="A931" t="s">
        <v>3033</v>
      </c>
      <c r="B931">
        <f>B33</f>
        <v>60</v>
      </c>
      <c r="C931" t="s">
        <v>12645</v>
      </c>
      <c r="E931" s="85" t="s">
        <v>889</v>
      </c>
      <c r="F931" s="8">
        <v>225</v>
      </c>
      <c r="H931" s="4" t="s">
        <v>13024</v>
      </c>
      <c r="I931" s="5">
        <f t="shared" si="899"/>
        <v>220</v>
      </c>
      <c r="J931" s="5"/>
      <c r="K931" s="4" t="str">
        <f t="shared" si="900"/>
        <v>Note 13 Pro 5G orig c/aro = R$ 220,00</v>
      </c>
      <c r="M931" s="4" t="str">
        <f t="shared" si="901"/>
        <v>Note 13 Pro 5G orig c/aro = R$ 225,00</v>
      </c>
      <c r="O931" s="4" t="str">
        <f t="shared" si="902"/>
        <v>Note 13 Pro 5G orig c/aro = R$ 215,00</v>
      </c>
      <c r="Q931" s="4" t="str">
        <f t="shared" si="903"/>
        <v>Note 13 Pro 5G orig c/aro = R$ 230,00</v>
      </c>
    </row>
    <row r="932" spans="1:17" ht="14.4" x14ac:dyDescent="0.3">
      <c r="A932" t="s">
        <v>2591</v>
      </c>
      <c r="B932">
        <f>B28</f>
        <v>65</v>
      </c>
      <c r="C932" t="s">
        <v>12643</v>
      </c>
      <c r="E932" s="86" t="s">
        <v>11009</v>
      </c>
      <c r="F932" s="17">
        <v>90</v>
      </c>
      <c r="H932" s="4" t="s">
        <v>12545</v>
      </c>
      <c r="I932" s="5">
        <f t="shared" si="899"/>
        <v>100</v>
      </c>
      <c r="J932" s="5"/>
      <c r="K932" s="4" t="str">
        <f t="shared" ref="K932" si="904">CONCATENATE(H932,I932,",00")</f>
        <v>Note 14 4G - incell c/aro = 100,00</v>
      </c>
      <c r="M932" s="4" t="str">
        <f t="shared" ref="M932" si="905">CONCATENATE(H932,I932+5,",00")</f>
        <v>Note 14 4G - incell c/aro = 105,00</v>
      </c>
      <c r="O932" s="4" t="str">
        <f t="shared" ref="O932" si="906">CONCATENATE(H932,I932-5,",00")</f>
        <v>Note 14 4G - incell c/aro = 95,00</v>
      </c>
      <c r="Q932" s="4" t="str">
        <f t="shared" ref="Q932" si="907">CONCATENATE(H932,I932+10,",00")</f>
        <v>Note 14 4G - incell c/aro = 110,00</v>
      </c>
    </row>
    <row r="933" spans="1:17" ht="14.4" x14ac:dyDescent="0.3">
      <c r="A933" t="s">
        <v>2592</v>
      </c>
      <c r="B933">
        <f>B40</f>
        <v>65</v>
      </c>
      <c r="C933" t="s">
        <v>12648</v>
      </c>
      <c r="E933" s="85" t="s">
        <v>11145</v>
      </c>
      <c r="F933" s="17">
        <v>260</v>
      </c>
      <c r="H933" s="4" t="s">
        <v>12154</v>
      </c>
      <c r="I933" s="5">
        <f>F846</f>
        <v>170</v>
      </c>
      <c r="J933" s="5"/>
      <c r="K933" s="4" t="str">
        <f t="shared" si="900"/>
        <v>Note 14 4G - original = R$ 170,00</v>
      </c>
      <c r="M933" s="4" t="str">
        <f t="shared" si="901"/>
        <v>Note 14 4G - original = R$ 175,00</v>
      </c>
      <c r="O933" s="4" t="str">
        <f t="shared" si="902"/>
        <v>Note 14 4G - original = R$ 165,00</v>
      </c>
      <c r="Q933" s="4" t="str">
        <f t="shared" si="903"/>
        <v>Note 14 4G - original = R$ 180,00</v>
      </c>
    </row>
    <row r="934" spans="1:17" ht="14.4" x14ac:dyDescent="0.3">
      <c r="A934" t="s">
        <v>3035</v>
      </c>
      <c r="B934">
        <f>B39</f>
        <v>60</v>
      </c>
      <c r="C934" t="s">
        <v>12641</v>
      </c>
      <c r="E934" s="85" t="s">
        <v>894</v>
      </c>
      <c r="F934" s="8">
        <v>75</v>
      </c>
      <c r="H934" s="4" t="s">
        <v>12155</v>
      </c>
      <c r="I934" s="5">
        <f>F861</f>
        <v>170</v>
      </c>
      <c r="J934" s="5"/>
      <c r="K934" s="4" t="str">
        <f t="shared" si="900"/>
        <v>Note 14 5G - original = R$ 170,00</v>
      </c>
      <c r="M934" s="4" t="str">
        <f t="shared" si="901"/>
        <v>Note 14 5G - original = R$ 175,00</v>
      </c>
      <c r="O934" s="4" t="str">
        <f t="shared" si="902"/>
        <v>Note 14 5G - original = R$ 165,00</v>
      </c>
      <c r="Q934" s="4" t="str">
        <f>CONCATENATE(H934,I934+10,",00")</f>
        <v>Note 14 5G - original = R$ 180,00</v>
      </c>
    </row>
    <row r="935" spans="1:17" ht="14.4" x14ac:dyDescent="0.3">
      <c r="A935" t="s">
        <v>2593</v>
      </c>
      <c r="B935">
        <f>B47</f>
        <v>75</v>
      </c>
      <c r="C935" t="s">
        <v>12651</v>
      </c>
      <c r="E935" s="85" t="s">
        <v>10558</v>
      </c>
      <c r="F935" s="8">
        <v>85</v>
      </c>
      <c r="H935" s="4" t="s">
        <v>12546</v>
      </c>
      <c r="I935" s="5">
        <f>F859</f>
        <v>220</v>
      </c>
      <c r="J935" s="5"/>
      <c r="K935" s="4" t="str">
        <f t="shared" si="900"/>
        <v>Note 14 4G - orig c/aro = 220,00</v>
      </c>
      <c r="M935" s="4" t="str">
        <f t="shared" si="901"/>
        <v>Note 14 4G - orig c/aro = 225,00</v>
      </c>
      <c r="O935" s="4" t="str">
        <f t="shared" si="902"/>
        <v>Note 14 4G - orig c/aro = 215,00</v>
      </c>
      <c r="Q935" s="4" t="str">
        <f t="shared" ref="Q935:Q937" si="908">CONCATENATE(H935,I935+10,",00")</f>
        <v>Note 14 4G - orig c/aro = 230,00</v>
      </c>
    </row>
    <row r="936" spans="1:17" ht="14.4" x14ac:dyDescent="0.3">
      <c r="A936" t="s">
        <v>2594</v>
      </c>
      <c r="B936">
        <f>B53</f>
        <v>75</v>
      </c>
      <c r="C936" t="s">
        <v>12653</v>
      </c>
      <c r="E936" s="85" t="s">
        <v>896</v>
      </c>
      <c r="F936" s="8">
        <v>75</v>
      </c>
      <c r="H936" s="4" t="s">
        <v>13066</v>
      </c>
      <c r="I936" s="5">
        <f>F860</f>
        <v>120</v>
      </c>
      <c r="J936" s="5"/>
      <c r="K936" s="4" t="str">
        <f t="shared" ref="K936" si="909">CONCATENATE(H936,I936,",00")</f>
        <v>Note 14 5G - incell c/aro = 120,00</v>
      </c>
      <c r="M936" s="4" t="str">
        <f t="shared" ref="M936" si="910">CONCATENATE(H936,I936+5,",00")</f>
        <v>Note 14 5G - incell c/aro = 125,00</v>
      </c>
      <c r="O936" s="4" t="str">
        <f t="shared" ref="O936" si="911">CONCATENATE(H936,I936-5,",00")</f>
        <v>Note 14 5G - incell c/aro = 115,00</v>
      </c>
      <c r="Q936" s="4" t="str">
        <f t="shared" ref="Q936" si="912">CONCATENATE(H936,I936+10,",00")</f>
        <v>Note 14 5G - incell c/aro = 130,00</v>
      </c>
    </row>
    <row r="937" spans="1:17" ht="14.4" x14ac:dyDescent="0.3">
      <c r="A937" t="s">
        <v>3037</v>
      </c>
      <c r="B937">
        <f>B52</f>
        <v>60</v>
      </c>
      <c r="C937" t="s">
        <v>12641</v>
      </c>
      <c r="E937" s="85" t="s">
        <v>898</v>
      </c>
      <c r="F937" s="8">
        <v>180</v>
      </c>
      <c r="H937" s="4" t="s">
        <v>13048</v>
      </c>
      <c r="I937" s="5">
        <f t="shared" ref="I937:J956" si="913">F862</f>
        <v>270</v>
      </c>
      <c r="J937" s="5"/>
      <c r="K937" s="4" t="str">
        <f t="shared" si="900"/>
        <v>Note 14 5G - orig c/aro = 270,00</v>
      </c>
      <c r="M937" s="4" t="str">
        <f t="shared" si="901"/>
        <v>Note 14 5G - orig c/aro = 275,00</v>
      </c>
      <c r="O937" s="4" t="str">
        <f t="shared" si="902"/>
        <v>Note 14 5G - orig c/aro = 265,00</v>
      </c>
      <c r="Q937" s="4" t="str">
        <f t="shared" si="908"/>
        <v>Note 14 5G - orig c/aro = 280,00</v>
      </c>
    </row>
    <row r="938" spans="1:17" ht="14.4" x14ac:dyDescent="0.3">
      <c r="A938" t="s">
        <v>2595</v>
      </c>
      <c r="B938">
        <f>B59</f>
        <v>90</v>
      </c>
      <c r="C938" t="s">
        <v>12656</v>
      </c>
      <c r="E938" s="85" t="s">
        <v>900</v>
      </c>
      <c r="F938" s="8">
        <v>80</v>
      </c>
      <c r="H938" s="4" t="s">
        <v>855</v>
      </c>
      <c r="I938" s="5">
        <f t="shared" si="913"/>
        <v>55</v>
      </c>
      <c r="J938" s="5"/>
      <c r="K938" s="4" t="str">
        <f t="shared" si="837"/>
        <v>Redmi 7          = R$ 55,00</v>
      </c>
      <c r="M938" s="4" t="str">
        <f t="shared" si="838"/>
        <v>Redmi 7          = R$ 60,00</v>
      </c>
      <c r="O938" s="4" t="str">
        <f t="shared" si="839"/>
        <v>Redmi 7          = R$ 50,00</v>
      </c>
      <c r="Q938" s="4" t="str">
        <f>CONCATENATE(H938,I938+10,",00")</f>
        <v>Redmi 7          = R$ 65,00</v>
      </c>
    </row>
    <row r="939" spans="1:17" ht="14.4" x14ac:dyDescent="0.3">
      <c r="A939" t="s">
        <v>3038</v>
      </c>
      <c r="B939">
        <f>B58</f>
        <v>70</v>
      </c>
      <c r="C939" t="s">
        <v>12655</v>
      </c>
      <c r="E939" s="85" t="s">
        <v>902</v>
      </c>
      <c r="F939" s="8">
        <v>80</v>
      </c>
      <c r="H939" s="4" t="s">
        <v>856</v>
      </c>
      <c r="I939" s="5">
        <f t="shared" si="913"/>
        <v>65</v>
      </c>
      <c r="J939" s="5"/>
      <c r="K939" s="4" t="str">
        <f t="shared" si="837"/>
        <v>Redmi 7A        = R$ 65,00</v>
      </c>
      <c r="M939" s="4" t="str">
        <f t="shared" si="838"/>
        <v>Redmi 7A        = R$ 70,00</v>
      </c>
      <c r="O939" s="4" t="str">
        <f t="shared" si="839"/>
        <v>Redmi 7A        = R$ 60,00</v>
      </c>
      <c r="Q939" s="4" t="str">
        <f t="shared" ref="Q939" si="914">CONCATENATE(H939,I939+10,",00")</f>
        <v>Redmi 7A        = R$ 75,00</v>
      </c>
    </row>
    <row r="940" spans="1:17" ht="14.4" x14ac:dyDescent="0.3">
      <c r="A940" t="s">
        <v>2596</v>
      </c>
      <c r="B940">
        <f>B66</f>
        <v>80</v>
      </c>
      <c r="C940" t="s">
        <v>12659</v>
      </c>
      <c r="E940" s="86" t="s">
        <v>11157</v>
      </c>
      <c r="F940" s="17">
        <v>95</v>
      </c>
      <c r="H940" s="4" t="s">
        <v>857</v>
      </c>
      <c r="I940" s="5">
        <f t="shared" si="913"/>
        <v>65</v>
      </c>
      <c r="J940" s="5"/>
      <c r="K940" s="4" t="str">
        <f t="shared" si="837"/>
        <v>Redmi 8/8A    = R$ 65,00</v>
      </c>
      <c r="M940" s="4" t="str">
        <f t="shared" si="838"/>
        <v>Redmi 8/8A    = R$ 70,00</v>
      </c>
      <c r="O940" s="4" t="str">
        <f t="shared" si="839"/>
        <v>Redmi 8/8A    = R$ 60,00</v>
      </c>
      <c r="Q940" s="4" t="str">
        <f>CONCATENATE(H940,I940+10,",00")</f>
        <v>Redmi 8/8A    = R$ 75,00</v>
      </c>
    </row>
    <row r="941" spans="1:17" ht="14.4" x14ac:dyDescent="0.3">
      <c r="A941" t="s">
        <v>2597</v>
      </c>
      <c r="B941">
        <f>B72</f>
        <v>80</v>
      </c>
      <c r="C941" t="s">
        <v>12662</v>
      </c>
      <c r="E941" s="86" t="s">
        <v>11158</v>
      </c>
      <c r="F941" s="17">
        <v>170</v>
      </c>
      <c r="H941" s="4" t="s">
        <v>858</v>
      </c>
      <c r="I941" s="5">
        <f t="shared" si="913"/>
        <v>65</v>
      </c>
      <c r="J941" s="5"/>
      <c r="K941" s="4" t="str">
        <f t="shared" si="837"/>
        <v>Redmi 9           = R$ 65,00</v>
      </c>
      <c r="M941" s="4" t="str">
        <f t="shared" si="838"/>
        <v>Redmi 9           = R$ 70,00</v>
      </c>
      <c r="O941" s="4" t="str">
        <f t="shared" si="839"/>
        <v>Redmi 9           = R$ 60,00</v>
      </c>
      <c r="Q941" s="4" t="str">
        <f>CONCATENATE(H941,I941+10,",00")</f>
        <v>Redmi 9           = R$ 75,00</v>
      </c>
    </row>
    <row r="942" spans="1:17" ht="14.4" x14ac:dyDescent="0.3">
      <c r="A942" t="s">
        <v>3040</v>
      </c>
      <c r="B942">
        <f>B71</f>
        <v>75</v>
      </c>
      <c r="C942" t="s">
        <v>12661</v>
      </c>
      <c r="E942" s="86" t="s">
        <v>12587</v>
      </c>
      <c r="F942" s="17">
        <v>190</v>
      </c>
      <c r="H942" s="4" t="s">
        <v>859</v>
      </c>
      <c r="I942" s="5">
        <f t="shared" si="913"/>
        <v>80</v>
      </c>
      <c r="J942" s="5"/>
      <c r="K942" s="4" t="str">
        <f t="shared" si="837"/>
        <v>Redmi 9 c/aro             = R$ 80,00</v>
      </c>
      <c r="M942" s="4" t="str">
        <f t="shared" si="838"/>
        <v>Redmi 9 c/aro             = R$ 85,00</v>
      </c>
      <c r="O942" s="4" t="str">
        <f t="shared" si="839"/>
        <v>Redmi 9 c/aro             = R$ 75,00</v>
      </c>
      <c r="Q942" s="4" t="str">
        <f>CONCATENATE(H942,I942+10,",00")</f>
        <v>Redmi 9 c/aro             = R$ 90,00</v>
      </c>
    </row>
    <row r="943" spans="1:17" ht="14.4" x14ac:dyDescent="0.3">
      <c r="A943" t="s">
        <v>12780</v>
      </c>
      <c r="B943">
        <f>B81</f>
        <v>80</v>
      </c>
      <c r="C943" t="s">
        <v>12741</v>
      </c>
      <c r="E943" s="86" t="s">
        <v>904</v>
      </c>
      <c r="F943" s="17">
        <f>F812</f>
        <v>85</v>
      </c>
      <c r="H943" s="4" t="s">
        <v>11825</v>
      </c>
      <c r="I943" s="5">
        <f t="shared" si="913"/>
        <v>90</v>
      </c>
      <c r="J943" s="5"/>
      <c r="K943" s="4" t="str">
        <f t="shared" si="837"/>
        <v>Redmi 9 c/aro Nacional = R$ 90,00</v>
      </c>
      <c r="M943" s="4" t="str">
        <f t="shared" si="838"/>
        <v>Redmi 9 c/aro Nacional = R$ 95,00</v>
      </c>
      <c r="O943" s="4" t="str">
        <f t="shared" si="839"/>
        <v>Redmi 9 c/aro Nacional = R$ 85,00</v>
      </c>
      <c r="Q943" s="4" t="str">
        <f t="shared" ref="Q943" si="915">CONCATENATE(H943,I943+10,",00")</f>
        <v>Redmi 9 c/aro Nacional = R$ 100,00</v>
      </c>
    </row>
    <row r="944" spans="1:17" ht="14.4" x14ac:dyDescent="0.3">
      <c r="A944" t="s">
        <v>12781</v>
      </c>
      <c r="B944">
        <f>B80</f>
        <v>65</v>
      </c>
      <c r="C944" t="s">
        <v>12742</v>
      </c>
      <c r="E944" s="85" t="s">
        <v>10627</v>
      </c>
      <c r="F944" s="8">
        <v>80</v>
      </c>
      <c r="H944" s="4" t="s">
        <v>11824</v>
      </c>
      <c r="I944" s="5">
        <f t="shared" si="913"/>
        <v>100</v>
      </c>
      <c r="J944" s="5"/>
      <c r="K944" s="4" t="str">
        <f t="shared" ref="K944" si="916">CONCATENATE(H944,I944,",00")</f>
        <v>Redmi 9 c/aro Nac Diamonds = 100,00</v>
      </c>
      <c r="M944" s="4" t="str">
        <f t="shared" ref="M944" si="917">CONCATENATE(H944,I944+5,",00")</f>
        <v>Redmi 9 c/aro Nac Diamonds = 105,00</v>
      </c>
      <c r="O944" s="4" t="str">
        <f t="shared" ref="O944" si="918">CONCATENATE(H944,I944-5,",00")</f>
        <v>Redmi 9 c/aro Nac Diamonds = 95,00</v>
      </c>
      <c r="Q944" s="4" t="str">
        <f t="shared" ref="Q944" si="919">CONCATENATE(H944,I944+10,",00")</f>
        <v>Redmi 9 c/aro Nac Diamonds = 110,00</v>
      </c>
    </row>
    <row r="945" spans="1:17" ht="14.4" x14ac:dyDescent="0.3">
      <c r="A945" t="s">
        <v>2598</v>
      </c>
      <c r="B945">
        <f>B103</f>
        <v>65</v>
      </c>
      <c r="C945" t="s">
        <v>12748</v>
      </c>
      <c r="E945" s="85" t="s">
        <v>908</v>
      </c>
      <c r="F945" s="8">
        <v>95</v>
      </c>
      <c r="H945" s="4" t="s">
        <v>10543</v>
      </c>
      <c r="I945" s="5">
        <f t="shared" si="913"/>
        <v>60</v>
      </c>
      <c r="J945" s="5"/>
      <c r="K945" s="4" t="str">
        <f t="shared" si="837"/>
        <v>Redmi 9A/9C/9i = R$ 60,00</v>
      </c>
      <c r="M945" s="4" t="str">
        <f t="shared" si="838"/>
        <v>Redmi 9A/9C/9i = R$ 65,00</v>
      </c>
      <c r="O945" s="4" t="str">
        <f t="shared" si="839"/>
        <v>Redmi 9A/9C/9i = R$ 55,00</v>
      </c>
      <c r="Q945" s="4" t="str">
        <f t="shared" ref="Q945:Q956" si="920">CONCATENATE(H945,I945+10,",00")</f>
        <v>Redmi 9A/9C/9i = R$ 70,00</v>
      </c>
    </row>
    <row r="946" spans="1:17" ht="14.4" x14ac:dyDescent="0.3">
      <c r="A946" t="s">
        <v>2599</v>
      </c>
      <c r="B946">
        <f>B109</f>
        <v>65</v>
      </c>
      <c r="C946" t="s">
        <v>12751</v>
      </c>
      <c r="E946" s="85" t="s">
        <v>11845</v>
      </c>
      <c r="F946" s="8">
        <v>100</v>
      </c>
      <c r="H946" s="4" t="s">
        <v>862</v>
      </c>
      <c r="I946" s="5">
        <f t="shared" si="913"/>
        <v>75</v>
      </c>
      <c r="J946" s="5"/>
      <c r="K946" s="4" t="str">
        <f t="shared" si="837"/>
        <v>Redmi 9A/9C c/aro   = R$ 75,00</v>
      </c>
      <c r="M946" s="4" t="str">
        <f t="shared" si="838"/>
        <v>Redmi 9A/9C c/aro   = R$ 80,00</v>
      </c>
      <c r="O946" s="4" t="str">
        <f t="shared" si="839"/>
        <v>Redmi 9A/9C c/aro   = R$ 70,00</v>
      </c>
      <c r="Q946" s="4" t="str">
        <f t="shared" si="920"/>
        <v>Redmi 9A/9C c/aro   = R$ 85,00</v>
      </c>
    </row>
    <row r="947" spans="1:17" ht="14.4" x14ac:dyDescent="0.3">
      <c r="A947" t="s">
        <v>3042</v>
      </c>
      <c r="B947">
        <f>B108</f>
        <v>60</v>
      </c>
      <c r="C947" t="s">
        <v>12750</v>
      </c>
      <c r="E947" s="85" t="s">
        <v>11846</v>
      </c>
      <c r="F947" s="8">
        <v>110</v>
      </c>
      <c r="H947" s="4" t="s">
        <v>864</v>
      </c>
      <c r="I947" s="5">
        <f t="shared" si="913"/>
        <v>85</v>
      </c>
      <c r="J947" s="5"/>
      <c r="K947" s="4" t="str">
        <f t="shared" ref="K947" si="921">CONCATENATE(H947,I947,",00")</f>
        <v>Redmi 9A/9C c/aro Nac = 85,00</v>
      </c>
      <c r="M947" s="4" t="str">
        <f t="shared" ref="M947" si="922">CONCATENATE(H947,I947+5,",00")</f>
        <v>Redmi 9A/9C c/aro Nac = 90,00</v>
      </c>
      <c r="O947" s="4" t="str">
        <f t="shared" ref="O947" si="923">CONCATENATE(H947,I947-5,",00")</f>
        <v>Redmi 9A/9C c/aro Nac = 80,00</v>
      </c>
      <c r="Q947" s="4" t="str">
        <f t="shared" ref="Q947" si="924">CONCATENATE(H947,I947+10,",00")</f>
        <v>Redmi 9A/9C c/aro Nac = 95,00</v>
      </c>
    </row>
    <row r="948" spans="1:17" ht="14.4" x14ac:dyDescent="0.3">
      <c r="A948" t="s">
        <v>2600</v>
      </c>
      <c r="B948">
        <f>B116</f>
        <v>70</v>
      </c>
      <c r="C948" t="s">
        <v>12754</v>
      </c>
      <c r="E948" s="86" t="s">
        <v>12407</v>
      </c>
      <c r="F948" s="17">
        <v>160</v>
      </c>
      <c r="H948" s="4" t="s">
        <v>11828</v>
      </c>
      <c r="I948" s="5">
        <f t="shared" si="913"/>
        <v>95</v>
      </c>
      <c r="J948" s="5"/>
      <c r="K948" s="4" t="str">
        <f t="shared" si="837"/>
        <v>Redmi 9A/9C c/aro Nac Diamonds = 95,00</v>
      </c>
      <c r="M948" s="4" t="str">
        <f t="shared" si="838"/>
        <v>Redmi 9A/9C c/aro Nac Diamonds = 100,00</v>
      </c>
      <c r="O948" s="4" t="str">
        <f t="shared" si="839"/>
        <v>Redmi 9A/9C c/aro Nac Diamonds = 90,00</v>
      </c>
      <c r="Q948" s="4" t="str">
        <f t="shared" si="920"/>
        <v>Redmi 9A/9C c/aro Nac Diamonds = 105,00</v>
      </c>
    </row>
    <row r="949" spans="1:17" ht="14.4" x14ac:dyDescent="0.3">
      <c r="A949" t="s">
        <v>3043</v>
      </c>
      <c r="B949">
        <f>B115</f>
        <v>65</v>
      </c>
      <c r="C949" t="s">
        <v>12753</v>
      </c>
      <c r="E949" s="86" t="s">
        <v>12408</v>
      </c>
      <c r="F949" s="17">
        <v>270</v>
      </c>
      <c r="H949" s="4" t="s">
        <v>866</v>
      </c>
      <c r="I949" s="5">
        <f t="shared" si="913"/>
        <v>65</v>
      </c>
      <c r="J949" s="5"/>
      <c r="K949" s="4" t="str">
        <f t="shared" si="837"/>
        <v>Redmi 9T         = R$ 65,00</v>
      </c>
      <c r="M949" s="4" t="str">
        <f t="shared" si="838"/>
        <v>Redmi 9T         = R$ 70,00</v>
      </c>
      <c r="O949" s="4" t="str">
        <f t="shared" si="839"/>
        <v>Redmi 9T         = R$ 60,00</v>
      </c>
      <c r="Q949" s="4" t="str">
        <f t="shared" si="920"/>
        <v>Redmi 9T         = R$ 75,00</v>
      </c>
    </row>
    <row r="950" spans="1:17" ht="14.4" x14ac:dyDescent="0.3">
      <c r="A950" t="s">
        <v>2601</v>
      </c>
      <c r="B950">
        <f>B2354</f>
        <v>65</v>
      </c>
      <c r="C950" t="s">
        <v>12784</v>
      </c>
      <c r="E950" s="85" t="s">
        <v>912</v>
      </c>
      <c r="F950" s="8">
        <v>80</v>
      </c>
      <c r="H950" s="4" t="s">
        <v>868</v>
      </c>
      <c r="I950" s="5">
        <f t="shared" si="913"/>
        <v>80</v>
      </c>
      <c r="J950" s="5"/>
      <c r="K950" s="4" t="str">
        <f t="shared" si="837"/>
        <v>Redmi 9T c/aro  = R$ 80,00</v>
      </c>
      <c r="M950" s="4" t="str">
        <f t="shared" si="838"/>
        <v>Redmi 9T c/aro  = R$ 85,00</v>
      </c>
      <c r="O950" s="4" t="str">
        <f t="shared" si="839"/>
        <v>Redmi 9T c/aro  = R$ 75,00</v>
      </c>
      <c r="Q950" s="4" t="str">
        <f t="shared" si="920"/>
        <v>Redmi 9T c/aro  = R$ 90,00</v>
      </c>
    </row>
    <row r="951" spans="1:17" ht="14.4" x14ac:dyDescent="0.3">
      <c r="A951" t="s">
        <v>3044</v>
      </c>
      <c r="B951">
        <f>B121</f>
        <v>60</v>
      </c>
      <c r="C951" t="s">
        <v>12632</v>
      </c>
      <c r="E951" s="85" t="s">
        <v>914</v>
      </c>
      <c r="F951" s="8">
        <v>110</v>
      </c>
      <c r="H951" s="4" t="s">
        <v>12140</v>
      </c>
      <c r="I951" s="5">
        <f t="shared" si="913"/>
        <v>90</v>
      </c>
      <c r="J951" s="5"/>
      <c r="K951" s="4" t="str">
        <f t="shared" ref="K951:K952" si="925">CONCATENATE(H951,I951,",00")</f>
        <v>Redmi 9T c/aro Nac = 90,00</v>
      </c>
      <c r="M951" s="4" t="str">
        <f t="shared" ref="M951:M952" si="926">CONCATENATE(H951,I951+5,",00")</f>
        <v>Redmi 9T c/aro Nac = 95,00</v>
      </c>
      <c r="O951" s="4" t="str">
        <f t="shared" ref="O951:O952" si="927">CONCATENATE(H951,I951-5,",00")</f>
        <v>Redmi 9T c/aro Nac = 85,00</v>
      </c>
      <c r="Q951" s="4" t="str">
        <f t="shared" ref="Q951:Q952" si="928">CONCATENATE(H951,I951+10,",00")</f>
        <v>Redmi 9T c/aro Nac = 100,00</v>
      </c>
    </row>
    <row r="952" spans="1:17" ht="14.4" x14ac:dyDescent="0.3">
      <c r="A952" t="s">
        <v>2602</v>
      </c>
      <c r="B952">
        <f>B128</f>
        <v>75</v>
      </c>
      <c r="C952" t="s">
        <v>12758</v>
      </c>
      <c r="E952" s="85" t="s">
        <v>916</v>
      </c>
      <c r="F952" s="8">
        <v>90</v>
      </c>
      <c r="H952" s="4" t="s">
        <v>12141</v>
      </c>
      <c r="I952" s="5">
        <f t="shared" si="913"/>
        <v>100</v>
      </c>
      <c r="J952" s="5"/>
      <c r="K952" s="4" t="str">
        <f t="shared" si="925"/>
        <v>Redmi 9T c/aro Nac Diamonds = 100,00</v>
      </c>
      <c r="M952" s="4" t="str">
        <f t="shared" si="926"/>
        <v>Redmi 9T c/aro Nac Diamonds = 105,00</v>
      </c>
      <c r="O952" s="4" t="str">
        <f t="shared" si="927"/>
        <v>Redmi 9T c/aro Nac Diamonds = 95,00</v>
      </c>
      <c r="Q952" s="4" t="str">
        <f t="shared" si="928"/>
        <v>Redmi 9T c/aro Nac Diamonds = 110,00</v>
      </c>
    </row>
    <row r="953" spans="1:17" ht="14.4" x14ac:dyDescent="0.3">
      <c r="A953" t="s">
        <v>3045</v>
      </c>
      <c r="B953">
        <f>B126</f>
        <v>65</v>
      </c>
      <c r="C953" t="s">
        <v>12757</v>
      </c>
      <c r="E953" s="85" t="s">
        <v>11020</v>
      </c>
      <c r="F953" s="8">
        <v>105</v>
      </c>
      <c r="H953" s="4" t="s">
        <v>870</v>
      </c>
      <c r="I953" s="5">
        <f t="shared" si="913"/>
        <v>80</v>
      </c>
      <c r="J953" s="5"/>
      <c r="K953" s="4" t="str">
        <f t="shared" si="837"/>
        <v>Redmi 10/10 prime    = R$ 80,00</v>
      </c>
      <c r="M953" s="4" t="str">
        <f t="shared" si="838"/>
        <v>Redmi 10/10 prime    = R$ 85,00</v>
      </c>
      <c r="O953" s="4" t="str">
        <f t="shared" si="839"/>
        <v>Redmi 10/10 prime    = R$ 75,00</v>
      </c>
      <c r="Q953" s="4" t="str">
        <f t="shared" si="920"/>
        <v>Redmi 10/10 prime    = R$ 90,00</v>
      </c>
    </row>
    <row r="954" spans="1:17" ht="14.4" x14ac:dyDescent="0.3">
      <c r="A954" t="s">
        <v>2603</v>
      </c>
      <c r="B954">
        <f>B136</f>
        <v>90</v>
      </c>
      <c r="C954" t="s">
        <v>12761</v>
      </c>
      <c r="F954" s="17"/>
      <c r="H954" s="4" t="s">
        <v>872</v>
      </c>
      <c r="I954" s="5">
        <f t="shared" si="913"/>
        <v>90</v>
      </c>
      <c r="J954" s="5"/>
      <c r="K954" s="4" t="str">
        <f t="shared" si="837"/>
        <v>Redmi 10/10 prime c/aro = 90,00</v>
      </c>
      <c r="M954" s="4" t="str">
        <f t="shared" si="838"/>
        <v>Redmi 10/10 prime c/aro = 95,00</v>
      </c>
      <c r="O954" s="4" t="str">
        <f t="shared" si="839"/>
        <v>Redmi 10/10 prime c/aro = 85,00</v>
      </c>
      <c r="Q954" s="4" t="str">
        <f t="shared" si="920"/>
        <v>Redmi 10/10 prime c/aro = 100,00</v>
      </c>
    </row>
    <row r="955" spans="1:17" ht="14.4" x14ac:dyDescent="0.3">
      <c r="A955" t="s">
        <v>3046</v>
      </c>
      <c r="B955">
        <f>B134</f>
        <v>70</v>
      </c>
      <c r="C955" t="s">
        <v>12760</v>
      </c>
      <c r="F955" s="17"/>
      <c r="H955" s="4" t="s">
        <v>11831</v>
      </c>
      <c r="I955" s="5">
        <f t="shared" si="913"/>
        <v>100</v>
      </c>
      <c r="J955" s="5"/>
      <c r="K955" s="4" t="str">
        <f t="shared" ref="K955" si="929">CONCATENATE(H955,I955,",00")</f>
        <v>Redmi 10 c/aro Nacional =R$ 100,00</v>
      </c>
      <c r="M955" s="4" t="str">
        <f t="shared" ref="M955" si="930">CONCATENATE(H955,I955+5,",00")</f>
        <v>Redmi 10 c/aro Nacional =R$ 105,00</v>
      </c>
      <c r="O955" s="4" t="str">
        <f t="shared" ref="O955" si="931">CONCATENATE(H955,I955-5,",00")</f>
        <v>Redmi 10 c/aro Nacional =R$ 95,00</v>
      </c>
      <c r="Q955" s="4" t="str">
        <f t="shared" ref="Q955" si="932">CONCATENATE(H955,I955+10,",00")</f>
        <v>Redmi 10 c/aro Nacional =R$ 110,00</v>
      </c>
    </row>
    <row r="956" spans="1:17" ht="14.4" x14ac:dyDescent="0.3">
      <c r="A956" t="s">
        <v>2604</v>
      </c>
      <c r="B956">
        <f>B143</f>
        <v>75</v>
      </c>
      <c r="C956" t="s">
        <v>12764</v>
      </c>
      <c r="E956" s="7"/>
      <c r="F956" s="8"/>
      <c r="H956" s="4" t="s">
        <v>11830</v>
      </c>
      <c r="I956" s="5">
        <f t="shared" si="913"/>
        <v>110</v>
      </c>
      <c r="J956" s="5"/>
      <c r="K956" s="4" t="str">
        <f t="shared" si="837"/>
        <v>Redmi 10 c/aro Nac Diamonds = 110,00</v>
      </c>
      <c r="M956" s="4" t="str">
        <f t="shared" si="838"/>
        <v>Redmi 10 c/aro Nac Diamonds = 115,00</v>
      </c>
      <c r="O956" s="4" t="str">
        <f t="shared" si="839"/>
        <v>Redmi 10 c/aro Nac Diamonds = 105,00</v>
      </c>
      <c r="Q956" s="4" t="str">
        <f t="shared" si="920"/>
        <v>Redmi 10 c/aro Nac Diamonds = 120,00</v>
      </c>
    </row>
    <row r="957" spans="1:17" ht="14.4" x14ac:dyDescent="0.3">
      <c r="A957" t="s">
        <v>3047</v>
      </c>
      <c r="B957">
        <f>B142</f>
        <v>70</v>
      </c>
      <c r="C957" t="s">
        <v>12763</v>
      </c>
      <c r="E957" s="18"/>
      <c r="F957" s="17"/>
      <c r="H957" s="4" t="s">
        <v>874</v>
      </c>
      <c r="I957" s="5">
        <f>F880</f>
        <v>100</v>
      </c>
      <c r="J957" s="5"/>
      <c r="K957" s="4" t="str">
        <f>CONCATENATE(H957,I957,",00")</f>
        <v>Redmi 10 Prime Nac c/aro =  100,00</v>
      </c>
      <c r="M957" s="4" t="str">
        <f>CONCATENATE(H957,I957+5,",00")</f>
        <v>Redmi 10 Prime Nac c/aro =  105,00</v>
      </c>
      <c r="O957" s="4" t="str">
        <f>CONCATENATE(H957,I957-5,",00")</f>
        <v>Redmi 10 Prime Nac c/aro =  95,00</v>
      </c>
      <c r="Q957" s="4" t="str">
        <f>CONCATENATE(H959,I959+10,",00")</f>
        <v>Redmi 10 5G    = R$ 90,00</v>
      </c>
    </row>
    <row r="958" spans="1:17" ht="14.4" x14ac:dyDescent="0.3">
      <c r="A958" t="s">
        <v>2605</v>
      </c>
      <c r="B958">
        <f>B152</f>
        <v>80</v>
      </c>
      <c r="C958" t="s">
        <v>12766</v>
      </c>
      <c r="E958" s="18"/>
      <c r="F958" s="17"/>
      <c r="H958" s="4" t="s">
        <v>11832</v>
      </c>
      <c r="I958" s="5">
        <f>F881</f>
        <v>110</v>
      </c>
      <c r="J958" s="5"/>
      <c r="K958" s="4" t="str">
        <f>CONCATENATE(H958,I958,",00")</f>
        <v>Redmi 10 Prime Nac Diamonds = 110,00</v>
      </c>
      <c r="M958" s="4" t="str">
        <f>CONCATENATE(H958,I958+5,",00")</f>
        <v>Redmi 10 Prime Nac Diamonds = 115,00</v>
      </c>
      <c r="O958" s="4" t="str">
        <f>CONCATENATE(H958,I958-5,",00")</f>
        <v>Redmi 10 Prime Nac Diamonds = 105,00</v>
      </c>
      <c r="Q958" s="4" t="str">
        <f>CONCATENATE(H960,I960+10,",00")</f>
        <v>Redmi 10A       = R$ 70,00</v>
      </c>
    </row>
    <row r="959" spans="1:17" ht="14.4" x14ac:dyDescent="0.3">
      <c r="A959" t="s">
        <v>3048</v>
      </c>
      <c r="B959">
        <f>B151</f>
        <v>65</v>
      </c>
      <c r="C959" t="s">
        <v>12765</v>
      </c>
      <c r="E959" s="18"/>
      <c r="F959" s="17"/>
      <c r="H959" s="4" t="s">
        <v>982</v>
      </c>
      <c r="I959" s="5">
        <f>F944</f>
        <v>80</v>
      </c>
      <c r="J959" s="5"/>
      <c r="K959" s="4" t="str">
        <f t="shared" ref="K959" si="933">CONCATENATE(H959,I959,",00")</f>
        <v>Redmi 10 5G    = R$ 80,00</v>
      </c>
      <c r="M959" s="4" t="str">
        <f t="shared" ref="M959" si="934">CONCATENATE(H959,I959+5,",00")</f>
        <v>Redmi 10 5G    = R$ 85,00</v>
      </c>
      <c r="O959" s="4" t="str">
        <f t="shared" ref="O959" si="935">CONCATENATE(H959,I959-5,",00")</f>
        <v>Redmi 10 5G    = R$ 75,00</v>
      </c>
      <c r="Q959" s="4" t="str">
        <f t="shared" ref="Q959" si="936">CONCATENATE(H960,I960+10,",00")</f>
        <v>Redmi 10A       = R$ 70,00</v>
      </c>
    </row>
    <row r="960" spans="1:17" ht="14.4" x14ac:dyDescent="0.3">
      <c r="A960" t="s">
        <v>2759</v>
      </c>
      <c r="B960">
        <f>B162</f>
        <v>80</v>
      </c>
      <c r="C960" t="s">
        <v>12768</v>
      </c>
      <c r="E960" s="18"/>
      <c r="F960" s="17"/>
      <c r="H960" s="4" t="s">
        <v>876</v>
      </c>
      <c r="I960" s="5">
        <f>F870</f>
        <v>60</v>
      </c>
      <c r="J960" s="5"/>
      <c r="K960" s="4" t="str">
        <f>CONCATENATE(H960,I960,",00")</f>
        <v>Redmi 10A       = R$ 60,00</v>
      </c>
      <c r="M960" s="4" t="str">
        <f>CONCATENATE(H960,I960+5,",00")</f>
        <v>Redmi 10A       = R$ 65,00</v>
      </c>
      <c r="O960" s="4" t="str">
        <f>CONCATENATE(H960,I960-5,",00")</f>
        <v>Redmi 10A       = R$ 55,00</v>
      </c>
      <c r="Q960" s="4" t="str">
        <f t="shared" ref="Q960" si="937">CONCATENATE(H961,I961+10,",00")</f>
        <v>Redmi 10A c/aro        = R$ 90,00</v>
      </c>
    </row>
    <row r="961" spans="1:17" ht="14.4" x14ac:dyDescent="0.3">
      <c r="A961" t="s">
        <v>3049</v>
      </c>
      <c r="B961">
        <f>B163</f>
        <v>150</v>
      </c>
      <c r="C961" t="s">
        <v>12769</v>
      </c>
      <c r="E961" s="18"/>
      <c r="F961" s="17"/>
      <c r="H961" s="4" t="s">
        <v>878</v>
      </c>
      <c r="I961" s="5">
        <f t="shared" ref="I961:J967" si="938">F882</f>
        <v>80</v>
      </c>
      <c r="J961" s="5"/>
      <c r="K961" s="4" t="str">
        <f>CONCATENATE(H961,I961,",00")</f>
        <v>Redmi 10A c/aro        = R$ 80,00</v>
      </c>
      <c r="M961" s="4" t="str">
        <f>CONCATENATE(H961,I961+5,",00")</f>
        <v>Redmi 10A c/aro        = R$ 85,00</v>
      </c>
      <c r="O961" s="4" t="str">
        <f>CONCATENATE(H961,I961-5,",00")</f>
        <v>Redmi 10A c/aro        = R$ 75,00</v>
      </c>
      <c r="Q961" s="4" t="str">
        <f t="shared" ref="Q961:Q1027" si="939">CONCATENATE(H961,I961+10,",00")</f>
        <v>Redmi 10A c/aro        = R$ 90,00</v>
      </c>
    </row>
    <row r="962" spans="1:17" ht="14.4" x14ac:dyDescent="0.3">
      <c r="A962" t="s">
        <v>2606</v>
      </c>
      <c r="B962">
        <f>B177</f>
        <v>160</v>
      </c>
      <c r="C962" t="s">
        <v>12770</v>
      </c>
      <c r="E962" s="18"/>
      <c r="F962" s="17"/>
      <c r="H962" s="4" t="s">
        <v>10614</v>
      </c>
      <c r="I962" s="5">
        <f t="shared" si="938"/>
        <v>90</v>
      </c>
      <c r="J962" s="5"/>
      <c r="K962" s="4" t="str">
        <f t="shared" ref="K962:K963" si="940">CONCATENATE(H962,I962,",00")</f>
        <v>Redmi 10A c/aro Nacional = 90,00</v>
      </c>
      <c r="M962" s="4" t="str">
        <f t="shared" ref="M962" si="941">CONCATENATE(H963,I963+5,",00")</f>
        <v>Redmi 10A c/aro Nac Diamonds = 105,00</v>
      </c>
      <c r="O962" s="4" t="str">
        <f t="shared" ref="O962" si="942">CONCATENATE(H963,I963-5,",00")</f>
        <v>Redmi 10A c/aro Nac Diamonds = 95,00</v>
      </c>
      <c r="Q962" s="4" t="str">
        <f t="shared" ref="Q962" si="943">CONCATENATE(H963,I963+10,",00")</f>
        <v>Redmi 10A c/aro Nac Diamonds = 110,00</v>
      </c>
    </row>
    <row r="963" spans="1:17" ht="14.4" x14ac:dyDescent="0.3">
      <c r="A963" t="s">
        <v>2760</v>
      </c>
      <c r="B963">
        <f>B242</f>
        <v>70</v>
      </c>
      <c r="E963" s="18"/>
      <c r="F963" s="17"/>
      <c r="H963" s="4" t="s">
        <v>11834</v>
      </c>
      <c r="I963" s="5">
        <f t="shared" si="938"/>
        <v>100</v>
      </c>
      <c r="J963" s="5"/>
      <c r="K963" s="4" t="str">
        <f t="shared" si="940"/>
        <v>Redmi 10A c/aro Nac Diamonds = 100,00</v>
      </c>
      <c r="M963" s="4" t="str">
        <f t="shared" ref="M963:M1029" si="944">CONCATENATE(H963,I963+5,",00")</f>
        <v>Redmi 10A c/aro Nac Diamonds = 105,00</v>
      </c>
      <c r="O963" s="4" t="str">
        <f t="shared" ref="O963:O970" si="945">CONCATENATE(H963,I963-5,",00")</f>
        <v>Redmi 10A c/aro Nac Diamonds = 95,00</v>
      </c>
      <c r="Q963" s="4" t="str">
        <f t="shared" ref="Q963" si="946">CONCATENATE(H963,I963+10,",00")</f>
        <v>Redmi 10A c/aro Nac Diamonds = 110,00</v>
      </c>
    </row>
    <row r="964" spans="1:17" ht="14.4" x14ac:dyDescent="0.3">
      <c r="A964" t="s">
        <v>2607</v>
      </c>
      <c r="B964">
        <f>B245</f>
        <v>135</v>
      </c>
      <c r="E964" s="18"/>
      <c r="F964" s="17"/>
      <c r="H964" s="4" t="s">
        <v>880</v>
      </c>
      <c r="I964" s="5">
        <f t="shared" si="938"/>
        <v>70</v>
      </c>
      <c r="J964" s="5"/>
      <c r="K964" s="4" t="str">
        <f t="shared" ref="K964:K998" si="947">CONCATENATE(H964,I964,",00")</f>
        <v>Redmi 10C       = R$ 70,00</v>
      </c>
      <c r="M964" s="4" t="str">
        <f t="shared" si="944"/>
        <v>Redmi 10C       = R$ 75,00</v>
      </c>
      <c r="O964" s="4" t="str">
        <f t="shared" si="945"/>
        <v>Redmi 10C       = R$ 65,00</v>
      </c>
      <c r="Q964" s="4" t="str">
        <f t="shared" si="939"/>
        <v>Redmi 10C       = R$ 80,00</v>
      </c>
    </row>
    <row r="965" spans="1:17" ht="14.4" x14ac:dyDescent="0.3">
      <c r="A965" t="s">
        <v>2608</v>
      </c>
      <c r="B965">
        <f>B251</f>
        <v>65</v>
      </c>
      <c r="E965" s="18"/>
      <c r="F965" s="17"/>
      <c r="H965" s="4" t="s">
        <v>882</v>
      </c>
      <c r="I965" s="5">
        <f t="shared" si="938"/>
        <v>85</v>
      </c>
      <c r="J965" s="5"/>
      <c r="K965" s="4" t="str">
        <f t="shared" si="947"/>
        <v>Redmi 10C c/aro        = R$ 85,00</v>
      </c>
      <c r="M965" s="4" t="str">
        <f t="shared" si="944"/>
        <v>Redmi 10C c/aro        = R$ 90,00</v>
      </c>
      <c r="O965" s="4" t="str">
        <f t="shared" si="945"/>
        <v>Redmi 10C c/aro        = R$ 80,00</v>
      </c>
      <c r="Q965" s="4" t="str">
        <f t="shared" si="939"/>
        <v>Redmi 10C c/aro        = R$ 95,00</v>
      </c>
    </row>
    <row r="966" spans="1:17" ht="14.4" x14ac:dyDescent="0.3">
      <c r="A966" t="s">
        <v>3051</v>
      </c>
      <c r="B966">
        <f>B250</f>
        <v>60</v>
      </c>
      <c r="E966" s="18"/>
      <c r="F966" s="17"/>
      <c r="H966" s="4" t="s">
        <v>12319</v>
      </c>
      <c r="I966" s="5">
        <f t="shared" si="938"/>
        <v>90</v>
      </c>
      <c r="J966" s="5"/>
      <c r="K966" s="4" t="str">
        <f t="shared" ref="K966:K967" si="948">CONCATENATE(H966,I966,",00")</f>
        <v>Redmi 10C c/aro Nacional = 90,00</v>
      </c>
      <c r="M966" s="4" t="str">
        <f t="shared" ref="M966:M967" si="949">CONCATENATE(H966,I966+5,",00")</f>
        <v>Redmi 10C c/aro Nacional = 95,00</v>
      </c>
      <c r="O966" s="4" t="str">
        <f t="shared" ref="O966:O967" si="950">CONCATENATE(H966,I966-5,",00")</f>
        <v>Redmi 10C c/aro Nacional = 85,00</v>
      </c>
      <c r="Q966" s="4" t="str">
        <f t="shared" ref="Q966:Q967" si="951">CONCATENATE(H966,I966+10,",00")</f>
        <v>Redmi 10C c/aro Nacional = 100,00</v>
      </c>
    </row>
    <row r="967" spans="1:17" ht="14.4" x14ac:dyDescent="0.3">
      <c r="A967" t="s">
        <v>2609</v>
      </c>
      <c r="B967">
        <f>B260</f>
        <v>65</v>
      </c>
      <c r="E967" s="18"/>
      <c r="F967" s="17"/>
      <c r="H967" s="4" t="s">
        <v>12498</v>
      </c>
      <c r="I967" s="5">
        <f t="shared" si="938"/>
        <v>100</v>
      </c>
      <c r="J967" s="5"/>
      <c r="K967" s="4" t="str">
        <f t="shared" si="948"/>
        <v>Redmi 10C c/aro Nac Diamonds = 100,00</v>
      </c>
      <c r="M967" s="4" t="str">
        <f t="shared" si="949"/>
        <v>Redmi 10C c/aro Nac Diamonds = 105,00</v>
      </c>
      <c r="O967" s="4" t="str">
        <f t="shared" si="950"/>
        <v>Redmi 10C c/aro Nac Diamonds = 95,00</v>
      </c>
      <c r="Q967" s="4" t="str">
        <f t="shared" si="951"/>
        <v>Redmi 10C c/aro Nac Diamonds = 110,00</v>
      </c>
    </row>
    <row r="968" spans="1:17" ht="14.4" x14ac:dyDescent="0.3">
      <c r="A968" t="s">
        <v>3053</v>
      </c>
      <c r="B968">
        <f>B259</f>
        <v>60</v>
      </c>
      <c r="E968" s="18"/>
      <c r="F968" s="17"/>
      <c r="H968" s="4" t="s">
        <v>884</v>
      </c>
      <c r="I968" s="5">
        <f>F944</f>
        <v>80</v>
      </c>
      <c r="J968" s="5"/>
      <c r="K968" s="4" t="str">
        <f t="shared" si="947"/>
        <v>Redmi 11 Prime         = R$ 80,00</v>
      </c>
      <c r="M968" s="4" t="str">
        <f t="shared" si="944"/>
        <v>Redmi 11 Prime         = R$ 85,00</v>
      </c>
      <c r="O968" s="4" t="str">
        <f t="shared" si="945"/>
        <v>Redmi 11 Prime         = R$ 75,00</v>
      </c>
      <c r="Q968" s="4" t="str">
        <f t="shared" si="939"/>
        <v>Redmi 11 Prime         = R$ 90,00</v>
      </c>
    </row>
    <row r="969" spans="1:17" ht="14.4" x14ac:dyDescent="0.3">
      <c r="A969" t="s">
        <v>2761</v>
      </c>
      <c r="B969">
        <f>B267</f>
        <v>75</v>
      </c>
      <c r="E969" s="18"/>
      <c r="F969" s="17"/>
      <c r="H969" s="4" t="s">
        <v>886</v>
      </c>
      <c r="I969" s="5">
        <f t="shared" ref="I969:J976" si="952">F889</f>
        <v>80</v>
      </c>
      <c r="J969" s="5"/>
      <c r="K969" s="4" t="str">
        <f t="shared" si="947"/>
        <v>Redmi 12    = R$ 80,00</v>
      </c>
      <c r="M969" s="4" t="str">
        <f t="shared" si="944"/>
        <v>Redmi 12    = R$ 85,00</v>
      </c>
      <c r="O969" s="4" t="str">
        <f t="shared" si="945"/>
        <v>Redmi 12    = R$ 75,00</v>
      </c>
      <c r="Q969" s="4" t="str">
        <f t="shared" si="939"/>
        <v>Redmi 12    = R$ 90,00</v>
      </c>
    </row>
    <row r="970" spans="1:17" ht="14.4" x14ac:dyDescent="0.3">
      <c r="A970" t="s">
        <v>2610</v>
      </c>
      <c r="B970">
        <f>B271</f>
        <v>150</v>
      </c>
      <c r="E970" s="18"/>
      <c r="F970" s="17"/>
      <c r="H970" s="4" t="s">
        <v>887</v>
      </c>
      <c r="I970" s="5">
        <f t="shared" si="952"/>
        <v>85</v>
      </c>
      <c r="J970" s="5"/>
      <c r="K970" s="4" t="str">
        <f t="shared" si="947"/>
        <v>Redmi 12 c/aro       = R$ 85,00</v>
      </c>
      <c r="M970" s="4" t="str">
        <f t="shared" si="944"/>
        <v>Redmi 12 c/aro       = R$ 90,00</v>
      </c>
      <c r="O970" s="4" t="str">
        <f t="shared" si="945"/>
        <v>Redmi 12 c/aro       = R$ 80,00</v>
      </c>
      <c r="Q970" s="4" t="str">
        <f t="shared" si="939"/>
        <v>Redmi 12 c/aro       = R$ 95,00</v>
      </c>
    </row>
    <row r="971" spans="1:17" ht="14.4" x14ac:dyDescent="0.3">
      <c r="A971" t="s">
        <v>2611</v>
      </c>
      <c r="B971">
        <f>B276</f>
        <v>75</v>
      </c>
      <c r="E971" s="18"/>
      <c r="F971" s="17"/>
      <c r="H971" s="4" t="s">
        <v>11838</v>
      </c>
      <c r="I971" s="5">
        <f t="shared" si="952"/>
        <v>95</v>
      </c>
      <c r="J971" s="5"/>
      <c r="K971" s="4" t="str">
        <f t="shared" si="947"/>
        <v>Redmi 12 c/aro Nacional = 95,00</v>
      </c>
      <c r="M971" s="4" t="str">
        <f t="shared" si="944"/>
        <v>Redmi 12 c/aro Nacional = 100,00</v>
      </c>
      <c r="O971" s="4" t="str">
        <f>CONCATENATE(H972,I972-5,",00")</f>
        <v>Redmi 12 /aro Nac Diamonds = 100,00</v>
      </c>
      <c r="Q971" s="4" t="str">
        <f t="shared" si="939"/>
        <v>Redmi 12 c/aro Nacional = 105,00</v>
      </c>
    </row>
    <row r="972" spans="1:17" ht="14.4" x14ac:dyDescent="0.3">
      <c r="A972" t="s">
        <v>3054</v>
      </c>
      <c r="B972">
        <f>B277</f>
        <v>85</v>
      </c>
      <c r="E972" s="18"/>
      <c r="F972" s="17"/>
      <c r="H972" s="4" t="s">
        <v>11837</v>
      </c>
      <c r="I972" s="5">
        <f t="shared" si="952"/>
        <v>105</v>
      </c>
      <c r="J972" s="5"/>
      <c r="K972" s="4" t="str">
        <f t="shared" si="947"/>
        <v>Redmi 12 /aro Nac Diamonds = 105,00</v>
      </c>
      <c r="M972" s="4" t="str">
        <f t="shared" si="944"/>
        <v>Redmi 12 /aro Nac Diamonds = 110,00</v>
      </c>
      <c r="O972" s="4" t="str">
        <f>CONCATENATE(H972,I972-5,",00")</f>
        <v>Redmi 12 /aro Nac Diamonds = 100,00</v>
      </c>
      <c r="Q972" s="4" t="str">
        <f t="shared" si="939"/>
        <v>Redmi 12 /aro Nac Diamonds = 115,00</v>
      </c>
    </row>
    <row r="973" spans="1:17" ht="14.4" x14ac:dyDescent="0.3">
      <c r="A973" t="s">
        <v>2612</v>
      </c>
      <c r="B973">
        <f>B285</f>
        <v>75</v>
      </c>
      <c r="E973" s="113" t="s">
        <v>11024</v>
      </c>
      <c r="F973" s="112"/>
      <c r="H973" s="4" t="s">
        <v>890</v>
      </c>
      <c r="I973" s="5">
        <f t="shared" si="952"/>
        <v>65</v>
      </c>
      <c r="J973" s="5"/>
      <c r="K973" s="4" t="str">
        <f t="shared" si="947"/>
        <v>Redmi 12C    = R$ 65,00</v>
      </c>
      <c r="M973" s="4" t="str">
        <f t="shared" si="944"/>
        <v>Redmi 12C    = R$ 70,00</v>
      </c>
      <c r="O973" s="4" t="str">
        <f>CONCATENATE(H973,I973-5,",00")</f>
        <v>Redmi 12C    = R$ 60,00</v>
      </c>
      <c r="Q973" s="4" t="str">
        <f t="shared" si="939"/>
        <v>Redmi 12C    = R$ 75,00</v>
      </c>
    </row>
    <row r="974" spans="1:17" ht="14.4" x14ac:dyDescent="0.3">
      <c r="A974" t="s">
        <v>3055</v>
      </c>
      <c r="B974">
        <f>B283</f>
        <v>65</v>
      </c>
      <c r="E974" s="98" t="s">
        <v>12172</v>
      </c>
      <c r="F974" s="65">
        <v>80</v>
      </c>
      <c r="H974" s="4" t="s">
        <v>891</v>
      </c>
      <c r="I974" s="5">
        <f t="shared" si="952"/>
        <v>80</v>
      </c>
      <c r="J974" s="5"/>
      <c r="K974" s="4" t="str">
        <f t="shared" si="947"/>
        <v>Redmi 12C c/aro       = R$ 80,00</v>
      </c>
      <c r="M974" s="4" t="str">
        <f t="shared" si="944"/>
        <v>Redmi 12C c/aro       = R$ 85,00</v>
      </c>
      <c r="O974" s="4" t="str">
        <f>CONCATENATE(H974,I974-5,",00")</f>
        <v>Redmi 12C c/aro       = R$ 75,00</v>
      </c>
      <c r="Q974" s="4" t="str">
        <f t="shared" si="939"/>
        <v>Redmi 12C c/aro       = R$ 90,00</v>
      </c>
    </row>
    <row r="975" spans="1:17" ht="14.4" x14ac:dyDescent="0.3">
      <c r="A975" t="s">
        <v>2613</v>
      </c>
      <c r="B975">
        <f>B293</f>
        <v>65</v>
      </c>
      <c r="E975" s="98" t="s">
        <v>11025</v>
      </c>
      <c r="F975" s="17">
        <v>80</v>
      </c>
      <c r="H975" s="4" t="s">
        <v>11840</v>
      </c>
      <c r="I975" s="5">
        <f t="shared" si="952"/>
        <v>90</v>
      </c>
      <c r="J975" s="5"/>
      <c r="K975" s="4" t="str">
        <f t="shared" si="947"/>
        <v>Redmi 12C c/aro Nacional = 90,00</v>
      </c>
      <c r="M975" s="4" t="str">
        <f t="shared" si="944"/>
        <v>Redmi 12C c/aro Nacional = 95,00</v>
      </c>
      <c r="O975" s="4" t="str">
        <f t="shared" ref="O975" si="953">CONCATENATE(H976,I976-5,",00")</f>
        <v>Redmi 12C c/aro Nac Diamonds = 95,00</v>
      </c>
      <c r="Q975" s="4" t="str">
        <f t="shared" si="939"/>
        <v>Redmi 12C c/aro Nacional = 100,00</v>
      </c>
    </row>
    <row r="976" spans="1:17" ht="14.4" x14ac:dyDescent="0.3">
      <c r="A976" t="s">
        <v>3056</v>
      </c>
      <c r="B976">
        <f>B297</f>
        <v>85</v>
      </c>
      <c r="E976" s="86" t="s">
        <v>11026</v>
      </c>
      <c r="F976" s="17">
        <v>80</v>
      </c>
      <c r="H976" s="4" t="s">
        <v>11839</v>
      </c>
      <c r="I976" s="5">
        <f t="shared" si="952"/>
        <v>100</v>
      </c>
      <c r="J976" s="5"/>
      <c r="K976" s="4" t="str">
        <f t="shared" si="947"/>
        <v>Redmi 12C c/aro Nac Diamonds = 100,00</v>
      </c>
      <c r="M976" s="4" t="str">
        <f t="shared" si="944"/>
        <v>Redmi 12C c/aro Nac Diamonds = 105,00</v>
      </c>
      <c r="O976" s="4" t="str">
        <f>CONCATENATE(H976,I976-5,",00")</f>
        <v>Redmi 12C c/aro Nac Diamonds = 95,00</v>
      </c>
      <c r="Q976" s="4" t="str">
        <f t="shared" si="939"/>
        <v>Redmi 12C c/aro Nac Diamonds = 110,00</v>
      </c>
    </row>
    <row r="977" spans="1:17" ht="14.4" x14ac:dyDescent="0.3">
      <c r="A977" t="s">
        <v>2764</v>
      </c>
      <c r="B977">
        <f>B342</f>
        <v>70</v>
      </c>
      <c r="E977" s="86" t="s">
        <v>11027</v>
      </c>
      <c r="F977" s="17">
        <v>80</v>
      </c>
      <c r="H977" s="4" t="s">
        <v>892</v>
      </c>
      <c r="I977" s="5">
        <f>F889</f>
        <v>80</v>
      </c>
      <c r="J977" s="5"/>
      <c r="K977" s="4" t="str">
        <f t="shared" si="947"/>
        <v>Redmi 13    = R$ 80,00</v>
      </c>
      <c r="M977" s="4" t="str">
        <f t="shared" si="944"/>
        <v>Redmi 13    = R$ 85,00</v>
      </c>
      <c r="O977" s="4" t="str">
        <f>CONCATENATE(H977,I977-5,",00")</f>
        <v>Redmi 13    = R$ 75,00</v>
      </c>
      <c r="Q977" s="4" t="str">
        <f t="shared" si="939"/>
        <v>Redmi 13    = R$ 90,00</v>
      </c>
    </row>
    <row r="978" spans="1:17" ht="14.4" x14ac:dyDescent="0.3">
      <c r="A978" t="s">
        <v>2615</v>
      </c>
      <c r="B978">
        <f>B345</f>
        <v>140</v>
      </c>
      <c r="E978" s="86" t="s">
        <v>11028</v>
      </c>
      <c r="F978" s="17">
        <v>95</v>
      </c>
      <c r="H978" s="4" t="s">
        <v>993</v>
      </c>
      <c r="I978" s="5">
        <f t="shared" ref="I978:J991" si="954">F897</f>
        <v>90</v>
      </c>
      <c r="J978" s="5"/>
      <c r="K978" s="4" t="str">
        <f t="shared" si="947"/>
        <v>Redmi 13 c/aro   = R$ 90,00</v>
      </c>
      <c r="M978" s="4" t="str">
        <f t="shared" si="944"/>
        <v>Redmi 13 c/aro   = R$ 95,00</v>
      </c>
      <c r="O978" s="4" t="str">
        <f t="shared" ref="O978" si="955">CONCATENATE(H978,I978-5,",00")</f>
        <v>Redmi 13 c/aro   = R$ 85,00</v>
      </c>
      <c r="Q978" s="4" t="str">
        <f t="shared" si="939"/>
        <v>Redmi 13 c/aro   = R$ 100,00</v>
      </c>
    </row>
    <row r="979" spans="1:17" ht="14.4" x14ac:dyDescent="0.3">
      <c r="A979" t="s">
        <v>2765</v>
      </c>
      <c r="B979">
        <f>B350</f>
        <v>70</v>
      </c>
      <c r="E979" s="86" t="s">
        <v>11029</v>
      </c>
      <c r="F979" s="17">
        <v>85</v>
      </c>
      <c r="H979" s="4" t="s">
        <v>12350</v>
      </c>
      <c r="I979" s="5">
        <f t="shared" si="954"/>
        <v>95</v>
      </c>
      <c r="J979" s="5"/>
      <c r="K979" s="4" t="str">
        <f t="shared" si="947"/>
        <v>Redmi 13 c/aro Nacional = 95,00</v>
      </c>
      <c r="M979" s="4" t="str">
        <f t="shared" si="944"/>
        <v>Redmi 13 c/aro Nacional = 100,00</v>
      </c>
      <c r="O979" s="4" t="str">
        <f>CONCATENATE(H979,I979-5,",00")</f>
        <v>Redmi 13 c/aro Nacional = 90,00</v>
      </c>
      <c r="Q979" s="4" t="str">
        <f t="shared" si="939"/>
        <v>Redmi 13 c/aro Nacional = 105,00</v>
      </c>
    </row>
    <row r="980" spans="1:17" ht="14.4" x14ac:dyDescent="0.3">
      <c r="A980" t="s">
        <v>2616</v>
      </c>
      <c r="B980">
        <f>B353</f>
        <v>145</v>
      </c>
      <c r="E980" s="86" t="s">
        <v>11107</v>
      </c>
      <c r="F980" s="17">
        <v>80</v>
      </c>
      <c r="H980" s="4" t="s">
        <v>12351</v>
      </c>
      <c r="I980" s="5">
        <f t="shared" si="954"/>
        <v>105</v>
      </c>
      <c r="J980" s="5"/>
      <c r="K980" s="4" t="str">
        <f t="shared" si="947"/>
        <v>Redmi 13 c/aro Nac Diamonds = 105,00</v>
      </c>
      <c r="M980" s="4" t="str">
        <f t="shared" si="944"/>
        <v>Redmi 13 c/aro Nac Diamonds = 110,00</v>
      </c>
      <c r="O980" s="4" t="str">
        <f>CONCATENATE(H980,I980-5,",00")</f>
        <v>Redmi 13 c/aro Nac Diamonds = 100,00</v>
      </c>
      <c r="Q980" s="4" t="str">
        <f t="shared" si="939"/>
        <v>Redmi 13 c/aro Nac Diamonds = 115,00</v>
      </c>
    </row>
    <row r="981" spans="1:17" ht="14.4" x14ac:dyDescent="0.3">
      <c r="A981" t="s">
        <v>2810</v>
      </c>
      <c r="B981">
        <f>B354</f>
        <v>65</v>
      </c>
      <c r="E981" s="18"/>
      <c r="F981" s="17"/>
      <c r="H981" s="4" t="s">
        <v>893</v>
      </c>
      <c r="I981" s="5">
        <f t="shared" si="954"/>
        <v>65</v>
      </c>
      <c r="J981" s="5"/>
      <c r="K981" s="4" t="str">
        <f t="shared" si="947"/>
        <v>Redmi 13C    = R$ 65,00</v>
      </c>
      <c r="M981" s="4" t="str">
        <f t="shared" si="944"/>
        <v>Redmi 13C    = R$ 70,00</v>
      </c>
      <c r="O981" s="4" t="str">
        <f>CONCATENATE(H981,I981-5,",00")</f>
        <v>Redmi 13C    = R$ 60,00</v>
      </c>
      <c r="Q981" s="4" t="str">
        <f t="shared" si="939"/>
        <v>Redmi 13C    = R$ 75,00</v>
      </c>
    </row>
    <row r="982" spans="1:17" ht="14.4" x14ac:dyDescent="0.3">
      <c r="A982" t="s">
        <v>3058</v>
      </c>
      <c r="B982">
        <f>B357</f>
        <v>140</v>
      </c>
      <c r="E982" s="7"/>
      <c r="F982" s="8"/>
      <c r="H982" s="4" t="s">
        <v>895</v>
      </c>
      <c r="I982" s="5">
        <f t="shared" si="954"/>
        <v>80</v>
      </c>
      <c r="J982" s="5"/>
      <c r="K982" s="4" t="str">
        <f t="shared" si="947"/>
        <v>Redmi 13C c/aro   = R$ 80,00</v>
      </c>
      <c r="M982" s="4" t="str">
        <f t="shared" si="944"/>
        <v>Redmi 13C c/aro   = R$ 85,00</v>
      </c>
      <c r="O982" s="4" t="str">
        <f>CONCATENATE(H982,I982-5,",00")</f>
        <v>Redmi 13C c/aro   = R$ 75,00</v>
      </c>
      <c r="Q982" s="4" t="str">
        <f t="shared" si="939"/>
        <v>Redmi 13C c/aro   = R$ 90,00</v>
      </c>
    </row>
    <row r="983" spans="1:17" ht="14.4" x14ac:dyDescent="0.3">
      <c r="A983" t="s">
        <v>2766</v>
      </c>
      <c r="B983">
        <f>B360</f>
        <v>75</v>
      </c>
      <c r="E983" s="7"/>
      <c r="F983" s="8"/>
      <c r="H983" s="4" t="s">
        <v>11844</v>
      </c>
      <c r="I983" s="5">
        <f t="shared" si="954"/>
        <v>95</v>
      </c>
      <c r="J983" s="5"/>
      <c r="K983" s="4" t="str">
        <f t="shared" si="947"/>
        <v>Redmi 13C c/aro Nacional = 95,00</v>
      </c>
      <c r="M983" s="4" t="str">
        <f t="shared" si="944"/>
        <v>Redmi 13C c/aro Nacional = 100,00</v>
      </c>
      <c r="O983" s="4" t="str">
        <f>CONCATENATE(H984,I984-5,",00")</f>
        <v>Redmi 13C c/aro Nac Diamonds = 100,00</v>
      </c>
      <c r="Q983" s="4" t="str">
        <f t="shared" si="939"/>
        <v>Redmi 13C c/aro Nacional = 105,00</v>
      </c>
    </row>
    <row r="984" spans="1:17" ht="14.4" x14ac:dyDescent="0.3">
      <c r="A984" t="s">
        <v>2617</v>
      </c>
      <c r="B984">
        <f>B363</f>
        <v>145</v>
      </c>
      <c r="E984" s="12"/>
      <c r="F984" s="12"/>
      <c r="H984" s="4" t="s">
        <v>11843</v>
      </c>
      <c r="I984" s="5">
        <f t="shared" si="954"/>
        <v>105</v>
      </c>
      <c r="J984" s="5"/>
      <c r="K984" s="4" t="str">
        <f t="shared" si="947"/>
        <v>Redmi 13C c/aro Nac Diamonds = 105,00</v>
      </c>
      <c r="M984" s="4" t="str">
        <f t="shared" si="944"/>
        <v>Redmi 13C c/aro Nac Diamonds = 110,00</v>
      </c>
      <c r="O984" s="4" t="str">
        <f t="shared" ref="O984" si="956">CONCATENATE(H984,I984-5,",00")</f>
        <v>Redmi 13C c/aro Nac Diamonds = 100,00</v>
      </c>
      <c r="Q984" s="4" t="str">
        <f t="shared" si="939"/>
        <v>Redmi 13C c/aro Nac Diamonds = 115,00</v>
      </c>
    </row>
    <row r="985" spans="1:17" ht="14.4" x14ac:dyDescent="0.3">
      <c r="A985" t="s">
        <v>2767</v>
      </c>
      <c r="B985">
        <f>B365</f>
        <v>80</v>
      </c>
      <c r="E985" s="12"/>
      <c r="F985" s="12"/>
      <c r="H985" s="4" t="s">
        <v>988</v>
      </c>
      <c r="I985" s="5">
        <f t="shared" si="954"/>
        <v>75</v>
      </c>
      <c r="J985" s="5"/>
      <c r="K985" s="4" t="str">
        <f t="shared" si="947"/>
        <v>Redmi 14C    = R$ 75,00</v>
      </c>
      <c r="M985" s="4" t="str">
        <f t="shared" si="944"/>
        <v>Redmi 14C    = R$ 80,00</v>
      </c>
      <c r="O985" s="4" t="str">
        <f t="shared" ref="O985:O986" si="957">CONCATENATE(H985,I985-5,",00")</f>
        <v>Redmi 14C    = R$ 70,00</v>
      </c>
      <c r="Q985" s="4" t="str">
        <f t="shared" si="939"/>
        <v>Redmi 14C    = R$ 85,00</v>
      </c>
    </row>
    <row r="986" spans="1:17" ht="14.4" x14ac:dyDescent="0.3">
      <c r="A986" t="s">
        <v>2618</v>
      </c>
      <c r="B986">
        <f>B369</f>
        <v>155</v>
      </c>
      <c r="E986" s="113" t="s">
        <v>922</v>
      </c>
      <c r="F986" s="112"/>
      <c r="H986" s="4" t="s">
        <v>994</v>
      </c>
      <c r="I986" s="5">
        <f t="shared" si="954"/>
        <v>85</v>
      </c>
      <c r="J986" s="5"/>
      <c r="K986" s="4" t="str">
        <f t="shared" si="947"/>
        <v>Redmi 14C c/aro   = R$ 85,00</v>
      </c>
      <c r="M986" s="4" t="str">
        <f t="shared" si="944"/>
        <v>Redmi 14C c/aro   = R$ 90,00</v>
      </c>
      <c r="O986" s="4" t="str">
        <f t="shared" si="957"/>
        <v>Redmi 14C c/aro   = R$ 80,00</v>
      </c>
      <c r="Q986" s="4" t="str">
        <f t="shared" si="939"/>
        <v>Redmi 14C c/aro   = R$ 95,00</v>
      </c>
    </row>
    <row r="987" spans="1:17" ht="14.4" x14ac:dyDescent="0.3">
      <c r="A987" t="s">
        <v>2619</v>
      </c>
      <c r="B987">
        <f>B379</f>
        <v>85</v>
      </c>
      <c r="E987" s="94" t="s">
        <v>924</v>
      </c>
      <c r="F987" s="15">
        <v>90</v>
      </c>
      <c r="H987" s="4" t="s">
        <v>12503</v>
      </c>
      <c r="I987" s="5">
        <f t="shared" si="954"/>
        <v>90</v>
      </c>
      <c r="J987" s="5"/>
      <c r="K987" s="4" t="str">
        <f t="shared" si="947"/>
        <v>Redmi 14C c/aro Nacional = 90,00</v>
      </c>
      <c r="M987" s="4" t="str">
        <f t="shared" si="944"/>
        <v>Redmi 14C c/aro Nacional = 95,00</v>
      </c>
      <c r="O987" s="4" t="str">
        <f t="shared" ref="O987:O993" si="958">CONCATENATE(H987,I987-5,",00")</f>
        <v>Redmi 14C c/aro Nacional = 85,00</v>
      </c>
      <c r="Q987" s="4" t="str">
        <f t="shared" si="939"/>
        <v>Redmi 14C c/aro Nacional = 100,00</v>
      </c>
    </row>
    <row r="988" spans="1:17" ht="14.4" x14ac:dyDescent="0.3">
      <c r="A988" t="s">
        <v>3059</v>
      </c>
      <c r="B988">
        <f>B378</f>
        <v>60</v>
      </c>
      <c r="C988" t="s">
        <v>12632</v>
      </c>
      <c r="E988" s="85" t="s">
        <v>926</v>
      </c>
      <c r="F988" s="8">
        <v>90</v>
      </c>
      <c r="H988" s="4" t="s">
        <v>12504</v>
      </c>
      <c r="I988" s="5">
        <f t="shared" si="954"/>
        <v>100</v>
      </c>
      <c r="J988" s="5"/>
      <c r="K988" s="4" t="str">
        <f t="shared" si="947"/>
        <v>Redmi 14C c/aro Nac Diamonds = 100,00</v>
      </c>
      <c r="M988" s="4" t="str">
        <f t="shared" si="944"/>
        <v>Redmi 14C c/aro Nac Diamonds = 105,00</v>
      </c>
      <c r="O988" s="4" t="str">
        <f t="shared" si="958"/>
        <v>Redmi 14C c/aro Nac Diamonds = 95,00</v>
      </c>
      <c r="Q988" s="4" t="str">
        <f t="shared" si="939"/>
        <v>Redmi 14C c/aro Nac Diamonds = 110,00</v>
      </c>
    </row>
    <row r="989" spans="1:17" ht="14.4" x14ac:dyDescent="0.3">
      <c r="A989" t="s">
        <v>2620</v>
      </c>
      <c r="B989">
        <f>B391</f>
        <v>185</v>
      </c>
      <c r="E989" s="85" t="s">
        <v>928</v>
      </c>
      <c r="F989" s="8">
        <v>110</v>
      </c>
      <c r="H989" s="4" t="s">
        <v>12819</v>
      </c>
      <c r="I989" s="5">
        <f t="shared" si="954"/>
        <v>90</v>
      </c>
      <c r="J989" s="5"/>
      <c r="K989" s="4" t="str">
        <f t="shared" ref="K989:K990" si="959">CONCATENATE(H989,I989,",00")</f>
        <v>Redmi 15C    = R$ 90,00</v>
      </c>
      <c r="M989" s="4" t="str">
        <f t="shared" ref="M989:M990" si="960">CONCATENATE(H989,I989+5,",00")</f>
        <v>Redmi 15C    = R$ 95,00</v>
      </c>
      <c r="O989" s="4" t="str">
        <f t="shared" si="958"/>
        <v>Redmi 15C    = R$ 85,00</v>
      </c>
      <c r="Q989" s="4" t="str">
        <f t="shared" ref="Q989:Q990" si="961">CONCATENATE(H989,I989+10,",00")</f>
        <v>Redmi 15C    = R$ 100,00</v>
      </c>
    </row>
    <row r="990" spans="1:17" ht="14.4" x14ac:dyDescent="0.3">
      <c r="A990" t="s">
        <v>2768</v>
      </c>
      <c r="B990">
        <f>B386</f>
        <v>110</v>
      </c>
      <c r="E990" s="99" t="s">
        <v>11144</v>
      </c>
      <c r="F990" s="55">
        <v>90</v>
      </c>
      <c r="H990" s="4" t="s">
        <v>12820</v>
      </c>
      <c r="I990" s="5">
        <f t="shared" si="954"/>
        <v>100</v>
      </c>
      <c r="J990" s="5"/>
      <c r="K990" s="4" t="str">
        <f t="shared" si="959"/>
        <v>Redmi 15C c/aro   = R$ 100,00</v>
      </c>
      <c r="M990" s="4" t="str">
        <f t="shared" si="960"/>
        <v>Redmi 15C c/aro   = R$ 105,00</v>
      </c>
      <c r="O990" s="4" t="str">
        <f t="shared" si="958"/>
        <v>Redmi 15C c/aro   = R$ 95,00</v>
      </c>
      <c r="Q990" s="4" t="str">
        <f t="shared" si="961"/>
        <v>Redmi 15C c/aro   = R$ 110,00</v>
      </c>
    </row>
    <row r="991" spans="1:17" ht="14.4" x14ac:dyDescent="0.3">
      <c r="A991" t="s">
        <v>2811</v>
      </c>
      <c r="B991">
        <f>B396</f>
        <v>85</v>
      </c>
      <c r="E991" s="85" t="s">
        <v>932</v>
      </c>
      <c r="F991" s="8">
        <v>90</v>
      </c>
      <c r="H991" s="4" t="s">
        <v>897</v>
      </c>
      <c r="I991" s="5">
        <f t="shared" si="954"/>
        <v>65</v>
      </c>
      <c r="J991" s="5"/>
      <c r="K991" s="4" t="str">
        <f t="shared" si="947"/>
        <v>Redmi A1/A2 = R$ 65,00</v>
      </c>
      <c r="M991" s="4" t="str">
        <f t="shared" si="944"/>
        <v>Redmi A1/A2 = R$ 70,00</v>
      </c>
      <c r="O991" s="4" t="str">
        <f t="shared" si="958"/>
        <v>Redmi A1/A2 = R$ 60,00</v>
      </c>
      <c r="Q991" s="4" t="str">
        <f t="shared" si="939"/>
        <v>Redmi A1/A2 = R$ 75,00</v>
      </c>
    </row>
    <row r="992" spans="1:17" ht="14.4" x14ac:dyDescent="0.3">
      <c r="A992" t="s">
        <v>2621</v>
      </c>
      <c r="B992">
        <f>B401</f>
        <v>230</v>
      </c>
      <c r="E992" s="85" t="s">
        <v>934</v>
      </c>
      <c r="F992" s="8">
        <v>80</v>
      </c>
      <c r="H992" s="4" t="s">
        <v>899</v>
      </c>
      <c r="I992" s="5">
        <f>F910</f>
        <v>65</v>
      </c>
      <c r="J992" s="5"/>
      <c r="K992" s="4" t="str">
        <f t="shared" si="947"/>
        <v>Redmi A1 Plus/A2 Plus= R$ 65,00</v>
      </c>
      <c r="M992" s="4" t="str">
        <f t="shared" si="944"/>
        <v>Redmi A1 Plus/A2 Plus= R$ 70,00</v>
      </c>
      <c r="O992" s="4" t="str">
        <f t="shared" si="958"/>
        <v>Redmi A1 Plus/A2 Plus= R$ 60,00</v>
      </c>
      <c r="Q992" s="4" t="str">
        <f t="shared" si="939"/>
        <v>Redmi A1 Plus/A2 Plus= R$ 75,00</v>
      </c>
    </row>
    <row r="993" spans="1:17" ht="14.4" x14ac:dyDescent="0.3">
      <c r="A993" t="s">
        <v>2622</v>
      </c>
      <c r="B993">
        <f>B404</f>
        <v>180</v>
      </c>
      <c r="E993" s="7"/>
      <c r="F993" s="8"/>
      <c r="H993" s="4" t="s">
        <v>12202</v>
      </c>
      <c r="I993" s="5">
        <f>F911</f>
        <v>85</v>
      </c>
      <c r="J993" s="5"/>
      <c r="K993" s="4" t="str">
        <f t="shared" si="947"/>
        <v>Redmi A1 c/aro Nac Diamonds = 85,00</v>
      </c>
      <c r="M993" s="4" t="str">
        <f t="shared" si="944"/>
        <v>Redmi A1 c/aro Nac Diamonds = 90,00</v>
      </c>
      <c r="O993" s="4" t="str">
        <f t="shared" si="958"/>
        <v>Redmi A1 c/aro Nac Diamonds = 80,00</v>
      </c>
      <c r="Q993" s="4" t="str">
        <f t="shared" si="939"/>
        <v>Redmi A1 c/aro Nac Diamonds = 95,00</v>
      </c>
    </row>
    <row r="994" spans="1:17" ht="14.4" x14ac:dyDescent="0.3">
      <c r="A994" t="s">
        <v>3060</v>
      </c>
      <c r="B994">
        <f>B485</f>
        <v>130</v>
      </c>
      <c r="E994" s="7"/>
      <c r="F994" s="8"/>
      <c r="H994" s="4" t="s">
        <v>972</v>
      </c>
      <c r="I994" s="5">
        <f>F912</f>
        <v>75</v>
      </c>
      <c r="J994" s="5"/>
      <c r="K994" s="4" t="str">
        <f t="shared" si="947"/>
        <v>Redmi A3   = R$ 75,00</v>
      </c>
      <c r="M994" s="4" t="str">
        <f t="shared" si="944"/>
        <v>Redmi A3   = R$ 80,00</v>
      </c>
      <c r="O994" s="4" t="str">
        <f t="shared" ref="O994:O997" si="962">CONCATENATE(H994,I994-5,",00")</f>
        <v>Redmi A3   = R$ 70,00</v>
      </c>
      <c r="Q994" s="4" t="str">
        <f t="shared" si="939"/>
        <v>Redmi A3   = R$ 85,00</v>
      </c>
    </row>
    <row r="995" spans="1:17" ht="14.4" x14ac:dyDescent="0.3">
      <c r="A995" t="s">
        <v>3061</v>
      </c>
      <c r="B995">
        <f>B486</f>
        <v>130</v>
      </c>
      <c r="E995" s="7"/>
      <c r="F995" s="8"/>
      <c r="H995" s="4" t="s">
        <v>10555</v>
      </c>
      <c r="I995" s="5">
        <f t="shared" ref="I995:J1012" si="963">F912</f>
        <v>75</v>
      </c>
      <c r="J995" s="5"/>
      <c r="K995" s="4" t="str">
        <f t="shared" si="947"/>
        <v>Redmi A3x  = R$ 75,00</v>
      </c>
      <c r="M995" s="4" t="str">
        <f t="shared" si="944"/>
        <v>Redmi A3x  = R$ 80,00</v>
      </c>
      <c r="O995" s="4" t="str">
        <f t="shared" si="962"/>
        <v>Redmi A3x  = R$ 70,00</v>
      </c>
      <c r="Q995" s="4" t="str">
        <f t="shared" si="939"/>
        <v>Redmi A3x  = R$ 85,00</v>
      </c>
    </row>
    <row r="996" spans="1:17" ht="14.4" x14ac:dyDescent="0.3">
      <c r="A996" t="s">
        <v>2769</v>
      </c>
      <c r="B996">
        <f>B487</f>
        <v>70</v>
      </c>
      <c r="C996" t="s">
        <v>12873</v>
      </c>
      <c r="E996" s="7"/>
      <c r="F996" s="8"/>
      <c r="H996" s="4" t="s">
        <v>10961</v>
      </c>
      <c r="I996" s="5">
        <f t="shared" si="963"/>
        <v>80</v>
      </c>
      <c r="J996" s="5"/>
      <c r="K996" s="4" t="str">
        <f t="shared" si="947"/>
        <v>Redmi A5   = R$ 80,00</v>
      </c>
      <c r="M996" s="4" t="str">
        <f t="shared" si="944"/>
        <v>Redmi A5   = R$ 85,00</v>
      </c>
      <c r="O996" s="4" t="str">
        <f t="shared" si="962"/>
        <v>Redmi A5   = R$ 75,00</v>
      </c>
      <c r="Q996" s="4" t="str">
        <f t="shared" si="939"/>
        <v>Redmi A5   = R$ 90,00</v>
      </c>
    </row>
    <row r="997" spans="1:17" ht="14.4" x14ac:dyDescent="0.3">
      <c r="A997" t="s">
        <v>2623</v>
      </c>
      <c r="B997">
        <f>B490</f>
        <v>140</v>
      </c>
      <c r="C997" t="s">
        <v>12872</v>
      </c>
      <c r="E997" s="7"/>
      <c r="F997" s="8"/>
      <c r="H997" s="4" t="s">
        <v>13631</v>
      </c>
      <c r="I997" s="5">
        <f t="shared" si="963"/>
        <v>90</v>
      </c>
      <c r="J997" s="5"/>
      <c r="K997" s="4" t="str">
        <f t="shared" ref="K997" si="964">CONCATENATE(H997,I997,",00")</f>
        <v>Redmi A5 c/aro = R$ 90,00</v>
      </c>
      <c r="M997" s="4" t="str">
        <f t="shared" ref="M997" si="965">CONCATENATE(H997,I997+5,",00")</f>
        <v>Redmi A5 c/aro = R$ 95,00</v>
      </c>
      <c r="O997" s="4" t="str">
        <f t="shared" si="962"/>
        <v>Redmi A5 c/aro = R$ 85,00</v>
      </c>
      <c r="Q997" s="4" t="str">
        <f t="shared" ref="Q997" si="966">CONCATENATE(H997,I997+10,",00")</f>
        <v>Redmi A5 c/aro = R$ 100,00</v>
      </c>
    </row>
    <row r="998" spans="1:17" ht="14.4" x14ac:dyDescent="0.3">
      <c r="A998" t="s">
        <v>3062</v>
      </c>
      <c r="B998">
        <f>B493</f>
        <v>140</v>
      </c>
      <c r="C998" t="s">
        <v>12871</v>
      </c>
      <c r="E998" s="113" t="s">
        <v>941</v>
      </c>
      <c r="F998" s="112"/>
      <c r="H998" s="4" t="s">
        <v>901</v>
      </c>
      <c r="I998" s="5">
        <f t="shared" si="963"/>
        <v>75</v>
      </c>
      <c r="J998" s="5"/>
      <c r="K998" s="4" t="str">
        <f t="shared" si="947"/>
        <v>Redmi S2   = R$ 75,00</v>
      </c>
      <c r="M998" s="4" t="str">
        <f t="shared" si="944"/>
        <v>Redmi S2   = R$ 80,00</v>
      </c>
      <c r="O998" s="4" t="str">
        <f t="shared" ref="O998:O1012" si="967">CONCATENATE(H998,I998-5,",00")</f>
        <v>Redmi S2   = R$ 70,00</v>
      </c>
      <c r="Q998" s="4" t="str">
        <f t="shared" si="939"/>
        <v>Redmi S2   = R$ 85,00</v>
      </c>
    </row>
    <row r="999" spans="1:17" ht="14.4" x14ac:dyDescent="0.3">
      <c r="A999" t="s">
        <v>10607</v>
      </c>
      <c r="B999">
        <f>B437</f>
        <v>75</v>
      </c>
      <c r="C999" t="s">
        <v>12866</v>
      </c>
      <c r="E999" s="94" t="s">
        <v>12615</v>
      </c>
      <c r="F999" s="12">
        <v>85</v>
      </c>
      <c r="H999" s="4" t="s">
        <v>903</v>
      </c>
      <c r="I999" s="5">
        <f t="shared" si="963"/>
        <v>110</v>
      </c>
      <c r="J999" s="5"/>
      <c r="K999" s="4" t="str">
        <f t="shared" ref="K999:K1012" si="968">CONCATENATE(H999,I999,",00")</f>
        <v>Mi 8 - incell     = R$ 110,00</v>
      </c>
      <c r="M999" s="4" t="str">
        <f t="shared" si="944"/>
        <v>Mi 8 - incell     = R$ 115,00</v>
      </c>
      <c r="O999" s="4" t="str">
        <f t="shared" si="967"/>
        <v>Mi 8 - incell     = R$ 105,00</v>
      </c>
      <c r="Q999" s="4" t="str">
        <f t="shared" si="939"/>
        <v>Mi 8 - incell     = R$ 120,00</v>
      </c>
    </row>
    <row r="1000" spans="1:17" ht="15" customHeight="1" x14ac:dyDescent="0.3">
      <c r="A1000" t="s">
        <v>3502</v>
      </c>
      <c r="B1000">
        <f>B497</f>
        <v>145</v>
      </c>
      <c r="C1000" t="s">
        <v>12874</v>
      </c>
      <c r="E1000" s="94" t="s">
        <v>12888</v>
      </c>
      <c r="F1000" s="12">
        <v>85</v>
      </c>
      <c r="H1000" s="4" t="s">
        <v>905</v>
      </c>
      <c r="I1000" s="5">
        <f t="shared" si="963"/>
        <v>140</v>
      </c>
      <c r="J1000" s="5"/>
      <c r="K1000" s="4" t="str">
        <f t="shared" si="968"/>
        <v>Mi 8 - orig       = R$ 140,00</v>
      </c>
      <c r="M1000" s="4" t="str">
        <f t="shared" si="944"/>
        <v>Mi 8 - orig       = R$ 145,00</v>
      </c>
      <c r="O1000" s="4" t="str">
        <f t="shared" si="967"/>
        <v>Mi 8 - orig       = R$ 135,00</v>
      </c>
      <c r="Q1000" s="4" t="str">
        <f t="shared" si="939"/>
        <v>Mi 8 - orig       = R$ 150,00</v>
      </c>
    </row>
    <row r="1001" spans="1:17" ht="15" customHeight="1" x14ac:dyDescent="0.3">
      <c r="A1001" t="s">
        <v>3501</v>
      </c>
      <c r="B1001">
        <f>B498</f>
        <v>175</v>
      </c>
      <c r="C1001" t="s">
        <v>12874</v>
      </c>
      <c r="E1001" s="94" t="s">
        <v>11132</v>
      </c>
      <c r="F1001" s="15">
        <v>75</v>
      </c>
      <c r="H1001" s="4" t="s">
        <v>906</v>
      </c>
      <c r="I1001" s="5">
        <f t="shared" si="963"/>
        <v>65</v>
      </c>
      <c r="J1001" s="5"/>
      <c r="K1001" s="4" t="str">
        <f t="shared" si="968"/>
        <v>Mi 8 Lite          = R$ 65,00</v>
      </c>
      <c r="M1001" s="4" t="str">
        <f t="shared" si="944"/>
        <v>Mi 8 Lite          = R$ 70,00</v>
      </c>
      <c r="O1001" s="4" t="str">
        <f t="shared" si="967"/>
        <v>Mi 8 Lite          = R$ 60,00</v>
      </c>
      <c r="Q1001" s="4" t="str">
        <f t="shared" si="939"/>
        <v>Mi 8 Lite          = R$ 75,00</v>
      </c>
    </row>
    <row r="1002" spans="1:17" ht="15" customHeight="1" x14ac:dyDescent="0.3">
      <c r="A1002" t="s">
        <v>2624</v>
      </c>
      <c r="B1002">
        <f>B502</f>
        <v>180</v>
      </c>
      <c r="C1002" t="s">
        <v>12876</v>
      </c>
      <c r="E1002" s="94" t="s">
        <v>13581</v>
      </c>
      <c r="F1002" s="15">
        <v>85</v>
      </c>
      <c r="H1002" s="4" t="s">
        <v>907</v>
      </c>
      <c r="I1002" s="5">
        <f t="shared" si="963"/>
        <v>100</v>
      </c>
      <c r="J1002" s="5"/>
      <c r="K1002" s="4" t="str">
        <f t="shared" si="968"/>
        <v>Mi 9 - incell     = R$ 100,00</v>
      </c>
      <c r="M1002" s="4" t="str">
        <f t="shared" si="944"/>
        <v>Mi 9 - incell     = R$ 105,00</v>
      </c>
      <c r="O1002" s="4" t="str">
        <f t="shared" si="967"/>
        <v>Mi 9 - incell     = R$ 95,00</v>
      </c>
      <c r="Q1002" s="4" t="str">
        <f t="shared" si="939"/>
        <v>Mi 9 - incell     = R$ 110,00</v>
      </c>
    </row>
    <row r="1003" spans="1:17" ht="15" customHeight="1" x14ac:dyDescent="0.3">
      <c r="A1003" t="s">
        <v>2772</v>
      </c>
      <c r="B1003">
        <f>B499</f>
        <v>100</v>
      </c>
      <c r="C1003" t="s">
        <v>12875</v>
      </c>
      <c r="E1003" s="94" t="s">
        <v>945</v>
      </c>
      <c r="F1003" s="8">
        <v>105</v>
      </c>
      <c r="H1003" s="4" t="s">
        <v>909</v>
      </c>
      <c r="I1003" s="5">
        <f t="shared" si="963"/>
        <v>155</v>
      </c>
      <c r="J1003" s="5"/>
      <c r="K1003" s="4" t="str">
        <f t="shared" si="968"/>
        <v>Mi 9 - orig       = R$ 155,00</v>
      </c>
      <c r="M1003" s="4" t="str">
        <f t="shared" si="944"/>
        <v>Mi 9 - orig       = R$ 160,00</v>
      </c>
      <c r="O1003" s="4" t="str">
        <f t="shared" si="967"/>
        <v>Mi 9 - orig       = R$ 150,00</v>
      </c>
      <c r="Q1003" s="4" t="str">
        <f t="shared" si="939"/>
        <v>Mi 9 - orig       = R$ 165,00</v>
      </c>
    </row>
    <row r="1004" spans="1:17" ht="15" customHeight="1" x14ac:dyDescent="0.3">
      <c r="A1004" t="s">
        <v>2625</v>
      </c>
      <c r="B1004">
        <f>B508</f>
        <v>180</v>
      </c>
      <c r="C1004" t="s">
        <v>12878</v>
      </c>
      <c r="E1004" s="94" t="s">
        <v>12614</v>
      </c>
      <c r="F1004" s="12">
        <v>85</v>
      </c>
      <c r="H1004" s="4" t="s">
        <v>910</v>
      </c>
      <c r="I1004" s="5">
        <f t="shared" si="963"/>
        <v>110</v>
      </c>
      <c r="J1004" s="5"/>
      <c r="K1004" s="4" t="str">
        <f t="shared" si="968"/>
        <v>Mi 9 SE - incell             = R$ 110,00</v>
      </c>
      <c r="M1004" s="4" t="str">
        <f t="shared" si="944"/>
        <v>Mi 9 SE - incell             = R$ 115,00</v>
      </c>
      <c r="O1004" s="4" t="str">
        <f t="shared" si="967"/>
        <v>Mi 9 SE - incell             = R$ 105,00</v>
      </c>
      <c r="Q1004" s="4" t="str">
        <f t="shared" si="939"/>
        <v>Mi 9 SE - incell             = R$ 120,00</v>
      </c>
    </row>
    <row r="1005" spans="1:17" ht="15" customHeight="1" x14ac:dyDescent="0.3">
      <c r="A1005" t="s">
        <v>2773</v>
      </c>
      <c r="B1005">
        <f>B505</f>
        <v>105</v>
      </c>
      <c r="C1005" t="s">
        <v>12877</v>
      </c>
      <c r="E1005" s="12"/>
      <c r="F1005" s="12"/>
      <c r="H1005" s="4" t="s">
        <v>13225</v>
      </c>
      <c r="I1005" s="5">
        <f t="shared" si="963"/>
        <v>250</v>
      </c>
      <c r="J1005" s="5"/>
      <c r="K1005" s="4" t="str">
        <f t="shared" si="968"/>
        <v>Mi 9 SE - orig  (Tela/P) = R$ 250,00</v>
      </c>
      <c r="M1005" s="4" t="str">
        <f t="shared" si="944"/>
        <v>Mi 9 SE - orig  (Tela/P) = R$ 255,00</v>
      </c>
      <c r="O1005" s="4" t="str">
        <f t="shared" si="967"/>
        <v>Mi 9 SE - orig  (Tela/P) = R$ 245,00</v>
      </c>
      <c r="Q1005" s="4" t="str">
        <f t="shared" si="939"/>
        <v>Mi 9 SE - orig  (Tela/P) = R$ 260,00</v>
      </c>
    </row>
    <row r="1006" spans="1:17" ht="15" customHeight="1" x14ac:dyDescent="0.3">
      <c r="A1006" t="s">
        <v>2816</v>
      </c>
      <c r="B1006">
        <f>B511</f>
        <v>100</v>
      </c>
      <c r="E1006" s="12"/>
      <c r="F1006" s="12"/>
      <c r="H1006" s="4" t="s">
        <v>911</v>
      </c>
      <c r="I1006" s="5">
        <f t="shared" si="963"/>
        <v>100</v>
      </c>
      <c r="J1006" s="5"/>
      <c r="K1006" s="4" t="str">
        <f t="shared" si="968"/>
        <v>Mi 9 Lite - incell           = R$ 100,00</v>
      </c>
      <c r="M1006" s="4" t="str">
        <f t="shared" si="944"/>
        <v>Mi 9 Lite - incell           = R$ 105,00</v>
      </c>
      <c r="O1006" s="4" t="str">
        <f t="shared" si="967"/>
        <v>Mi 9 Lite - incell           = R$ 95,00</v>
      </c>
      <c r="Q1006" s="4" t="str">
        <f t="shared" si="939"/>
        <v>Mi 9 Lite - incell           = R$ 110,00</v>
      </c>
    </row>
    <row r="1007" spans="1:17" ht="15" customHeight="1" x14ac:dyDescent="0.3">
      <c r="A1007" t="s">
        <v>2817</v>
      </c>
      <c r="B1007">
        <f>B577</f>
        <v>95</v>
      </c>
      <c r="E1007" s="12"/>
      <c r="F1007" s="12"/>
      <c r="H1007" s="4" t="s">
        <v>913</v>
      </c>
      <c r="I1007" s="5">
        <f t="shared" si="963"/>
        <v>160</v>
      </c>
      <c r="J1007" s="5"/>
      <c r="K1007" s="4" t="str">
        <f t="shared" si="968"/>
        <v>Mi 9 Lite - original        = R$ 160,00</v>
      </c>
      <c r="M1007" s="4" t="str">
        <f t="shared" si="944"/>
        <v>Mi 9 Lite - original        = R$ 165,00</v>
      </c>
      <c r="O1007" s="4" t="str">
        <f t="shared" si="967"/>
        <v>Mi 9 Lite - original        = R$ 155,00</v>
      </c>
      <c r="Q1007" s="4" t="str">
        <f t="shared" si="939"/>
        <v>Mi 9 Lite - original        = R$ 170,00</v>
      </c>
    </row>
    <row r="1008" spans="1:17" ht="15" customHeight="1" x14ac:dyDescent="0.3">
      <c r="A1008" t="s">
        <v>3063</v>
      </c>
      <c r="B1008">
        <f>B585</f>
        <v>130</v>
      </c>
      <c r="E1008" s="12"/>
      <c r="F1008" s="12"/>
      <c r="H1008" s="4" t="s">
        <v>915</v>
      </c>
      <c r="I1008" s="5">
        <f t="shared" si="963"/>
        <v>80</v>
      </c>
      <c r="J1008" s="5"/>
      <c r="K1008" s="4" t="str">
        <f t="shared" si="968"/>
        <v>Mi 9T - incell   = R$ 80,00</v>
      </c>
      <c r="M1008" s="4" t="str">
        <f t="shared" si="944"/>
        <v>Mi 9T - incell   = R$ 85,00</v>
      </c>
      <c r="O1008" s="4" t="str">
        <f t="shared" si="967"/>
        <v>Mi 9T - incell   = R$ 75,00</v>
      </c>
      <c r="Q1008" s="4" t="str">
        <f t="shared" si="939"/>
        <v>Mi 9T - incell   = R$ 90,00</v>
      </c>
    </row>
    <row r="1009" spans="1:17" ht="15" customHeight="1" x14ac:dyDescent="0.3">
      <c r="A1009" t="s">
        <v>2818</v>
      </c>
      <c r="B1009">
        <f>B589</f>
        <v>95</v>
      </c>
      <c r="E1009" s="113" t="s">
        <v>952</v>
      </c>
      <c r="F1009" s="112"/>
      <c r="H1009" s="4" t="s">
        <v>917</v>
      </c>
      <c r="I1009" s="5">
        <f t="shared" si="963"/>
        <v>190</v>
      </c>
      <c r="J1009" s="5"/>
      <c r="K1009" s="4" t="str">
        <f t="shared" si="968"/>
        <v>Mi 9T - original             = R$ 190,00</v>
      </c>
      <c r="M1009" s="4" t="str">
        <f t="shared" si="944"/>
        <v>Mi 9T - original             = R$ 195,00</v>
      </c>
      <c r="O1009" s="4" t="str">
        <f t="shared" si="967"/>
        <v>Mi 9T - original             = R$ 185,00</v>
      </c>
      <c r="Q1009" s="4" t="str">
        <f t="shared" si="939"/>
        <v>Mi 9T - original             = R$ 200,00</v>
      </c>
    </row>
    <row r="1010" spans="1:17" ht="15" customHeight="1" x14ac:dyDescent="0.3">
      <c r="A1010" t="s">
        <v>3064</v>
      </c>
      <c r="B1010">
        <f>B594</f>
        <v>130</v>
      </c>
      <c r="E1010" s="94" t="s">
        <v>954</v>
      </c>
      <c r="F1010" s="15">
        <v>25</v>
      </c>
      <c r="H1010" s="4" t="s">
        <v>918</v>
      </c>
      <c r="I1010" s="5">
        <f t="shared" si="963"/>
        <v>80</v>
      </c>
      <c r="J1010" s="5"/>
      <c r="K1010" s="4" t="str">
        <f t="shared" si="968"/>
        <v>Mi 9T Pro - incell     = R$ 80,00</v>
      </c>
      <c r="M1010" s="4" t="str">
        <f t="shared" si="944"/>
        <v>Mi 9T Pro - incell     = R$ 85,00</v>
      </c>
      <c r="O1010" s="4" t="str">
        <f t="shared" si="967"/>
        <v>Mi 9T Pro - incell     = R$ 75,00</v>
      </c>
      <c r="Q1010" s="4" t="str">
        <f t="shared" si="939"/>
        <v>Mi 9T Pro - incell     = R$ 90,00</v>
      </c>
    </row>
    <row r="1011" spans="1:17" ht="15" customHeight="1" x14ac:dyDescent="0.3">
      <c r="A1011" t="s">
        <v>2774</v>
      </c>
      <c r="B1011">
        <f>B598</f>
        <v>105</v>
      </c>
      <c r="E1011" s="4"/>
      <c r="F1011" s="12"/>
      <c r="H1011" s="4" t="s">
        <v>919</v>
      </c>
      <c r="I1011" s="5">
        <f t="shared" si="963"/>
        <v>190</v>
      </c>
      <c r="J1011" s="5"/>
      <c r="K1011" s="4" t="str">
        <f t="shared" si="968"/>
        <v>Mi 9T Pro - original  = R$ 190,00</v>
      </c>
      <c r="M1011" s="4" t="str">
        <f t="shared" si="944"/>
        <v>Mi 9T Pro - original  = R$ 195,00</v>
      </c>
      <c r="O1011" s="4" t="str">
        <f t="shared" si="967"/>
        <v>Mi 9T Pro - original  = R$ 185,00</v>
      </c>
      <c r="Q1011" s="4" t="str">
        <f t="shared" si="939"/>
        <v>Mi 9T Pro - original  = R$ 200,00</v>
      </c>
    </row>
    <row r="1012" spans="1:17" ht="15" customHeight="1" x14ac:dyDescent="0.3">
      <c r="A1012" t="s">
        <v>2819</v>
      </c>
      <c r="B1012">
        <f>B602</f>
        <v>90</v>
      </c>
      <c r="E1012" s="4"/>
      <c r="F1012" s="12"/>
      <c r="H1012" s="4" t="s">
        <v>11128</v>
      </c>
      <c r="I1012" s="5">
        <f t="shared" si="963"/>
        <v>140</v>
      </c>
      <c r="J1012" s="5"/>
      <c r="K1012" s="4" t="str">
        <f t="shared" si="968"/>
        <v>Mi 10T - original  = R$ 140,00</v>
      </c>
      <c r="M1012" s="4" t="str">
        <f t="shared" si="944"/>
        <v>Mi 10T - original  = R$ 145,00</v>
      </c>
      <c r="O1012" s="4" t="str">
        <f t="shared" si="967"/>
        <v>Mi 10T - original  = R$ 135,00</v>
      </c>
      <c r="Q1012" s="4" t="str">
        <f t="shared" si="939"/>
        <v>Mi 10T - original  = R$ 150,00</v>
      </c>
    </row>
    <row r="1013" spans="1:17" ht="15" customHeight="1" x14ac:dyDescent="0.3">
      <c r="A1013" t="s">
        <v>2626</v>
      </c>
      <c r="B1013">
        <f>B610</f>
        <v>180</v>
      </c>
      <c r="E1013" s="113" t="s">
        <v>3518</v>
      </c>
      <c r="F1013" s="112"/>
      <c r="H1013" s="4" t="s">
        <v>11129</v>
      </c>
      <c r="I1013" s="5">
        <f>F929</f>
        <v>140</v>
      </c>
      <c r="J1013" s="5"/>
      <c r="K1013" s="4" t="str">
        <f t="shared" ref="K1013" si="969">CONCATENATE(H1013,I1013,",00")</f>
        <v>Mi 10T Pro - original = R$ 140,00</v>
      </c>
      <c r="M1013" s="4" t="str">
        <f t="shared" si="944"/>
        <v>Mi 10T Pro - original = R$ 145,00</v>
      </c>
      <c r="O1013" s="4" t="str">
        <f t="shared" ref="O1013" si="970">CONCATENATE(H1013,I1013-5,",00")</f>
        <v>Mi 10T Pro - original = R$ 135,00</v>
      </c>
      <c r="Q1013" s="4" t="str">
        <f t="shared" si="939"/>
        <v>Mi 10T Pro - original = R$ 150,00</v>
      </c>
    </row>
    <row r="1014" spans="1:17" ht="15" customHeight="1" x14ac:dyDescent="0.3">
      <c r="A1014" t="s">
        <v>3065</v>
      </c>
      <c r="B1014">
        <f>B618</f>
        <v>160</v>
      </c>
      <c r="E1014" t="s">
        <v>1013</v>
      </c>
      <c r="F1014" s="49">
        <v>35</v>
      </c>
      <c r="H1014" s="4" t="s">
        <v>920</v>
      </c>
      <c r="I1014" s="5">
        <f>F930</f>
        <v>100</v>
      </c>
      <c r="J1014" s="5"/>
      <c r="K1014" s="4" t="str">
        <f>CONCATENATE(H1014,I1014,",00")</f>
        <v>Mi 11 Lite - incell      = R$ 100,00</v>
      </c>
      <c r="M1014" s="4" t="str">
        <f t="shared" si="944"/>
        <v>Mi 11 Lite - incell      = R$ 105,00</v>
      </c>
      <c r="O1014" s="4" t="str">
        <f>CONCATENATE(H1014,I1014-5,",00")</f>
        <v>Mi 11 Lite - incell      = R$ 95,00</v>
      </c>
      <c r="Q1014" s="4" t="str">
        <f t="shared" si="939"/>
        <v>Mi 11 Lite - incell      = R$ 110,00</v>
      </c>
    </row>
    <row r="1015" spans="1:17" ht="15" customHeight="1" x14ac:dyDescent="0.3">
      <c r="A1015" t="s">
        <v>2775</v>
      </c>
      <c r="B1015">
        <f>B532</f>
        <v>80</v>
      </c>
      <c r="C1015" t="s">
        <v>12900</v>
      </c>
      <c r="E1015" t="s">
        <v>1011</v>
      </c>
      <c r="F1015" s="49">
        <v>55</v>
      </c>
      <c r="H1015" s="4" t="s">
        <v>921</v>
      </c>
      <c r="I1015" s="5">
        <f>F931</f>
        <v>225</v>
      </c>
      <c r="J1015" s="5"/>
      <c r="K1015" s="4" t="str">
        <f>CONCATENATE(H1015,I1015,",00")</f>
        <v>Mi 11 Lite - original   = R$ 225,00</v>
      </c>
      <c r="M1015" s="4" t="str">
        <f t="shared" si="944"/>
        <v>Mi 11 Lite - original   = R$ 230,00</v>
      </c>
      <c r="O1015" s="4" t="str">
        <f>CONCATENATE(H1015,I1015-5,",00")</f>
        <v>Mi 11 Lite - original   = R$ 220,00</v>
      </c>
      <c r="Q1015" s="4" t="str">
        <f t="shared" si="939"/>
        <v>Mi 11 Lite - original   = R$ 235,00</v>
      </c>
    </row>
    <row r="1016" spans="1:17" ht="15" customHeight="1" x14ac:dyDescent="0.3">
      <c r="A1016" t="s">
        <v>2820</v>
      </c>
      <c r="B1016">
        <f>B533</f>
        <v>60</v>
      </c>
      <c r="E1016" t="s">
        <v>1012</v>
      </c>
      <c r="F1016" s="49">
        <v>25</v>
      </c>
      <c r="H1016" s="4" t="s">
        <v>11010</v>
      </c>
      <c r="I1016" s="5">
        <f>F932</f>
        <v>90</v>
      </c>
      <c r="J1016" s="5"/>
      <c r="K1016" s="4" t="str">
        <f t="shared" ref="K1016:K1018" si="971">CONCATENATE(H1016,I1016,",00")</f>
        <v>Mi 11T - incell      = R$ 90,00</v>
      </c>
      <c r="M1016" s="4" t="str">
        <f t="shared" si="944"/>
        <v>Mi 11T - incell      = R$ 95,00</v>
      </c>
      <c r="O1016" s="4" t="str">
        <f t="shared" ref="O1016:O1018" si="972">CONCATENATE(H1016,I1016-5,",00")</f>
        <v>Mi 11T - incell      = R$ 85,00</v>
      </c>
      <c r="Q1016" s="4" t="str">
        <f t="shared" si="939"/>
        <v>Mi 11T - incell      = R$ 100,00</v>
      </c>
    </row>
    <row r="1017" spans="1:17" ht="15" customHeight="1" x14ac:dyDescent="0.3">
      <c r="A1017" t="s">
        <v>2978</v>
      </c>
      <c r="B1017">
        <f>B536</f>
        <v>220</v>
      </c>
      <c r="C1017" t="s">
        <v>12901</v>
      </c>
      <c r="E1017" s="46" t="s">
        <v>10601</v>
      </c>
      <c r="F1017" s="49">
        <v>15</v>
      </c>
      <c r="H1017" s="4" t="s">
        <v>11011</v>
      </c>
      <c r="I1017" s="5">
        <f t="shared" ref="I1017:J1024" si="973">F932</f>
        <v>90</v>
      </c>
      <c r="J1017" s="5"/>
      <c r="K1017" s="4" t="str">
        <f t="shared" si="971"/>
        <v>Mi 11T Pro - incell   = R$ 90,00</v>
      </c>
      <c r="M1017" s="4" t="str">
        <f t="shared" si="944"/>
        <v>Mi 11T Pro - incell   = R$ 95,00</v>
      </c>
      <c r="O1017" s="4" t="str">
        <f t="shared" si="972"/>
        <v>Mi 11T Pro - incell   = R$ 85,00</v>
      </c>
      <c r="Q1017" s="4" t="str">
        <f t="shared" si="939"/>
        <v>Mi 11T Pro - incell   = R$ 100,00</v>
      </c>
    </row>
    <row r="1018" spans="1:17" ht="15" customHeight="1" x14ac:dyDescent="0.3">
      <c r="A1018" t="s">
        <v>2979</v>
      </c>
      <c r="B1018">
        <f>B539</f>
        <v>135</v>
      </c>
      <c r="C1018" t="s">
        <v>12902</v>
      </c>
      <c r="E1018" t="s">
        <v>1014</v>
      </c>
      <c r="F1018" s="49">
        <v>15</v>
      </c>
      <c r="H1018" s="4" t="s">
        <v>11146</v>
      </c>
      <c r="I1018" s="5">
        <f t="shared" si="973"/>
        <v>260</v>
      </c>
      <c r="J1018" s="5"/>
      <c r="K1018" s="4" t="str">
        <f t="shared" si="971"/>
        <v>Xiaomi 13 Lite/Mi 13 Lite -orig = 260,00</v>
      </c>
      <c r="M1018" s="4" t="str">
        <f t="shared" si="944"/>
        <v>Xiaomi 13 Lite/Mi 13 Lite -orig = 265,00</v>
      </c>
      <c r="O1018" s="4" t="str">
        <f t="shared" si="972"/>
        <v>Xiaomi 13 Lite/Mi 13 Lite -orig = 255,00</v>
      </c>
      <c r="Q1018" s="4" t="str">
        <f t="shared" si="939"/>
        <v>Xiaomi 13 Lite/Mi 13 Lite -orig = 270,00</v>
      </c>
    </row>
    <row r="1019" spans="1:17" ht="15" customHeight="1" x14ac:dyDescent="0.3">
      <c r="A1019" t="s">
        <v>2776</v>
      </c>
      <c r="B1019">
        <f>B540</f>
        <v>80</v>
      </c>
      <c r="C1019" t="s">
        <v>12903</v>
      </c>
      <c r="E1019" t="s">
        <v>1015</v>
      </c>
      <c r="F1019" s="49">
        <v>40</v>
      </c>
      <c r="H1019" s="4" t="s">
        <v>923</v>
      </c>
      <c r="I1019" s="5">
        <f t="shared" si="973"/>
        <v>75</v>
      </c>
      <c r="J1019" s="5"/>
      <c r="K1019" s="4" t="str">
        <f t="shared" ref="K1019:K1094" si="974">CONCATENATE(H1019,I1019,",00")</f>
        <v>Mi A2 - original  = R$ 75,00</v>
      </c>
      <c r="M1019" s="4" t="str">
        <f t="shared" si="944"/>
        <v>Mi A2 - original  = R$ 80,00</v>
      </c>
      <c r="O1019" s="4" t="str">
        <f t="shared" ref="O1019:O1036" si="975">CONCATENATE(H1019,I1019-5,",00")</f>
        <v>Mi A2 - original  = R$ 70,00</v>
      </c>
      <c r="Q1019" s="4" t="str">
        <f t="shared" si="939"/>
        <v>Mi A2 - original  = R$ 85,00</v>
      </c>
    </row>
    <row r="1020" spans="1:17" ht="15" customHeight="1" x14ac:dyDescent="0.3">
      <c r="A1020" t="s">
        <v>5082</v>
      </c>
      <c r="B1020">
        <f>B547</f>
        <v>260</v>
      </c>
      <c r="C1020" t="s">
        <v>12904</v>
      </c>
      <c r="E1020" t="s">
        <v>1016</v>
      </c>
      <c r="H1020" s="4" t="s">
        <v>925</v>
      </c>
      <c r="I1020" s="5">
        <f t="shared" si="973"/>
        <v>85</v>
      </c>
      <c r="J1020" s="5"/>
      <c r="K1020" s="4" t="str">
        <f t="shared" si="974"/>
        <v>Mi A2 Lite   = R$ 85,00</v>
      </c>
      <c r="M1020" s="4" t="str">
        <f t="shared" si="944"/>
        <v>Mi A2 Lite   = R$ 90,00</v>
      </c>
      <c r="O1020" s="4" t="str">
        <f t="shared" si="975"/>
        <v>Mi A2 Lite   = R$ 80,00</v>
      </c>
      <c r="Q1020" s="4" t="str">
        <f t="shared" si="939"/>
        <v>Mi A2 Lite   = R$ 95,00</v>
      </c>
    </row>
    <row r="1021" spans="1:17" ht="15" customHeight="1" x14ac:dyDescent="0.3">
      <c r="A1021" t="s">
        <v>5083</v>
      </c>
      <c r="B1021">
        <f>B550</f>
        <v>200</v>
      </c>
      <c r="C1021" t="s">
        <v>12905</v>
      </c>
      <c r="E1021" t="s">
        <v>1017</v>
      </c>
      <c r="F1021" s="49">
        <v>15</v>
      </c>
      <c r="H1021" s="4" t="s">
        <v>927</v>
      </c>
      <c r="I1021" s="5">
        <f t="shared" si="973"/>
        <v>75</v>
      </c>
      <c r="J1021" s="5"/>
      <c r="K1021" s="4" t="str">
        <f t="shared" si="974"/>
        <v>Mi A3 - incell   = R$ 75,00</v>
      </c>
      <c r="M1021" s="4" t="str">
        <f t="shared" si="944"/>
        <v>Mi A3 - incell   = R$ 80,00</v>
      </c>
      <c r="O1021" s="4" t="str">
        <f t="shared" si="975"/>
        <v>Mi A3 - incell   = R$ 70,00</v>
      </c>
      <c r="Q1021" s="4" t="str">
        <f t="shared" si="939"/>
        <v>Mi A3 - incell   = R$ 85,00</v>
      </c>
    </row>
    <row r="1022" spans="1:17" ht="15" customHeight="1" x14ac:dyDescent="0.3">
      <c r="A1022" t="s">
        <v>2777</v>
      </c>
      <c r="B1022">
        <f>B551</f>
        <v>105</v>
      </c>
      <c r="C1022" t="s">
        <v>12906</v>
      </c>
      <c r="E1022" t="s">
        <v>1018</v>
      </c>
      <c r="F1022" s="49">
        <v>15</v>
      </c>
      <c r="H1022" s="4" t="s">
        <v>929</v>
      </c>
      <c r="I1022" s="5">
        <f t="shared" si="973"/>
        <v>180</v>
      </c>
      <c r="J1022" s="5"/>
      <c r="K1022" s="4" t="str">
        <f t="shared" si="974"/>
        <v>Mi A3 - original           = R$ 180,00</v>
      </c>
      <c r="M1022" s="4" t="str">
        <f t="shared" si="944"/>
        <v>Mi A3 - original           = R$ 185,00</v>
      </c>
      <c r="O1022" s="4" t="str">
        <f t="shared" si="975"/>
        <v>Mi A3 - original           = R$ 175,00</v>
      </c>
      <c r="Q1022" s="4" t="str">
        <f t="shared" si="939"/>
        <v>Mi A3 - original           = R$ 190,00</v>
      </c>
    </row>
    <row r="1023" spans="1:17" ht="15" customHeight="1" x14ac:dyDescent="0.3">
      <c r="A1023" t="s">
        <v>2821</v>
      </c>
      <c r="B1023">
        <f>B552</f>
        <v>90</v>
      </c>
      <c r="E1023" t="s">
        <v>1019</v>
      </c>
      <c r="F1023" s="49">
        <v>12</v>
      </c>
      <c r="H1023" s="4" t="s">
        <v>930</v>
      </c>
      <c r="I1023" s="5">
        <f t="shared" si="973"/>
        <v>80</v>
      </c>
      <c r="J1023" s="5"/>
      <c r="K1023" s="4" t="str">
        <f t="shared" si="974"/>
        <v>Mi Max 2        = R$ 80,00</v>
      </c>
      <c r="M1023" s="4" t="str">
        <f t="shared" si="944"/>
        <v>Mi Max 2        = R$ 85,00</v>
      </c>
      <c r="O1023" s="4" t="str">
        <f t="shared" si="975"/>
        <v>Mi Max 2        = R$ 75,00</v>
      </c>
      <c r="Q1023" s="4" t="str">
        <f t="shared" si="939"/>
        <v>Mi Max 2        = R$ 90,00</v>
      </c>
    </row>
    <row r="1024" spans="1:17" ht="15" customHeight="1" x14ac:dyDescent="0.3">
      <c r="A1024" t="s">
        <v>12908</v>
      </c>
      <c r="B1024">
        <f>B555</f>
        <v>250</v>
      </c>
      <c r="C1024" t="s">
        <v>12907</v>
      </c>
      <c r="E1024" t="s">
        <v>10658</v>
      </c>
      <c r="F1024" s="49">
        <v>12</v>
      </c>
      <c r="H1024" s="4" t="s">
        <v>931</v>
      </c>
      <c r="I1024" s="5">
        <f t="shared" si="973"/>
        <v>80</v>
      </c>
      <c r="J1024" s="5"/>
      <c r="K1024" s="4" t="str">
        <f t="shared" si="974"/>
        <v>Mi Max 3        = R$ 80,00</v>
      </c>
      <c r="M1024" s="4" t="str">
        <f t="shared" si="944"/>
        <v>Mi Max 3        = R$ 85,00</v>
      </c>
      <c r="O1024" s="4" t="str">
        <f t="shared" si="975"/>
        <v>Mi Max 3        = R$ 75,00</v>
      </c>
      <c r="Q1024" s="4" t="str">
        <f t="shared" si="939"/>
        <v>Mi Max 3        = R$ 90,00</v>
      </c>
    </row>
    <row r="1025" spans="1:17" ht="15" customHeight="1" x14ac:dyDescent="0.3">
      <c r="A1025" t="s">
        <v>12909</v>
      </c>
      <c r="B1025">
        <f>B558</f>
        <v>170</v>
      </c>
      <c r="C1025" t="s">
        <v>12912</v>
      </c>
      <c r="E1025" t="s">
        <v>10809</v>
      </c>
      <c r="F1025" s="49">
        <v>12</v>
      </c>
      <c r="H1025" s="4" t="s">
        <v>933</v>
      </c>
      <c r="I1025" s="5">
        <f>F870</f>
        <v>60</v>
      </c>
      <c r="J1025" s="5"/>
      <c r="K1025" s="4" t="str">
        <f t="shared" si="974"/>
        <v>Poco C3            = R$ 60,00</v>
      </c>
      <c r="M1025" s="4" t="str">
        <f t="shared" si="944"/>
        <v>Poco C3            = R$ 65,00</v>
      </c>
      <c r="O1025" s="4" t="str">
        <f t="shared" si="975"/>
        <v>Poco C3            = R$ 55,00</v>
      </c>
      <c r="Q1025" s="4" t="str">
        <f t="shared" si="939"/>
        <v>Poco C3            = R$ 70,00</v>
      </c>
    </row>
    <row r="1026" spans="1:17" ht="15" customHeight="1" x14ac:dyDescent="0.3">
      <c r="A1026" t="s">
        <v>2778</v>
      </c>
      <c r="B1026">
        <f>B561</f>
        <v>120</v>
      </c>
      <c r="C1026" t="s">
        <v>12913</v>
      </c>
      <c r="E1026" t="s">
        <v>10952</v>
      </c>
      <c r="F1026" s="49">
        <v>12</v>
      </c>
      <c r="H1026" s="4" t="s">
        <v>12273</v>
      </c>
      <c r="I1026" s="5">
        <f>F870</f>
        <v>60</v>
      </c>
      <c r="J1026" s="5"/>
      <c r="K1026" s="4" t="str">
        <f t="shared" ref="K1026" si="976">CONCATENATE(H1026,I1026,",00")</f>
        <v>Poco C31        = R$ 60,00</v>
      </c>
      <c r="M1026" s="4" t="str">
        <f t="shared" si="944"/>
        <v>Poco C31        = R$ 65,00</v>
      </c>
      <c r="O1026" s="4" t="str">
        <f t="shared" ref="O1026" si="977">CONCATENATE(H1026,I1026-5,",00")</f>
        <v>Poco C31        = R$ 55,00</v>
      </c>
      <c r="Q1026" s="4" t="str">
        <f t="shared" si="939"/>
        <v>Poco C31        = R$ 70,00</v>
      </c>
    </row>
    <row r="1027" spans="1:17" ht="15" customHeight="1" x14ac:dyDescent="0.3">
      <c r="A1027" t="s">
        <v>12910</v>
      </c>
      <c r="B1027">
        <f>B564</f>
        <v>195</v>
      </c>
      <c r="C1027" t="s">
        <v>12915</v>
      </c>
      <c r="E1027" t="s">
        <v>1021</v>
      </c>
      <c r="F1027" s="49">
        <v>12</v>
      </c>
      <c r="H1027" s="4" t="s">
        <v>935</v>
      </c>
      <c r="I1027" s="5">
        <f>F885</f>
        <v>70</v>
      </c>
      <c r="J1027" s="5"/>
      <c r="K1027" s="4" t="str">
        <f t="shared" si="974"/>
        <v>Poco C40        = R$ 70,00</v>
      </c>
      <c r="M1027" s="4" t="str">
        <f t="shared" si="944"/>
        <v>Poco C40        = R$ 75,00</v>
      </c>
      <c r="O1027" s="4" t="str">
        <f t="shared" si="975"/>
        <v>Poco C40        = R$ 65,00</v>
      </c>
      <c r="Q1027" s="4" t="str">
        <f t="shared" si="939"/>
        <v>Poco C40        = R$ 80,00</v>
      </c>
    </row>
    <row r="1028" spans="1:17" ht="15" customHeight="1" x14ac:dyDescent="0.3">
      <c r="A1028" t="s">
        <v>12911</v>
      </c>
      <c r="B1028">
        <f>B567</f>
        <v>160</v>
      </c>
      <c r="C1028" t="s">
        <v>12914</v>
      </c>
      <c r="E1028" t="s">
        <v>1022</v>
      </c>
      <c r="F1028" s="49">
        <v>12</v>
      </c>
      <c r="H1028" s="4" t="s">
        <v>12391</v>
      </c>
      <c r="I1028" s="5">
        <f>F893</f>
        <v>65</v>
      </c>
      <c r="J1028" s="5"/>
      <c r="K1028" s="4" t="str">
        <f>CONCATENATE(H1028,I1028,",00")</f>
        <v>Poco C55  = R$ 65,00</v>
      </c>
      <c r="M1028" s="4" t="str">
        <f t="shared" si="944"/>
        <v>Poco C55  = R$ 70,00</v>
      </c>
      <c r="O1028" s="4" t="str">
        <f t="shared" ref="O1028:O1031" si="978">CONCATENATE(H1028,I1028-5,",00")</f>
        <v>Poco C55  = R$ 60,00</v>
      </c>
      <c r="Q1028" s="4" t="str">
        <f t="shared" ref="Q1028:Q1082" si="979">CONCATENATE(H1028,I1028+10,",00")</f>
        <v>Poco C55  = R$ 75,00</v>
      </c>
    </row>
    <row r="1029" spans="1:17" ht="15" customHeight="1" x14ac:dyDescent="0.3">
      <c r="A1029" t="s">
        <v>2822</v>
      </c>
      <c r="B1029">
        <f>B622</f>
        <v>95</v>
      </c>
      <c r="E1029" t="s">
        <v>1024</v>
      </c>
      <c r="F1029" s="49">
        <v>15</v>
      </c>
      <c r="H1029" s="4" t="s">
        <v>12392</v>
      </c>
      <c r="I1029" s="5">
        <f>F894</f>
        <v>80</v>
      </c>
      <c r="J1029" s="5"/>
      <c r="K1029" s="4" t="str">
        <f t="shared" ref="K1029:K1031" si="980">CONCATENATE(H1029,I1029,",00")</f>
        <v>Poco C55 c/aro  = R$ 80,00</v>
      </c>
      <c r="M1029" s="4" t="str">
        <f t="shared" si="944"/>
        <v>Poco C55 c/aro  = R$ 85,00</v>
      </c>
      <c r="O1029" s="4" t="str">
        <f t="shared" si="978"/>
        <v>Poco C55 c/aro  = R$ 75,00</v>
      </c>
      <c r="Q1029" s="4" t="str">
        <f t="shared" si="979"/>
        <v>Poco C55 c/aro  = R$ 90,00</v>
      </c>
    </row>
    <row r="1030" spans="1:17" ht="15" customHeight="1" x14ac:dyDescent="0.3">
      <c r="A1030" t="s">
        <v>3066</v>
      </c>
      <c r="B1030">
        <f>B630</f>
        <v>195</v>
      </c>
      <c r="E1030" t="s">
        <v>1025</v>
      </c>
      <c r="F1030" s="49">
        <v>10</v>
      </c>
      <c r="H1030" s="4" t="s">
        <v>12394</v>
      </c>
      <c r="I1030" s="5">
        <f>F895</f>
        <v>90</v>
      </c>
      <c r="J1030" s="5"/>
      <c r="K1030" s="4" t="str">
        <f t="shared" si="980"/>
        <v>Poco C55 c/aro Nacional = R$ 90,00</v>
      </c>
      <c r="M1030" s="4" t="str">
        <f t="shared" ref="M1030:M1056" si="981">CONCATENATE(H1030,I1030+5,",00")</f>
        <v>Poco C55 c/aro Nacional = R$ 95,00</v>
      </c>
      <c r="O1030" s="4" t="str">
        <f t="shared" si="978"/>
        <v>Poco C55 c/aro Nacional = R$ 85,00</v>
      </c>
      <c r="Q1030" s="4" t="str">
        <f t="shared" si="979"/>
        <v>Poco C55 c/aro Nacional = R$ 100,00</v>
      </c>
    </row>
    <row r="1031" spans="1:17" ht="15" customHeight="1" x14ac:dyDescent="0.3">
      <c r="A1031" t="s">
        <v>2823</v>
      </c>
      <c r="B1031">
        <f>B634</f>
        <v>95</v>
      </c>
      <c r="E1031" t="s">
        <v>1026</v>
      </c>
      <c r="H1031" s="4" t="s">
        <v>12393</v>
      </c>
      <c r="I1031" s="5">
        <f>F896</f>
        <v>100</v>
      </c>
      <c r="J1031" s="5"/>
      <c r="K1031" s="4" t="str">
        <f t="shared" si="980"/>
        <v>Poco C55 c/aro Nac Diamonds = 100,00</v>
      </c>
      <c r="M1031" s="4" t="str">
        <f t="shared" si="981"/>
        <v>Poco C55 c/aro Nac Diamonds = 105,00</v>
      </c>
      <c r="O1031" s="4" t="str">
        <f t="shared" si="978"/>
        <v>Poco C55 c/aro Nac Diamonds = 95,00</v>
      </c>
      <c r="Q1031" s="4" t="str">
        <f t="shared" si="979"/>
        <v>Poco C55 c/aro Nac Diamonds = 110,00</v>
      </c>
    </row>
    <row r="1032" spans="1:17" ht="15" customHeight="1" x14ac:dyDescent="0.3">
      <c r="A1032" t="s">
        <v>3067</v>
      </c>
      <c r="B1032">
        <f>B642</f>
        <v>170</v>
      </c>
      <c r="E1032" t="s">
        <v>1027</v>
      </c>
      <c r="F1032" s="49">
        <v>10</v>
      </c>
      <c r="H1032" s="4" t="s">
        <v>13095</v>
      </c>
      <c r="I1032" s="5">
        <f>F912</f>
        <v>75</v>
      </c>
      <c r="J1032" s="5"/>
      <c r="K1032" s="4" t="str">
        <f>CONCATENATE(H1032,I1032,",00")</f>
        <v>Poco C61  = R$ 75,00</v>
      </c>
      <c r="M1032" s="4" t="str">
        <f t="shared" ref="M1032" si="982">CONCATENATE(H1032,I1032+5,",00")</f>
        <v>Poco C61  = R$ 80,00</v>
      </c>
      <c r="O1032" s="4" t="str">
        <f>CONCATENATE(H1032,I1032-5,",00")</f>
        <v>Poco C61  = R$ 70,00</v>
      </c>
      <c r="Q1032" s="4" t="str">
        <f t="shared" ref="Q1032" si="983">CONCATENATE(H1032,I1032+10,",00")</f>
        <v>Poco C61  = R$ 85,00</v>
      </c>
    </row>
    <row r="1033" spans="1:17" ht="15" customHeight="1" x14ac:dyDescent="0.3">
      <c r="A1033" t="s">
        <v>2627</v>
      </c>
      <c r="B1033">
        <f>B647</f>
        <v>350</v>
      </c>
      <c r="C1033" t="s">
        <v>12917</v>
      </c>
      <c r="E1033" s="23" t="s">
        <v>4565</v>
      </c>
      <c r="F1033" s="49">
        <v>10</v>
      </c>
      <c r="H1033" s="4" t="s">
        <v>958</v>
      </c>
      <c r="I1033" s="5">
        <f>F900</f>
        <v>65</v>
      </c>
      <c r="J1033" s="5"/>
      <c r="K1033" s="4" t="str">
        <f>CONCATENATE(H1033,I1033,",00")</f>
        <v>Poco C65  = R$ 65,00</v>
      </c>
      <c r="M1033" s="4" t="str">
        <f t="shared" si="981"/>
        <v>Poco C65  = R$ 70,00</v>
      </c>
      <c r="O1033" s="4" t="str">
        <f t="shared" si="975"/>
        <v>Poco C65  = R$ 60,00</v>
      </c>
      <c r="Q1033" s="4" t="str">
        <f t="shared" si="979"/>
        <v>Poco C65  = R$ 75,00</v>
      </c>
    </row>
    <row r="1034" spans="1:17" ht="15" customHeight="1" x14ac:dyDescent="0.3">
      <c r="A1034" t="s">
        <v>3068</v>
      </c>
      <c r="B1034">
        <f>B646</f>
        <v>270</v>
      </c>
      <c r="C1034" t="s">
        <v>12916</v>
      </c>
      <c r="E1034" t="s">
        <v>1028</v>
      </c>
      <c r="F1034" s="49">
        <v>15</v>
      </c>
      <c r="H1034" s="4" t="s">
        <v>12371</v>
      </c>
      <c r="I1034" s="5">
        <f>F901</f>
        <v>80</v>
      </c>
      <c r="J1034" s="5"/>
      <c r="K1034" s="4" t="str">
        <f t="shared" ref="K1034:K1036" si="984">CONCATENATE(H1034,I1034,",00")</f>
        <v>Poco C65 c/aro  = R$ 80,00</v>
      </c>
      <c r="M1034" s="4" t="str">
        <f t="shared" si="981"/>
        <v>Poco C65 c/aro  = R$ 85,00</v>
      </c>
      <c r="O1034" s="4" t="str">
        <f t="shared" si="975"/>
        <v>Poco C65 c/aro  = R$ 75,00</v>
      </c>
      <c r="Q1034" s="4" t="str">
        <f t="shared" si="979"/>
        <v>Poco C65 c/aro  = R$ 90,00</v>
      </c>
    </row>
    <row r="1035" spans="1:17" ht="15" customHeight="1" x14ac:dyDescent="0.3">
      <c r="A1035" t="s">
        <v>3069</v>
      </c>
      <c r="B1035">
        <f>B655</f>
        <v>180</v>
      </c>
      <c r="E1035" t="s">
        <v>1029</v>
      </c>
      <c r="F1035" s="49">
        <v>15</v>
      </c>
      <c r="H1035" s="4" t="s">
        <v>12482</v>
      </c>
      <c r="I1035" s="5">
        <f>F913</f>
        <v>80</v>
      </c>
      <c r="J1035" s="5"/>
      <c r="K1035" s="4" t="str">
        <f t="shared" si="984"/>
        <v>Poco C71  = R$ 80,00</v>
      </c>
      <c r="M1035" s="4" t="str">
        <f t="shared" si="981"/>
        <v>Poco C71  = R$ 85,00</v>
      </c>
      <c r="O1035" s="4" t="str">
        <f t="shared" si="975"/>
        <v>Poco C71  = R$ 75,00</v>
      </c>
      <c r="Q1035" s="4" t="str">
        <f t="shared" si="979"/>
        <v>Poco C71  = R$ 90,00</v>
      </c>
    </row>
    <row r="1036" spans="1:17" ht="15" customHeight="1" x14ac:dyDescent="0.3">
      <c r="A1036" t="s">
        <v>3070</v>
      </c>
      <c r="B1036">
        <f>B709</f>
        <v>60</v>
      </c>
      <c r="E1036" t="s">
        <v>10663</v>
      </c>
      <c r="H1036" s="4" t="s">
        <v>13632</v>
      </c>
      <c r="I1036" s="5">
        <f>F914</f>
        <v>90</v>
      </c>
      <c r="J1036" s="5"/>
      <c r="K1036" s="4" t="str">
        <f t="shared" si="984"/>
        <v>Poco C71 c/aro = R$ 90,00</v>
      </c>
      <c r="M1036" s="4" t="str">
        <f t="shared" ref="M1036" si="985">CONCATENATE(H1036,I1036+5,",00")</f>
        <v>Poco C71 c/aro = R$ 95,00</v>
      </c>
      <c r="O1036" s="4" t="str">
        <f t="shared" si="975"/>
        <v>Poco C71 c/aro = R$ 85,00</v>
      </c>
      <c r="Q1036" s="4" t="str">
        <f t="shared" ref="Q1036" si="986">CONCATENATE(H1036,I1036+10,",00")</f>
        <v>Poco C71 c/aro = R$ 100,00</v>
      </c>
    </row>
    <row r="1037" spans="1:17" ht="15" customHeight="1" x14ac:dyDescent="0.3">
      <c r="A1037" t="s">
        <v>2824</v>
      </c>
      <c r="B1037">
        <f t="shared" ref="B1037:B1047" si="987">B714</f>
        <v>60</v>
      </c>
      <c r="E1037" t="s">
        <v>10664</v>
      </c>
      <c r="F1037" s="49">
        <v>20</v>
      </c>
      <c r="H1037" s="4" t="s">
        <v>10681</v>
      </c>
      <c r="I1037" s="5">
        <f t="shared" ref="I1037:J1042" si="988">F904</f>
        <v>75</v>
      </c>
      <c r="J1037" s="5"/>
      <c r="K1037" s="4" t="str">
        <f t="shared" ref="K1037:K1042" si="989">CONCATENATE(H1037,I1037,",00")</f>
        <v>Poco C75  = R$ 75,00</v>
      </c>
      <c r="M1037" s="4" t="str">
        <f t="shared" si="981"/>
        <v>Poco C75  = R$ 80,00</v>
      </c>
      <c r="O1037" s="4" t="str">
        <f t="shared" ref="O1037:O1042" si="990">CONCATENATE(H1037,I1037-5,",00")</f>
        <v>Poco C75  = R$ 70,00</v>
      </c>
      <c r="Q1037" s="4" t="str">
        <f t="shared" si="979"/>
        <v>Poco C75  = R$ 85,00</v>
      </c>
    </row>
    <row r="1038" spans="1:17" ht="15" customHeight="1" x14ac:dyDescent="0.3">
      <c r="A1038" t="s">
        <v>2825</v>
      </c>
      <c r="B1038">
        <f t="shared" si="987"/>
        <v>55</v>
      </c>
      <c r="E1038" t="s">
        <v>10665</v>
      </c>
      <c r="F1038" s="49">
        <v>20</v>
      </c>
      <c r="H1038" s="4" t="s">
        <v>10939</v>
      </c>
      <c r="I1038" s="5">
        <f t="shared" si="988"/>
        <v>85</v>
      </c>
      <c r="J1038" s="5"/>
      <c r="K1038" s="4" t="str">
        <f t="shared" si="989"/>
        <v>Poco C75 c/aro = R$ 85,00</v>
      </c>
      <c r="M1038" s="4" t="str">
        <f t="shared" si="981"/>
        <v>Poco C75 c/aro = R$ 90,00</v>
      </c>
      <c r="O1038" s="4" t="str">
        <f t="shared" si="990"/>
        <v>Poco C75 c/aro = R$ 80,00</v>
      </c>
      <c r="Q1038" s="4" t="str">
        <f t="shared" si="979"/>
        <v>Poco C75 c/aro = R$ 95,00</v>
      </c>
    </row>
    <row r="1039" spans="1:17" ht="15" customHeight="1" x14ac:dyDescent="0.3">
      <c r="A1039" t="s">
        <v>3071</v>
      </c>
      <c r="B1039">
        <f t="shared" si="987"/>
        <v>55</v>
      </c>
      <c r="E1039" t="s">
        <v>12378</v>
      </c>
      <c r="F1039" s="49">
        <v>20</v>
      </c>
      <c r="H1039" s="4" t="s">
        <v>12505</v>
      </c>
      <c r="I1039" s="5">
        <f t="shared" si="988"/>
        <v>90</v>
      </c>
      <c r="J1039" s="5"/>
      <c r="K1039" s="4" t="str">
        <f t="shared" si="989"/>
        <v>Poco C75 c/aro Nacional = R$ 90,00</v>
      </c>
      <c r="M1039" s="4" t="str">
        <f t="shared" si="981"/>
        <v>Poco C75 c/aro Nacional = R$ 95,00</v>
      </c>
      <c r="O1039" s="4" t="str">
        <f t="shared" si="990"/>
        <v>Poco C75 c/aro Nacional = R$ 85,00</v>
      </c>
      <c r="Q1039" s="4" t="str">
        <f t="shared" si="979"/>
        <v>Poco C75 c/aro Nacional = R$ 100,00</v>
      </c>
    </row>
    <row r="1040" spans="1:17" ht="15" customHeight="1" x14ac:dyDescent="0.3">
      <c r="A1040" t="s">
        <v>2826</v>
      </c>
      <c r="B1040">
        <f t="shared" si="987"/>
        <v>60</v>
      </c>
      <c r="E1040" t="s">
        <v>10666</v>
      </c>
      <c r="F1040" s="49">
        <v>20</v>
      </c>
      <c r="H1040" s="4" t="s">
        <v>12506</v>
      </c>
      <c r="I1040" s="5">
        <f t="shared" si="988"/>
        <v>100</v>
      </c>
      <c r="J1040" s="5"/>
      <c r="K1040" s="4" t="str">
        <f t="shared" si="989"/>
        <v>Poco C75 c/aro Nac Diamonds = 100,00</v>
      </c>
      <c r="M1040" s="4" t="str">
        <f t="shared" si="981"/>
        <v>Poco C75 c/aro Nac Diamonds = 105,00</v>
      </c>
      <c r="O1040" s="4" t="str">
        <f t="shared" si="990"/>
        <v>Poco C75 c/aro Nac Diamonds = 95,00</v>
      </c>
      <c r="Q1040" s="4" t="str">
        <f t="shared" si="979"/>
        <v>Poco C75 c/aro Nac Diamonds = 110,00</v>
      </c>
    </row>
    <row r="1041" spans="1:17" ht="15" customHeight="1" x14ac:dyDescent="0.3">
      <c r="A1041" t="s">
        <v>2827</v>
      </c>
      <c r="B1041">
        <f t="shared" si="987"/>
        <v>65</v>
      </c>
      <c r="E1041" t="s">
        <v>10667</v>
      </c>
      <c r="F1041" s="49">
        <v>20</v>
      </c>
      <c r="H1041" s="4" t="s">
        <v>13017</v>
      </c>
      <c r="I1041" s="5">
        <f t="shared" si="988"/>
        <v>90</v>
      </c>
      <c r="J1041" s="5"/>
      <c r="K1041" s="4" t="str">
        <f t="shared" si="989"/>
        <v>Poco C85  = R$ 90,00</v>
      </c>
      <c r="M1041" s="4" t="str">
        <f t="shared" ref="M1041:M1042" si="991">CONCATENATE(H1041,I1041+5,",00")</f>
        <v>Poco C85  = R$ 95,00</v>
      </c>
      <c r="O1041" s="4" t="str">
        <f t="shared" si="990"/>
        <v>Poco C85  = R$ 85,00</v>
      </c>
      <c r="Q1041" s="4" t="str">
        <f t="shared" ref="Q1041:Q1042" si="992">CONCATENATE(H1041,I1041+10,",00")</f>
        <v>Poco C85  = R$ 100,00</v>
      </c>
    </row>
    <row r="1042" spans="1:17" ht="15" customHeight="1" x14ac:dyDescent="0.3">
      <c r="A1042" t="s">
        <v>2828</v>
      </c>
      <c r="B1042">
        <f t="shared" si="987"/>
        <v>65</v>
      </c>
      <c r="E1042" t="s">
        <v>10668</v>
      </c>
      <c r="F1042" s="49">
        <v>20</v>
      </c>
      <c r="H1042" s="4" t="s">
        <v>13018</v>
      </c>
      <c r="I1042" s="5">
        <f t="shared" si="988"/>
        <v>100</v>
      </c>
      <c r="J1042" s="5"/>
      <c r="K1042" s="4" t="str">
        <f t="shared" si="989"/>
        <v>Poco C85 c/aro = R$ 100,00</v>
      </c>
      <c r="M1042" s="4" t="str">
        <f t="shared" si="991"/>
        <v>Poco C85 c/aro = R$ 105,00</v>
      </c>
      <c r="O1042" s="4" t="str">
        <f t="shared" si="990"/>
        <v>Poco C85 c/aro = R$ 95,00</v>
      </c>
      <c r="Q1042" s="4" t="str">
        <f t="shared" si="992"/>
        <v>Poco C85 c/aro = R$ 110,00</v>
      </c>
    </row>
    <row r="1043" spans="1:17" ht="15" customHeight="1" x14ac:dyDescent="0.3">
      <c r="A1043" t="s">
        <v>2829</v>
      </c>
      <c r="B1043">
        <f t="shared" si="987"/>
        <v>65</v>
      </c>
      <c r="E1043" t="s">
        <v>10669</v>
      </c>
      <c r="F1043" s="49">
        <v>15</v>
      </c>
      <c r="H1043" s="4" t="s">
        <v>10536</v>
      </c>
      <c r="I1043" s="5">
        <f>F940</f>
        <v>95</v>
      </c>
      <c r="J1043" s="5"/>
      <c r="K1043" s="4" t="str">
        <f t="shared" ref="K1043:K1051" si="993">CONCATENATE(H1043,I1043,",00")</f>
        <v>Poco F3 - incell = R$ 95,00</v>
      </c>
      <c r="M1043" s="4" t="str">
        <f t="shared" si="981"/>
        <v>Poco F3 - incell = R$ 100,00</v>
      </c>
      <c r="O1043" s="4" t="str">
        <f t="shared" ref="O1043:O1051" si="994">CONCATENATE(H1043,I1043-5,",00")</f>
        <v>Poco F3 - incell = R$ 90,00</v>
      </c>
      <c r="Q1043" s="4" t="str">
        <f t="shared" si="979"/>
        <v>Poco F3 - incell = R$ 105,00</v>
      </c>
    </row>
    <row r="1044" spans="1:17" ht="15" customHeight="1" x14ac:dyDescent="0.3">
      <c r="A1044" t="s">
        <v>3072</v>
      </c>
      <c r="B1044">
        <f t="shared" si="987"/>
        <v>115</v>
      </c>
      <c r="E1044" t="s">
        <v>10670</v>
      </c>
      <c r="H1044" s="4" t="s">
        <v>10537</v>
      </c>
      <c r="I1044" s="5">
        <f>F941</f>
        <v>170</v>
      </c>
      <c r="J1044" s="5"/>
      <c r="K1044" s="4" t="str">
        <f t="shared" si="993"/>
        <v>Poco F3  - original = R$ 170,00</v>
      </c>
      <c r="M1044" s="4" t="str">
        <f t="shared" si="981"/>
        <v>Poco F3  - original = R$ 175,00</v>
      </c>
      <c r="O1044" s="4" t="str">
        <f t="shared" si="994"/>
        <v>Poco F3  - original = R$ 165,00</v>
      </c>
      <c r="Q1044" s="4" t="str">
        <f t="shared" si="979"/>
        <v>Poco F3  - original = R$ 180,00</v>
      </c>
    </row>
    <row r="1045" spans="1:17" ht="15" customHeight="1" x14ac:dyDescent="0.3">
      <c r="A1045" t="s">
        <v>3073</v>
      </c>
      <c r="B1045">
        <f t="shared" si="987"/>
        <v>115</v>
      </c>
      <c r="E1045" t="s">
        <v>10672</v>
      </c>
      <c r="F1045" s="49">
        <v>15</v>
      </c>
      <c r="H1045" s="4" t="s">
        <v>12588</v>
      </c>
      <c r="I1045" s="5">
        <f>F942</f>
        <v>190</v>
      </c>
      <c r="J1045" s="5"/>
      <c r="K1045" s="4" t="str">
        <f t="shared" si="993"/>
        <v>Poco F3 - orig c/aro = R$ 190,00</v>
      </c>
      <c r="M1045" s="4" t="str">
        <f t="shared" ref="M1045" si="995">CONCATENATE(H1045,I1045+5,",00")</f>
        <v>Poco F3 - orig c/aro = R$ 195,00</v>
      </c>
      <c r="O1045" s="4" t="str">
        <f t="shared" si="994"/>
        <v>Poco F3 - orig c/aro = R$ 185,00</v>
      </c>
      <c r="Q1045" s="4" t="str">
        <f t="shared" ref="Q1045" si="996">CONCATENATE(H1045,I1045+10,",00")</f>
        <v>Poco F3 - orig c/aro = R$ 200,00</v>
      </c>
    </row>
    <row r="1046" spans="1:17" ht="15" customHeight="1" x14ac:dyDescent="0.3">
      <c r="A1046" t="s">
        <v>2830</v>
      </c>
      <c r="B1046">
        <f t="shared" si="987"/>
        <v>60</v>
      </c>
      <c r="E1046" t="s">
        <v>10671</v>
      </c>
      <c r="F1046" s="49">
        <v>15</v>
      </c>
      <c r="H1046" s="4" t="s">
        <v>11159</v>
      </c>
      <c r="I1046" s="5">
        <f>F940</f>
        <v>95</v>
      </c>
      <c r="J1046" s="5"/>
      <c r="K1046" s="4" t="str">
        <f t="shared" ref="K1046:K1049" si="997">CONCATENATE(H1046,I1046,",00")</f>
        <v>Poco F4 - incell     = R$ 95,00</v>
      </c>
      <c r="M1046" s="4" t="str">
        <f t="shared" si="981"/>
        <v>Poco F4 - incell     = R$ 100,00</v>
      </c>
      <c r="O1046" s="4" t="str">
        <f t="shared" ref="O1046:O1049" si="998">CONCATENATE(H1046,I1046-5,",00")</f>
        <v>Poco F4 - incell     = R$ 90,00</v>
      </c>
      <c r="Q1046" s="4" t="str">
        <f t="shared" si="979"/>
        <v>Poco F4 - incell     = R$ 105,00</v>
      </c>
    </row>
    <row r="1047" spans="1:17" ht="15" customHeight="1" x14ac:dyDescent="0.3">
      <c r="A1047" t="s">
        <v>3074</v>
      </c>
      <c r="B1047">
        <f t="shared" si="987"/>
        <v>155</v>
      </c>
      <c r="E1047" t="s">
        <v>4259</v>
      </c>
      <c r="H1047" s="4" t="s">
        <v>11160</v>
      </c>
      <c r="I1047" s="5">
        <f>F941</f>
        <v>170</v>
      </c>
      <c r="J1047" s="5"/>
      <c r="K1047" s="4" t="str">
        <f t="shared" si="997"/>
        <v>Poco F4 - original  = R$ 170,00</v>
      </c>
      <c r="M1047" s="4" t="str">
        <f t="shared" si="981"/>
        <v>Poco F4 - original  = R$ 175,00</v>
      </c>
      <c r="O1047" s="4" t="str">
        <f t="shared" si="998"/>
        <v>Poco F4 - original  = R$ 165,00</v>
      </c>
      <c r="Q1047" s="4" t="str">
        <f t="shared" si="979"/>
        <v>Poco F4 - original  = R$ 180,00</v>
      </c>
    </row>
    <row r="1048" spans="1:17" ht="15" customHeight="1" x14ac:dyDescent="0.3">
      <c r="A1048" t="s">
        <v>3075</v>
      </c>
      <c r="B1048">
        <f>B726</f>
        <v>60</v>
      </c>
      <c r="E1048" t="s">
        <v>4260</v>
      </c>
      <c r="F1048" s="49">
        <v>10</v>
      </c>
      <c r="H1048" s="4" t="s">
        <v>13122</v>
      </c>
      <c r="I1048" s="5">
        <f>F848</f>
        <v>100</v>
      </c>
      <c r="J1048" s="5"/>
      <c r="K1048" s="4" t="str">
        <f t="shared" si="997"/>
        <v>Poco F5 - incell     = R$ 100,00</v>
      </c>
      <c r="M1048" s="4" t="str">
        <f t="shared" ref="M1048:M1049" si="999">CONCATENATE(H1048,I1048+5,",00")</f>
        <v>Poco F5 - incell     = R$ 105,00</v>
      </c>
      <c r="O1048" s="4" t="str">
        <f t="shared" si="998"/>
        <v>Poco F5 - incell     = R$ 95,00</v>
      </c>
      <c r="Q1048" s="4" t="str">
        <f t="shared" ref="Q1048:Q1049" si="1000">CONCATENATE(H1048,I1048+10,",00")</f>
        <v>Poco F5 - incell     = R$ 110,00</v>
      </c>
    </row>
    <row r="1049" spans="1:17" ht="15" customHeight="1" x14ac:dyDescent="0.3">
      <c r="A1049" t="s">
        <v>3077</v>
      </c>
      <c r="B1049">
        <f>B731</f>
        <v>60</v>
      </c>
      <c r="E1049" t="s">
        <v>4261</v>
      </c>
      <c r="F1049" s="49">
        <v>20</v>
      </c>
      <c r="H1049" s="4" t="s">
        <v>13123</v>
      </c>
      <c r="I1049" s="5">
        <f>F850</f>
        <v>220</v>
      </c>
      <c r="J1049" s="5"/>
      <c r="K1049" s="4" t="str">
        <f t="shared" si="997"/>
        <v>Poco F5 - original  = R$ 220,00</v>
      </c>
      <c r="M1049" s="4" t="str">
        <f t="shared" si="999"/>
        <v>Poco F5 - original  = R$ 225,00</v>
      </c>
      <c r="O1049" s="4" t="str">
        <f t="shared" si="998"/>
        <v>Poco F5 - original  = R$ 215,00</v>
      </c>
      <c r="Q1049" s="4" t="str">
        <f t="shared" si="1000"/>
        <v>Poco F5 - original  = R$ 230,00</v>
      </c>
    </row>
    <row r="1050" spans="1:17" ht="15" customHeight="1" x14ac:dyDescent="0.3">
      <c r="A1050" t="s">
        <v>3076</v>
      </c>
      <c r="B1050">
        <f>B732</f>
        <v>65</v>
      </c>
      <c r="E1050" t="s">
        <v>4262</v>
      </c>
      <c r="F1050" s="49">
        <v>20</v>
      </c>
      <c r="H1050" s="4" t="s">
        <v>11088</v>
      </c>
      <c r="I1050" s="5">
        <f>F855</f>
        <v>85</v>
      </c>
      <c r="J1050" s="5"/>
      <c r="K1050" s="4" t="str">
        <f t="shared" si="993"/>
        <v>Poco F6 - incell     = R$ 85,00</v>
      </c>
      <c r="M1050" s="4" t="str">
        <f t="shared" si="981"/>
        <v>Poco F6 - incell     = R$ 90,00</v>
      </c>
      <c r="O1050" s="4" t="str">
        <f t="shared" si="994"/>
        <v>Poco F6 - incell     = R$ 80,00</v>
      </c>
      <c r="Q1050" s="4" t="str">
        <f t="shared" si="979"/>
        <v>Poco F6 - incell     = R$ 95,00</v>
      </c>
    </row>
    <row r="1051" spans="1:17" ht="15" customHeight="1" x14ac:dyDescent="0.3">
      <c r="A1051" t="s">
        <v>2831</v>
      </c>
      <c r="B1051">
        <f>B733</f>
        <v>60</v>
      </c>
      <c r="E1051" t="s">
        <v>4263</v>
      </c>
      <c r="F1051" s="49">
        <v>20</v>
      </c>
      <c r="H1051" s="4" t="s">
        <v>11089</v>
      </c>
      <c r="I1051" s="5">
        <f>F856</f>
        <v>200</v>
      </c>
      <c r="J1051" s="5"/>
      <c r="K1051" s="4" t="str">
        <f t="shared" si="993"/>
        <v>Poco F6 - original  = R$ 200,00</v>
      </c>
      <c r="M1051" s="4" t="str">
        <f t="shared" si="981"/>
        <v>Poco F6 - original  = R$ 205,00</v>
      </c>
      <c r="O1051" s="4" t="str">
        <f t="shared" si="994"/>
        <v>Poco F6 - original  = R$ 195,00</v>
      </c>
      <c r="Q1051" s="4" t="str">
        <f t="shared" si="979"/>
        <v>Poco F6 - original  = R$ 210,00</v>
      </c>
    </row>
    <row r="1052" spans="1:17" ht="15" customHeight="1" x14ac:dyDescent="0.3">
      <c r="A1052" t="s">
        <v>3078</v>
      </c>
      <c r="B1052">
        <f>B736</f>
        <v>115</v>
      </c>
      <c r="E1052" t="s">
        <v>4264</v>
      </c>
      <c r="F1052" s="49">
        <v>20</v>
      </c>
      <c r="H1052" s="4" t="s">
        <v>936</v>
      </c>
      <c r="I1052" s="5">
        <f>F874</f>
        <v>65</v>
      </c>
      <c r="J1052" s="5"/>
      <c r="K1052" s="4" t="str">
        <f t="shared" si="974"/>
        <v>Poco M3            = R$ 65,00</v>
      </c>
      <c r="M1052" s="4" t="str">
        <f t="shared" si="981"/>
        <v>Poco M3            = R$ 70,00</v>
      </c>
      <c r="O1052" s="4" t="str">
        <f t="shared" ref="O1052:O1057" si="1001">CONCATENATE(H1052,I1052-5,",00")</f>
        <v>Poco M3            = R$ 60,00</v>
      </c>
      <c r="Q1052" s="4" t="str">
        <f t="shared" si="979"/>
        <v>Poco M3            = R$ 75,00</v>
      </c>
    </row>
    <row r="1053" spans="1:17" ht="15" customHeight="1" x14ac:dyDescent="0.3">
      <c r="A1053" t="s">
        <v>2832</v>
      </c>
      <c r="B1053">
        <f>B740</f>
        <v>60</v>
      </c>
      <c r="E1053" t="s">
        <v>4265</v>
      </c>
      <c r="F1053" s="49">
        <v>20</v>
      </c>
      <c r="H1053" s="4" t="s">
        <v>937</v>
      </c>
      <c r="I1053" s="5">
        <f>F875</f>
        <v>80</v>
      </c>
      <c r="J1053" s="5"/>
      <c r="K1053" s="4" t="str">
        <f t="shared" si="974"/>
        <v>Poco M3 c/aro  = R$ 80,00</v>
      </c>
      <c r="M1053" s="4" t="str">
        <f t="shared" si="981"/>
        <v>Poco M3 c/aro  = R$ 85,00</v>
      </c>
      <c r="O1053" s="4" t="str">
        <f t="shared" si="1001"/>
        <v>Poco M3 c/aro  = R$ 75,00</v>
      </c>
      <c r="Q1053" s="4" t="str">
        <f t="shared" si="979"/>
        <v>Poco M3 c/aro  = R$ 90,00</v>
      </c>
    </row>
    <row r="1054" spans="1:17" ht="15" customHeight="1" x14ac:dyDescent="0.3">
      <c r="A1054" t="s">
        <v>3079</v>
      </c>
      <c r="B1054">
        <f>B748</f>
        <v>115</v>
      </c>
      <c r="E1054" t="s">
        <v>4266</v>
      </c>
      <c r="F1054" s="49">
        <v>20</v>
      </c>
      <c r="H1054" s="4" t="s">
        <v>12142</v>
      </c>
      <c r="I1054" s="5">
        <f>F876</f>
        <v>90</v>
      </c>
      <c r="J1054" s="5"/>
      <c r="K1054" s="4" t="str">
        <f t="shared" ref="K1054:K1055" si="1002">CONCATENATE(H1054,I1054,",00")</f>
        <v>Poco M3 c/aro Nac = R$ 90,00</v>
      </c>
      <c r="M1054" s="4" t="str">
        <f t="shared" si="981"/>
        <v>Poco M3 c/aro Nac = R$ 95,00</v>
      </c>
      <c r="O1054" s="4" t="str">
        <f t="shared" si="1001"/>
        <v>Poco M3 c/aro Nac = R$ 85,00</v>
      </c>
      <c r="Q1054" s="4" t="str">
        <f t="shared" si="979"/>
        <v>Poco M3 c/aro Nac = R$ 100,00</v>
      </c>
    </row>
    <row r="1055" spans="1:17" ht="15" customHeight="1" x14ac:dyDescent="0.3">
      <c r="A1055" t="s">
        <v>2833</v>
      </c>
      <c r="B1055">
        <f>B749</f>
        <v>70</v>
      </c>
      <c r="E1055" t="s">
        <v>4267</v>
      </c>
      <c r="H1055" s="4" t="s">
        <v>12143</v>
      </c>
      <c r="I1055" s="5">
        <f>F877</f>
        <v>100</v>
      </c>
      <c r="J1055" s="5"/>
      <c r="K1055" s="4" t="str">
        <f t="shared" si="1002"/>
        <v>Poco M3 c/aro Nac Diamonds = 100,00</v>
      </c>
      <c r="M1055" s="4" t="str">
        <f t="shared" si="981"/>
        <v>Poco M3 c/aro Nac Diamonds = 105,00</v>
      </c>
      <c r="O1055" s="4" t="str">
        <f t="shared" si="1001"/>
        <v>Poco M3 c/aro Nac Diamonds = 95,00</v>
      </c>
      <c r="Q1055" s="4" t="str">
        <f t="shared" si="979"/>
        <v>Poco M3 c/aro Nac Diamonds = 110,00</v>
      </c>
    </row>
    <row r="1056" spans="1:17" ht="15" customHeight="1" x14ac:dyDescent="0.3">
      <c r="A1056" t="s">
        <v>3080</v>
      </c>
      <c r="B1056">
        <f>B757</f>
        <v>115</v>
      </c>
      <c r="E1056" t="s">
        <v>4268</v>
      </c>
      <c r="F1056" s="49">
        <v>15</v>
      </c>
      <c r="H1056" s="4" t="s">
        <v>938</v>
      </c>
      <c r="I1056" s="5">
        <f>F943</f>
        <v>85</v>
      </c>
      <c r="J1056" s="5"/>
      <c r="K1056" s="4" t="str">
        <f t="shared" si="974"/>
        <v>Poco M3 Pro     = R$ 85,00</v>
      </c>
      <c r="M1056" s="4" t="str">
        <f t="shared" si="981"/>
        <v>Poco M3 Pro     = R$ 90,00</v>
      </c>
      <c r="O1056" s="4" t="str">
        <f t="shared" si="1001"/>
        <v>Poco M3 Pro     = R$ 80,00</v>
      </c>
      <c r="Q1056" s="4" t="str">
        <f t="shared" si="979"/>
        <v>Poco M3 Pro     = R$ 95,00</v>
      </c>
    </row>
    <row r="1057" spans="1:17" ht="15" customHeight="1" x14ac:dyDescent="0.3">
      <c r="A1057" t="s">
        <v>2834</v>
      </c>
      <c r="B1057">
        <f>B758</f>
        <v>65</v>
      </c>
      <c r="E1057" t="s">
        <v>4269</v>
      </c>
      <c r="F1057" s="49">
        <v>15</v>
      </c>
      <c r="H1057" s="4" t="s">
        <v>939</v>
      </c>
      <c r="I1057" s="5">
        <f>F817</f>
        <v>65</v>
      </c>
      <c r="J1057" s="5"/>
      <c r="K1057" s="4" t="str">
        <f t="shared" si="974"/>
        <v>Poco M4 Pro 4G-incell=R$ 65,00</v>
      </c>
      <c r="M1057" s="4" t="str">
        <f t="shared" ref="M1057:M1094" si="1003">CONCATENATE(H1057,I1057+5,",00")</f>
        <v>Poco M4 Pro 4G-incell=R$ 70,00</v>
      </c>
      <c r="O1057" s="4" t="str">
        <f t="shared" si="1001"/>
        <v>Poco M4 Pro 4G-incell=R$ 60,00</v>
      </c>
      <c r="Q1057" s="4" t="str">
        <f t="shared" si="979"/>
        <v>Poco M4 Pro 4G-incell=R$ 75,00</v>
      </c>
    </row>
    <row r="1058" spans="1:17" ht="15" customHeight="1" x14ac:dyDescent="0.3">
      <c r="A1058" t="s">
        <v>3081</v>
      </c>
      <c r="B1058">
        <f>B766</f>
        <v>120</v>
      </c>
      <c r="E1058" t="s">
        <v>4270</v>
      </c>
      <c r="F1058" s="49">
        <v>20</v>
      </c>
      <c r="H1058" s="4" t="s">
        <v>990</v>
      </c>
      <c r="I1058" s="5">
        <f>F819</f>
        <v>90</v>
      </c>
      <c r="J1058" s="5"/>
      <c r="K1058" s="4" t="str">
        <f>CONCATENATE(H1058,I1058,"")</f>
        <v>Poco M4 Pro 4G-incell c/aro = 90</v>
      </c>
      <c r="M1058" s="4" t="str">
        <f>CONCATENATE(H1058,I1058+5,"")</f>
        <v>Poco M4 Pro 4G-incell c/aro = 95</v>
      </c>
      <c r="O1058" s="4" t="str">
        <f>CONCATENATE(H1058,I1058-5,"")</f>
        <v>Poco M4 Pro 4G-incell c/aro = 85</v>
      </c>
      <c r="Q1058" s="4" t="str">
        <f t="shared" si="979"/>
        <v>Poco M4 Pro 4G-incell c/aro = 100,00</v>
      </c>
    </row>
    <row r="1059" spans="1:17" ht="15" customHeight="1" x14ac:dyDescent="0.3">
      <c r="A1059" t="s">
        <v>2835</v>
      </c>
      <c r="B1059">
        <f>B767</f>
        <v>60</v>
      </c>
      <c r="E1059" t="s">
        <v>4271</v>
      </c>
      <c r="F1059" s="49">
        <v>20</v>
      </c>
      <c r="H1059" s="4" t="s">
        <v>940</v>
      </c>
      <c r="I1059" s="5">
        <f>F818</f>
        <v>160</v>
      </c>
      <c r="J1059" s="5"/>
      <c r="K1059" s="4" t="str">
        <f t="shared" si="974"/>
        <v>Poco M4 Pro 4G -orig = R$ 160,00</v>
      </c>
      <c r="M1059" s="4" t="str">
        <f t="shared" si="1003"/>
        <v>Poco M4 Pro 4G -orig = R$ 165,00</v>
      </c>
      <c r="O1059" s="4" t="str">
        <f>CONCATENATE(H1059,I1059-5,",00")</f>
        <v>Poco M4 Pro 4G -orig = R$ 155,00</v>
      </c>
      <c r="Q1059" s="4" t="str">
        <f t="shared" si="979"/>
        <v>Poco M4 Pro 4G -orig = R$ 170,00</v>
      </c>
    </row>
    <row r="1060" spans="1:17" ht="15" customHeight="1" x14ac:dyDescent="0.3">
      <c r="A1060" t="s">
        <v>3083</v>
      </c>
      <c r="B1060">
        <f>B772</f>
        <v>165</v>
      </c>
      <c r="E1060" t="s">
        <v>4272</v>
      </c>
      <c r="F1060" s="49">
        <v>20</v>
      </c>
      <c r="H1060" s="4" t="s">
        <v>991</v>
      </c>
      <c r="I1060" s="5">
        <f>F820</f>
        <v>180</v>
      </c>
      <c r="J1060" s="5"/>
      <c r="K1060" s="4" t="str">
        <f t="shared" ref="K1060" si="1004">CONCATENATE(H1060,I1060,",00")</f>
        <v>Poco M4 Pro 4G-orig c/aro = 180,00</v>
      </c>
      <c r="M1060" s="4" t="str">
        <f t="shared" ref="M1060" si="1005">CONCATENATE(H1060,I1060+5,",00")</f>
        <v>Poco M4 Pro 4G-orig c/aro = 185,00</v>
      </c>
      <c r="O1060" s="4" t="str">
        <f t="shared" ref="O1060" si="1006">CONCATENATE(H1060,I1060-5,",00")</f>
        <v>Poco M4 Pro 4G-orig c/aro = 175,00</v>
      </c>
      <c r="Q1060" s="4" t="str">
        <f t="shared" si="979"/>
        <v>Poco M4 Pro 4G-orig c/aro = 190,00</v>
      </c>
    </row>
    <row r="1061" spans="1:17" ht="15" customHeight="1" x14ac:dyDescent="0.3">
      <c r="A1061" t="s">
        <v>2629</v>
      </c>
      <c r="B1061">
        <f>B774</f>
        <v>65</v>
      </c>
      <c r="E1061" t="s">
        <v>4273</v>
      </c>
      <c r="F1061" s="49">
        <v>20</v>
      </c>
      <c r="H1061" s="4" t="s">
        <v>942</v>
      </c>
      <c r="I1061" s="5">
        <f>F821</f>
        <v>85</v>
      </c>
      <c r="J1061" s="5"/>
      <c r="K1061" s="4" t="str">
        <f t="shared" si="974"/>
        <v>Poco M4 Pro 5G         = R$ 85,00</v>
      </c>
      <c r="M1061" s="4" t="str">
        <f t="shared" si="1003"/>
        <v>Poco M4 Pro 5G         = R$ 90,00</v>
      </c>
      <c r="O1061" s="4" t="str">
        <f t="shared" ref="O1061:O1066" si="1007">CONCATENATE(H1061,I1061-5,",00")</f>
        <v>Poco M4 Pro 5G         = R$ 80,00</v>
      </c>
      <c r="Q1061" s="4" t="str">
        <f t="shared" si="979"/>
        <v>Poco M4 Pro 5G         = R$ 95,00</v>
      </c>
    </row>
    <row r="1062" spans="1:17" ht="15" customHeight="1" x14ac:dyDescent="0.3">
      <c r="A1062" t="s">
        <v>3084</v>
      </c>
      <c r="B1062">
        <f>B773</f>
        <v>55</v>
      </c>
      <c r="E1062" t="s">
        <v>4274</v>
      </c>
      <c r="F1062" s="49">
        <v>15</v>
      </c>
      <c r="H1062" s="4" t="s">
        <v>943</v>
      </c>
      <c r="I1062" s="5">
        <f>F944</f>
        <v>80</v>
      </c>
      <c r="J1062" s="5"/>
      <c r="K1062" s="4" t="str">
        <f t="shared" si="974"/>
        <v>Poco M4/Poco M5 = R$ 80,00</v>
      </c>
      <c r="M1062" s="4" t="str">
        <f t="shared" si="1003"/>
        <v>Poco M4/Poco M5 = R$ 85,00</v>
      </c>
      <c r="O1062" s="4" t="str">
        <f t="shared" si="1007"/>
        <v>Poco M4/Poco M5 = R$ 75,00</v>
      </c>
      <c r="Q1062" s="4" t="str">
        <f t="shared" si="979"/>
        <v>Poco M4/Poco M5 = R$ 90,00</v>
      </c>
    </row>
    <row r="1063" spans="1:17" ht="15" customHeight="1" x14ac:dyDescent="0.3">
      <c r="A1063" t="s">
        <v>2630</v>
      </c>
      <c r="B1063">
        <f>B776</f>
        <v>65</v>
      </c>
      <c r="E1063" t="s">
        <v>4275</v>
      </c>
      <c r="F1063" s="49">
        <v>15</v>
      </c>
      <c r="H1063" s="4" t="s">
        <v>944</v>
      </c>
      <c r="I1063" s="5">
        <f>F945</f>
        <v>95</v>
      </c>
      <c r="J1063" s="5"/>
      <c r="K1063" s="4" t="str">
        <f t="shared" si="974"/>
        <v>Poco M4/Poco M5 c/aro=R$95,00</v>
      </c>
      <c r="M1063" s="4" t="str">
        <f t="shared" si="1003"/>
        <v>Poco M4/Poco M5 c/aro=R$100,00</v>
      </c>
      <c r="O1063" s="4" t="str">
        <f t="shared" si="1007"/>
        <v>Poco M4/Poco M5 c/aro=R$90,00</v>
      </c>
      <c r="Q1063" s="4" t="str">
        <f t="shared" si="979"/>
        <v>Poco M4/Poco M5 c/aro=R$105,00</v>
      </c>
    </row>
    <row r="1064" spans="1:17" ht="15" customHeight="1" x14ac:dyDescent="0.3">
      <c r="A1064" t="s">
        <v>3085</v>
      </c>
      <c r="B1064">
        <f>B775</f>
        <v>60</v>
      </c>
      <c r="C1064" t="s">
        <v>12632</v>
      </c>
      <c r="E1064" t="s">
        <v>4276</v>
      </c>
      <c r="F1064" s="49">
        <v>25</v>
      </c>
      <c r="H1064" s="4" t="s">
        <v>11848</v>
      </c>
      <c r="I1064" s="5">
        <f>F946</f>
        <v>100</v>
      </c>
      <c r="J1064" s="5"/>
      <c r="K1064" s="4" t="str">
        <f>CONCATENATE(H1064,I1064,",00")</f>
        <v>Poco M4/M5 c/aro Nac = R$ 100,00</v>
      </c>
      <c r="M1064" s="4" t="str">
        <f>CONCATENATE(H1064,I1064+5,",00")</f>
        <v>Poco M4/M5 c/aro Nac = R$ 105,00</v>
      </c>
      <c r="O1064" s="4" t="str">
        <f t="shared" si="1007"/>
        <v>Poco M4/M5 c/aro Nac = R$ 95,00</v>
      </c>
      <c r="Q1064" s="4" t="str">
        <f t="shared" si="979"/>
        <v>Poco M4/M5 c/aro Nac = R$ 110,00</v>
      </c>
    </row>
    <row r="1065" spans="1:17" ht="15" customHeight="1" x14ac:dyDescent="0.3">
      <c r="A1065" t="s">
        <v>2631</v>
      </c>
      <c r="B1065">
        <f>B782</f>
        <v>75</v>
      </c>
      <c r="E1065" t="s">
        <v>4277</v>
      </c>
      <c r="F1065" s="49">
        <v>15</v>
      </c>
      <c r="H1065" s="4" t="s">
        <v>11847</v>
      </c>
      <c r="I1065" s="5">
        <f>F947</f>
        <v>110</v>
      </c>
      <c r="J1065" s="5"/>
      <c r="K1065" s="4" t="str">
        <f t="shared" ref="K1065" si="1008">CONCATENATE(H1065,I1065,",00")</f>
        <v>Poco M4/M5 c/aro Nac Diamonds = 110,00</v>
      </c>
      <c r="M1065" s="4" t="str">
        <f t="shared" ref="M1065" si="1009">CONCATENATE(H1065,I1065+5,",00")</f>
        <v>Poco M4/M5 c/aro Nac Diamonds = 115,00</v>
      </c>
      <c r="O1065" s="4" t="str">
        <f t="shared" si="1007"/>
        <v>Poco M4/M5 c/aro Nac Diamonds = 105,00</v>
      </c>
      <c r="Q1065" s="4" t="str">
        <f t="shared" si="979"/>
        <v>Poco M4/M5 c/aro Nac Diamonds = 120,00</v>
      </c>
    </row>
    <row r="1066" spans="1:17" ht="15" customHeight="1" x14ac:dyDescent="0.3">
      <c r="A1066" t="s">
        <v>3086</v>
      </c>
      <c r="B1066">
        <f>B781</f>
        <v>65</v>
      </c>
      <c r="E1066" t="s">
        <v>4278</v>
      </c>
      <c r="F1066" s="49">
        <v>15</v>
      </c>
      <c r="H1066" s="4" t="s">
        <v>946</v>
      </c>
      <c r="I1066" s="5">
        <f>F808</f>
        <v>65</v>
      </c>
      <c r="J1066" s="5"/>
      <c r="K1066" s="4" t="str">
        <f t="shared" si="974"/>
        <v>Poco M5s - incell = R$ 65,00</v>
      </c>
      <c r="M1066" s="4" t="str">
        <f t="shared" si="1003"/>
        <v>Poco M5s - incell = R$ 70,00</v>
      </c>
      <c r="O1066" s="4" t="str">
        <f t="shared" si="1007"/>
        <v>Poco M5s - incell = R$ 60,00</v>
      </c>
      <c r="Q1066" s="4" t="str">
        <f t="shared" si="979"/>
        <v>Poco M5s - incell = R$ 75,00</v>
      </c>
    </row>
    <row r="1067" spans="1:17" ht="15" customHeight="1" x14ac:dyDescent="0.3">
      <c r="A1067" t="s">
        <v>2632</v>
      </c>
      <c r="B1067">
        <f>B788</f>
        <v>85</v>
      </c>
      <c r="E1067" t="s">
        <v>4279</v>
      </c>
      <c r="F1067" s="49">
        <v>20</v>
      </c>
      <c r="H1067" s="4" t="s">
        <v>977</v>
      </c>
      <c r="I1067" s="5">
        <f>F809</f>
        <v>80</v>
      </c>
      <c r="J1067" s="5"/>
      <c r="K1067" s="4" t="str">
        <f t="shared" ref="K1067" si="1010">CONCATENATE(H1067,I1067,",00")</f>
        <v>Poco M5s - incell c/aro = R$ 80,00</v>
      </c>
      <c r="M1067" s="4" t="str">
        <f t="shared" ref="M1067" si="1011">CONCATENATE(H1067,I1067+5,",00")</f>
        <v>Poco M5s - incell c/aro = R$ 85,00</v>
      </c>
      <c r="O1067" s="4" t="str">
        <f t="shared" ref="O1067" si="1012">CONCATENATE(H1067,I1067-5,",00")</f>
        <v>Poco M5s - incell c/aro = R$ 75,00</v>
      </c>
      <c r="Q1067" s="4" t="str">
        <f t="shared" si="979"/>
        <v>Poco M5s - incell c/aro = R$ 90,00</v>
      </c>
    </row>
    <row r="1068" spans="1:17" ht="15" customHeight="1" x14ac:dyDescent="0.3">
      <c r="A1068" t="s">
        <v>3087</v>
      </c>
      <c r="B1068">
        <f>B787</f>
        <v>80</v>
      </c>
      <c r="E1068" t="s">
        <v>4280</v>
      </c>
      <c r="F1068" s="49">
        <v>20</v>
      </c>
      <c r="H1068" s="4" t="s">
        <v>947</v>
      </c>
      <c r="I1068" s="5">
        <f>F810</f>
        <v>150</v>
      </c>
      <c r="J1068" s="5"/>
      <c r="K1068" s="4" t="str">
        <f t="shared" si="974"/>
        <v>Poco M5s - original = R$ 150,00</v>
      </c>
      <c r="M1068" s="4" t="str">
        <f t="shared" si="1003"/>
        <v>Poco M5s - original = R$ 155,00</v>
      </c>
      <c r="O1068" s="4" t="str">
        <f>CONCATENATE(H1068,I1068-5,",00")</f>
        <v>Poco M5s - original = R$ 145,00</v>
      </c>
      <c r="Q1068" s="4" t="str">
        <f t="shared" si="979"/>
        <v>Poco M5s - original = R$ 160,00</v>
      </c>
    </row>
    <row r="1069" spans="1:17" ht="15" customHeight="1" x14ac:dyDescent="0.3">
      <c r="A1069" t="s">
        <v>2633</v>
      </c>
      <c r="B1069">
        <f>B800</f>
        <v>85</v>
      </c>
      <c r="E1069" t="s">
        <v>4281</v>
      </c>
      <c r="F1069" s="49">
        <v>20</v>
      </c>
      <c r="H1069" s="4" t="s">
        <v>10893</v>
      </c>
      <c r="I1069" s="5">
        <f>F811</f>
        <v>180</v>
      </c>
      <c r="J1069" s="5"/>
      <c r="K1069" s="4" t="str">
        <f t="shared" ref="K1069" si="1013">CONCATENATE(H1069,I1069,",00")</f>
        <v>Poco M5s - orig c/aro = R$ 180,00</v>
      </c>
      <c r="M1069" s="4" t="str">
        <f t="shared" ref="M1069" si="1014">CONCATENATE(H1069,I1069+5,",00")</f>
        <v>Poco M5s - orig c/aro = R$ 185,00</v>
      </c>
      <c r="O1069" s="4" t="str">
        <f>CONCATENATE(H1069,I1069-5,",00")</f>
        <v>Poco M5s - orig c/aro = R$ 175,00</v>
      </c>
      <c r="Q1069" s="4" t="str">
        <f t="shared" si="979"/>
        <v>Poco M5s - orig c/aro = R$ 190,00</v>
      </c>
    </row>
    <row r="1070" spans="1:17" ht="15" customHeight="1" x14ac:dyDescent="0.3">
      <c r="A1070" t="s">
        <v>3088</v>
      </c>
      <c r="B1070">
        <f>B799</f>
        <v>65</v>
      </c>
      <c r="E1070" t="s">
        <v>4282</v>
      </c>
      <c r="F1070" s="49">
        <v>20</v>
      </c>
      <c r="H1070" s="4" t="s">
        <v>13293</v>
      </c>
      <c r="I1070" s="5">
        <f>F889</f>
        <v>80</v>
      </c>
      <c r="J1070" s="5"/>
      <c r="K1070" s="4" t="str">
        <f t="shared" si="974"/>
        <v>Poco M6 4G = R$ 80,00</v>
      </c>
      <c r="M1070" s="4" t="str">
        <f t="shared" si="1003"/>
        <v>Poco M6 4G = R$ 85,00</v>
      </c>
      <c r="O1070" s="4" t="str">
        <f>CONCATENATE(H1070,I1070-5,",00")</f>
        <v>Poco M6 4G = R$ 75,00</v>
      </c>
      <c r="Q1070" s="4" t="str">
        <f t="shared" si="979"/>
        <v>Poco M6 4G = R$ 90,00</v>
      </c>
    </row>
    <row r="1071" spans="1:17" ht="15" customHeight="1" x14ac:dyDescent="0.3">
      <c r="A1071" t="s">
        <v>2779</v>
      </c>
      <c r="B1071">
        <f>B804</f>
        <v>85</v>
      </c>
      <c r="E1071" t="s">
        <v>4283</v>
      </c>
      <c r="F1071" s="49">
        <v>15</v>
      </c>
      <c r="H1071" s="4" t="s">
        <v>13294</v>
      </c>
      <c r="I1071" s="5">
        <f>F900</f>
        <v>65</v>
      </c>
      <c r="J1071" s="5"/>
      <c r="K1071" s="4" t="str">
        <f t="shared" si="974"/>
        <v>Poco M6 5G  = R$ 65,00</v>
      </c>
      <c r="M1071" s="4" t="str">
        <f t="shared" si="1003"/>
        <v>Poco M6 5G  = R$ 70,00</v>
      </c>
      <c r="O1071" s="4" t="str">
        <f t="shared" ref="O1071" si="1015">CONCATENATE(H1071,I1071-5,",00")</f>
        <v>Poco M6 5G  = R$ 60,00</v>
      </c>
      <c r="Q1071" s="4" t="str">
        <f t="shared" ref="Q1071" si="1016">CONCATENATE(H1071,I1071+10,",00")</f>
        <v>Poco M6 5G  = R$ 75,00</v>
      </c>
    </row>
    <row r="1072" spans="1:17" ht="15" customHeight="1" x14ac:dyDescent="0.3">
      <c r="A1072" t="s">
        <v>2836</v>
      </c>
      <c r="B1072">
        <f>B803</f>
        <v>70</v>
      </c>
      <c r="E1072" t="s">
        <v>4284</v>
      </c>
      <c r="F1072" s="49">
        <v>20</v>
      </c>
      <c r="H1072" s="4" t="s">
        <v>10688</v>
      </c>
      <c r="I1072" s="5">
        <f>F852</f>
        <v>80</v>
      </c>
      <c r="J1072" s="5"/>
      <c r="K1072" s="4" t="str">
        <f t="shared" ref="K1072:K1077" si="1017">CONCATENATE(H1072,I1072,",00")</f>
        <v>Poco M6 Pro 4G - incell = R$ 80,00</v>
      </c>
      <c r="M1072" s="4" t="str">
        <f t="shared" ref="M1072:M1077" si="1018">CONCATENATE(H1072,I1072+5,",00")</f>
        <v>Poco M6 Pro 4G - incell = R$ 85,00</v>
      </c>
      <c r="O1072" s="4" t="str">
        <f t="shared" ref="O1072:O1073" si="1019">CONCATENATE(H1072,I1072-5,",00")</f>
        <v>Poco M6 Pro 4G - incell = R$ 75,00</v>
      </c>
      <c r="Q1072" s="4" t="str">
        <f t="shared" si="979"/>
        <v>Poco M6 Pro 4G - incell = R$ 90,00</v>
      </c>
    </row>
    <row r="1073" spans="1:17" ht="15" customHeight="1" x14ac:dyDescent="0.3">
      <c r="A1073" t="s">
        <v>2634</v>
      </c>
      <c r="B1073">
        <f>B807</f>
        <v>160</v>
      </c>
      <c r="E1073" t="s">
        <v>4285</v>
      </c>
      <c r="F1073" s="49">
        <v>20</v>
      </c>
      <c r="H1073" s="4" t="s">
        <v>10689</v>
      </c>
      <c r="I1073" s="5">
        <f>F853</f>
        <v>220</v>
      </c>
      <c r="J1073" s="5"/>
      <c r="K1073" s="4" t="str">
        <f t="shared" si="1017"/>
        <v>Poco M6 Pro 4G - original = R$ 220,00</v>
      </c>
      <c r="M1073" s="4" t="str">
        <f t="shared" si="1018"/>
        <v>Poco M6 Pro 4G - original = R$ 225,00</v>
      </c>
      <c r="O1073" s="4" t="str">
        <f t="shared" si="1019"/>
        <v>Poco M6 Pro 4G - original = R$ 215,00</v>
      </c>
      <c r="Q1073" s="4" t="str">
        <f t="shared" si="979"/>
        <v>Poco M6 Pro 4G - original = R$ 230,00</v>
      </c>
    </row>
    <row r="1074" spans="1:17" ht="15" customHeight="1" x14ac:dyDescent="0.3">
      <c r="A1074" t="s">
        <v>3089</v>
      </c>
      <c r="B1074">
        <f>B810</f>
        <v>140</v>
      </c>
      <c r="E1074" t="s">
        <v>4286</v>
      </c>
      <c r="F1074" s="49">
        <v>20</v>
      </c>
      <c r="H1074" s="4" t="s">
        <v>12015</v>
      </c>
      <c r="I1074" s="5">
        <f>F854</f>
        <v>280</v>
      </c>
      <c r="J1074" s="5"/>
      <c r="K1074" s="4" t="str">
        <f t="shared" si="1017"/>
        <v>Poco M6 Pro 4G orig c/aro = R$ 280,00</v>
      </c>
      <c r="M1074" s="4" t="str">
        <f t="shared" si="1018"/>
        <v>Poco M6 Pro 4G orig c/aro = R$ 285,00</v>
      </c>
      <c r="O1074" s="4" t="str">
        <f t="shared" ref="O1074:O1082" si="1020">CONCATENATE(H1074,I1074-5,",00")</f>
        <v>Poco M6 Pro 4G orig c/aro = R$ 275,00</v>
      </c>
      <c r="Q1074" s="4" t="str">
        <f t="shared" si="979"/>
        <v>Poco M6 Pro 4G orig c/aro = R$ 290,00</v>
      </c>
    </row>
    <row r="1075" spans="1:17" ht="15" customHeight="1" x14ac:dyDescent="0.3">
      <c r="A1075" t="s">
        <v>2780</v>
      </c>
      <c r="B1075">
        <f>B811</f>
        <v>90</v>
      </c>
      <c r="E1075" t="s">
        <v>4287</v>
      </c>
      <c r="F1075" s="49">
        <v>20</v>
      </c>
      <c r="H1075" s="4" t="s">
        <v>13109</v>
      </c>
      <c r="I1075" s="5">
        <f>F889</f>
        <v>80</v>
      </c>
      <c r="J1075" s="5"/>
      <c r="K1075" s="4" t="str">
        <f t="shared" ref="K1075" si="1021">CONCATENATE(H1075,I1075,",00")</f>
        <v>Poco M6 Pro 5G     = R$ 80,00</v>
      </c>
      <c r="M1075" s="4" t="str">
        <f t="shared" ref="M1075" si="1022">CONCATENATE(H1075,I1075+5,",00")</f>
        <v>Poco M6 Pro 5G     = R$ 85,00</v>
      </c>
      <c r="O1075" s="4" t="str">
        <f t="shared" si="1020"/>
        <v>Poco M6 Pro 5G     = R$ 75,00</v>
      </c>
      <c r="Q1075" s="4" t="str">
        <f t="shared" ref="Q1075" si="1023">CONCATENATE(H1075,I1075+10,",00")</f>
        <v>Poco M6 Pro 5G     = R$ 90,00</v>
      </c>
    </row>
    <row r="1076" spans="1:17" ht="15" customHeight="1" x14ac:dyDescent="0.3">
      <c r="A1076" t="s">
        <v>2837</v>
      </c>
      <c r="B1076">
        <f>B812</f>
        <v>85</v>
      </c>
      <c r="E1076" t="s">
        <v>4288</v>
      </c>
      <c r="F1076" s="49">
        <v>20</v>
      </c>
      <c r="H1076" s="4" t="s">
        <v>12409</v>
      </c>
      <c r="I1076" s="5">
        <f>F948</f>
        <v>160</v>
      </c>
      <c r="J1076" s="5"/>
      <c r="K1076" s="4" t="str">
        <f t="shared" si="1017"/>
        <v>Poco M7 Pro - original = R$ 160,00</v>
      </c>
      <c r="M1076" s="4" t="str">
        <f t="shared" si="1018"/>
        <v>Poco M7 Pro - original = R$ 165,00</v>
      </c>
      <c r="O1076" s="4" t="str">
        <f t="shared" ref="O1076:O1077" si="1024">CONCATENATE(H1076,I1076-5,",00")</f>
        <v>Poco M7 Pro - original = R$ 155,00</v>
      </c>
      <c r="Q1076" s="4" t="str">
        <f t="shared" si="979"/>
        <v>Poco M7 Pro - original = R$ 170,00</v>
      </c>
    </row>
    <row r="1077" spans="1:17" ht="15" customHeight="1" x14ac:dyDescent="0.3">
      <c r="A1077" t="s">
        <v>2635</v>
      </c>
      <c r="B1077">
        <f>B815</f>
        <v>160</v>
      </c>
      <c r="E1077" t="s">
        <v>4289</v>
      </c>
      <c r="F1077" s="49">
        <v>20</v>
      </c>
      <c r="H1077" s="4" t="s">
        <v>12410</v>
      </c>
      <c r="I1077" s="5">
        <f>F949</f>
        <v>270</v>
      </c>
      <c r="J1077" s="5"/>
      <c r="K1077" s="4" t="str">
        <f t="shared" si="1017"/>
        <v>Poco M7 Pro - orig c/aro = R$ 270,00</v>
      </c>
      <c r="M1077" s="4" t="str">
        <f t="shared" si="1018"/>
        <v>Poco M7 Pro - orig c/aro = R$ 275,00</v>
      </c>
      <c r="O1077" s="4" t="str">
        <f t="shared" si="1024"/>
        <v>Poco M7 Pro - orig c/aro = R$ 265,00</v>
      </c>
      <c r="Q1077" s="4" t="str">
        <f t="shared" si="979"/>
        <v>Poco M7 Pro - orig c/aro = R$ 280,00</v>
      </c>
    </row>
    <row r="1078" spans="1:17" ht="15" customHeight="1" x14ac:dyDescent="0.3">
      <c r="A1078" t="s">
        <v>3090</v>
      </c>
      <c r="B1078">
        <f>B820</f>
        <v>150</v>
      </c>
      <c r="E1078" t="s">
        <v>4290</v>
      </c>
      <c r="F1078" s="49">
        <v>15</v>
      </c>
      <c r="H1078" s="4" t="s">
        <v>948</v>
      </c>
      <c r="I1078" s="5">
        <f>F950</f>
        <v>80</v>
      </c>
      <c r="J1078" s="5"/>
      <c r="K1078" s="4" t="str">
        <f t="shared" si="974"/>
        <v>Poco X3/X3 Pro     = R$ 80,00</v>
      </c>
      <c r="M1078" s="4" t="str">
        <f t="shared" si="1003"/>
        <v>Poco X3/X3 Pro     = R$ 85,00</v>
      </c>
      <c r="O1078" s="4" t="str">
        <f t="shared" si="1020"/>
        <v>Poco X3/X3 Pro     = R$ 75,00</v>
      </c>
      <c r="Q1078" s="4" t="str">
        <f t="shared" si="979"/>
        <v>Poco X3/X3 Pro     = R$ 90,00</v>
      </c>
    </row>
    <row r="1079" spans="1:17" ht="15" customHeight="1" x14ac:dyDescent="0.3">
      <c r="A1079" t="s">
        <v>3091</v>
      </c>
      <c r="B1079">
        <f>B821</f>
        <v>65</v>
      </c>
      <c r="E1079" t="s">
        <v>4291</v>
      </c>
      <c r="F1079" s="49">
        <v>20</v>
      </c>
      <c r="H1079" s="4" t="s">
        <v>949</v>
      </c>
      <c r="I1079" s="5">
        <f>F951</f>
        <v>110</v>
      </c>
      <c r="J1079" s="5"/>
      <c r="K1079" s="4" t="str">
        <f t="shared" si="974"/>
        <v>Poco X3/X3 Pro c/aro = R$ 110,00</v>
      </c>
      <c r="M1079" s="4" t="str">
        <f t="shared" si="1003"/>
        <v>Poco X3/X3 Pro c/aro = R$ 115,00</v>
      </c>
      <c r="O1079" s="4" t="str">
        <f t="shared" si="1020"/>
        <v>Poco X3/X3 Pro c/aro = R$ 105,00</v>
      </c>
      <c r="Q1079" s="4" t="str">
        <f t="shared" si="979"/>
        <v>Poco X3/X3 Pro c/aro = R$ 120,00</v>
      </c>
    </row>
    <row r="1080" spans="1:17" ht="15" customHeight="1" x14ac:dyDescent="0.3">
      <c r="A1080" t="s">
        <v>2781</v>
      </c>
      <c r="B1080">
        <f>B827</f>
        <v>85</v>
      </c>
      <c r="E1080" t="s">
        <v>4292</v>
      </c>
      <c r="F1080" s="49">
        <v>15</v>
      </c>
      <c r="H1080" s="4" t="s">
        <v>950</v>
      </c>
      <c r="I1080" s="5">
        <f>F952</f>
        <v>90</v>
      </c>
      <c r="J1080" s="5"/>
      <c r="K1080" s="4" t="str">
        <f t="shared" si="974"/>
        <v>Poco X3 GT    = R$ 90,00</v>
      </c>
      <c r="M1080" s="4" t="str">
        <f t="shared" si="1003"/>
        <v>Poco X3 GT    = R$ 95,00</v>
      </c>
      <c r="O1080" s="4" t="str">
        <f t="shared" si="1020"/>
        <v>Poco X3 GT    = R$ 85,00</v>
      </c>
      <c r="Q1080" s="4" t="str">
        <f t="shared" si="979"/>
        <v>Poco X3 GT    = R$ 100,00</v>
      </c>
    </row>
    <row r="1081" spans="1:17" ht="15" customHeight="1" x14ac:dyDescent="0.3">
      <c r="A1081" t="s">
        <v>2636</v>
      </c>
      <c r="B1081">
        <f>B830</f>
        <v>160</v>
      </c>
      <c r="E1081" t="s">
        <v>4293</v>
      </c>
      <c r="H1081" s="4" t="s">
        <v>951</v>
      </c>
      <c r="I1081" s="5">
        <f>F813</f>
        <v>80</v>
      </c>
      <c r="J1081" s="5"/>
      <c r="K1081" s="4" t="str">
        <f t="shared" si="974"/>
        <v>Poco X4 Pro - incell = R$ 80,00</v>
      </c>
      <c r="M1081" s="4" t="str">
        <f t="shared" si="1003"/>
        <v>Poco X4 Pro - incell = R$ 85,00</v>
      </c>
      <c r="O1081" s="4" t="str">
        <f t="shared" si="1020"/>
        <v>Poco X4 Pro - incell = R$ 75,00</v>
      </c>
      <c r="Q1081" s="4" t="str">
        <f t="shared" si="979"/>
        <v>Poco X4 Pro - incell = R$ 90,00</v>
      </c>
    </row>
    <row r="1082" spans="1:17" ht="15" customHeight="1" x14ac:dyDescent="0.3">
      <c r="A1082" t="s">
        <v>2782</v>
      </c>
      <c r="B1082">
        <f>B834</f>
        <v>85</v>
      </c>
      <c r="E1082" t="s">
        <v>4294</v>
      </c>
      <c r="F1082" s="49">
        <v>20</v>
      </c>
      <c r="H1082" s="4" t="s">
        <v>953</v>
      </c>
      <c r="I1082" s="5">
        <f>F814</f>
        <v>200</v>
      </c>
      <c r="J1082" s="5"/>
      <c r="K1082" s="4" t="str">
        <f t="shared" si="974"/>
        <v>Poco X4 Pro - original = R$ 200,00</v>
      </c>
      <c r="M1082" s="4" t="str">
        <f t="shared" si="1003"/>
        <v>Poco X4 Pro - original = R$ 205,00</v>
      </c>
      <c r="O1082" s="4" t="str">
        <f t="shared" si="1020"/>
        <v>Poco X4 Pro - original = R$ 195,00</v>
      </c>
      <c r="Q1082" s="4" t="str">
        <f t="shared" si="979"/>
        <v>Poco X4 Pro - original = R$ 210,00</v>
      </c>
    </row>
    <row r="1083" spans="1:17" ht="15" customHeight="1" x14ac:dyDescent="0.3">
      <c r="A1083" t="s">
        <v>2839</v>
      </c>
      <c r="B1083">
        <f>B833</f>
        <v>70</v>
      </c>
      <c r="E1083" t="s">
        <v>4295</v>
      </c>
      <c r="F1083" s="49">
        <v>15</v>
      </c>
      <c r="H1083" s="4" t="s">
        <v>10924</v>
      </c>
      <c r="I1083" s="5">
        <f>F822</f>
        <v>120</v>
      </c>
      <c r="J1083" s="5"/>
      <c r="K1083" s="4" t="str">
        <f t="shared" ref="K1083" si="1025">CONCATENATE(H1083,I1083,",00")</f>
        <v>Poco X4 Pro - incell c/aro= R$ 120,00</v>
      </c>
      <c r="M1083" s="4" t="str">
        <f t="shared" ref="M1083" si="1026">CONCATENATE(H1083,I1083+5,",00")</f>
        <v>Poco X4 Pro - incell c/aro= R$ 125,00</v>
      </c>
      <c r="O1083" s="4" t="str">
        <f t="shared" ref="O1083" si="1027">CONCATENATE(H1083,I1083-5,",00")</f>
        <v>Poco X4 Pro - incell c/aro= R$ 115,00</v>
      </c>
      <c r="Q1083" s="4" t="str">
        <f t="shared" ref="Q1083" si="1028">CONCATENATE(H1083,I1083+10,",00")</f>
        <v>Poco X4 Pro - incell c/aro= R$ 130,00</v>
      </c>
    </row>
    <row r="1084" spans="1:17" ht="15" customHeight="1" x14ac:dyDescent="0.3">
      <c r="A1084" t="s">
        <v>2637</v>
      </c>
      <c r="B1084">
        <f>B837</f>
        <v>160</v>
      </c>
      <c r="E1084" t="s">
        <v>4296</v>
      </c>
      <c r="F1084" s="49">
        <v>20</v>
      </c>
      <c r="H1084" s="4" t="s">
        <v>10923</v>
      </c>
      <c r="I1084" s="5">
        <f>F823</f>
        <v>220</v>
      </c>
      <c r="J1084" s="5"/>
      <c r="K1084" s="4" t="str">
        <f t="shared" si="974"/>
        <v>Poco X4 Pro - orig c/aro = R$ 220,00</v>
      </c>
      <c r="M1084" s="4" t="str">
        <f t="shared" si="1003"/>
        <v>Poco X4 Pro - orig c/aro = R$ 225,00</v>
      </c>
      <c r="O1084" s="4" t="str">
        <f>CONCATENATE(H1084,I1084-5,",00")</f>
        <v>Poco X4 Pro - orig c/aro = R$ 215,00</v>
      </c>
      <c r="Q1084" s="4" t="str">
        <f t="shared" ref="Q1084:Q1094" si="1029">CONCATENATE(H1084,I1084+10,",00")</f>
        <v>Poco X4 Pro - orig c/aro = R$ 230,00</v>
      </c>
    </row>
    <row r="1085" spans="1:17" ht="15" customHeight="1" x14ac:dyDescent="0.3">
      <c r="A1085" t="s">
        <v>3093</v>
      </c>
      <c r="B1085">
        <f>B838</f>
        <v>140</v>
      </c>
      <c r="E1085" t="s">
        <v>4297</v>
      </c>
      <c r="F1085" s="49">
        <v>15</v>
      </c>
      <c r="H1085" s="4" t="s">
        <v>11812</v>
      </c>
      <c r="I1085" s="5">
        <f>F824</f>
        <v>260</v>
      </c>
      <c r="J1085" s="5"/>
      <c r="K1085" s="4" t="str">
        <f t="shared" si="974"/>
        <v>X4 Pro c/aro Nacional = 260,00</v>
      </c>
      <c r="M1085" s="4" t="str">
        <f t="shared" si="1003"/>
        <v>X4 Pro c/aro Nacional = 265,00</v>
      </c>
      <c r="O1085" s="4" t="str">
        <f>CONCATENATE(H1085,I1085-5,",00")</f>
        <v>X4 Pro c/aro Nacional = 255,00</v>
      </c>
      <c r="Q1085" s="4" t="str">
        <f t="shared" si="1029"/>
        <v>X4 Pro c/aro Nacional = 270,00</v>
      </c>
    </row>
    <row r="1086" spans="1:17" ht="15" customHeight="1" x14ac:dyDescent="0.3">
      <c r="A1086" t="s">
        <v>2783</v>
      </c>
      <c r="B1086">
        <f>B843</f>
        <v>85</v>
      </c>
      <c r="E1086" t="s">
        <v>4298</v>
      </c>
      <c r="F1086" s="49">
        <v>15</v>
      </c>
      <c r="H1086" s="4" t="s">
        <v>11811</v>
      </c>
      <c r="I1086" s="5">
        <f>F825</f>
        <v>265</v>
      </c>
      <c r="J1086" s="5"/>
      <c r="K1086" s="4" t="str">
        <f t="shared" ref="K1086" si="1030">CONCATENATE(H1086,I1086,",00")</f>
        <v>X4 Pro c/aro Nac Diamonds = 265,00</v>
      </c>
      <c r="M1086" s="4" t="str">
        <f t="shared" ref="M1086" si="1031">CONCATENATE(H1086,I1086+5,",00")</f>
        <v>X4 Pro c/aro Nac Diamonds = 270,00</v>
      </c>
      <c r="O1086" s="4" t="str">
        <f t="shared" ref="O1086" si="1032">CONCATENATE(H1086,I1086-5,",00")</f>
        <v>X4 Pro c/aro Nac Diamonds = 260,00</v>
      </c>
      <c r="Q1086" s="4" t="str">
        <f t="shared" ref="Q1086" si="1033">CONCATENATE(H1086,I1086+10,",00")</f>
        <v>X4 Pro c/aro Nac Diamonds = 275,00</v>
      </c>
    </row>
    <row r="1087" spans="1:17" ht="15" customHeight="1" x14ac:dyDescent="0.3">
      <c r="A1087" t="s">
        <v>2840</v>
      </c>
      <c r="B1087">
        <f>B842</f>
        <v>70</v>
      </c>
      <c r="E1087" t="s">
        <v>4299</v>
      </c>
      <c r="F1087" s="49">
        <v>15</v>
      </c>
      <c r="H1087" s="4" t="s">
        <v>955</v>
      </c>
      <c r="I1087" s="5">
        <f>F953</f>
        <v>105</v>
      </c>
      <c r="J1087" s="5"/>
      <c r="K1087" s="4" t="str">
        <f t="shared" si="974"/>
        <v>Poco X4 GT    = R$ 105,00</v>
      </c>
      <c r="M1087" s="4" t="str">
        <f t="shared" si="1003"/>
        <v>Poco X4 GT    = R$ 110,00</v>
      </c>
      <c r="O1087" s="4" t="str">
        <f>CONCATENATE(H1087,I1087-5,",00")</f>
        <v>Poco X4 GT    = R$ 100,00</v>
      </c>
      <c r="Q1087" s="4" t="str">
        <f t="shared" si="1029"/>
        <v>Poco X4 GT    = R$ 115,00</v>
      </c>
    </row>
    <row r="1088" spans="1:17" ht="15" customHeight="1" x14ac:dyDescent="0.3">
      <c r="A1088" t="s">
        <v>2638</v>
      </c>
      <c r="B1088">
        <f>B846</f>
        <v>160</v>
      </c>
      <c r="E1088" t="s">
        <v>4300</v>
      </c>
      <c r="F1088" s="49">
        <v>15</v>
      </c>
      <c r="H1088" s="4" t="s">
        <v>4438</v>
      </c>
      <c r="I1088" s="5">
        <f>F826</f>
        <v>75</v>
      </c>
      <c r="J1088" s="5"/>
      <c r="K1088" s="4" t="str">
        <f t="shared" ref="K1088:K1091" si="1034">CONCATENATE(H1088,I1088,",00")</f>
        <v>Poco X5 - incell  = R$ 75,00</v>
      </c>
      <c r="M1088" s="4" t="str">
        <f t="shared" ref="M1088:M1091" si="1035">CONCATENATE(H1088,I1088+5,",00")</f>
        <v>Poco X5 - incell  = R$ 80,00</v>
      </c>
      <c r="O1088" s="4" t="str">
        <f t="shared" ref="O1088:O1091" si="1036">CONCATENATE(H1088,I1088-5,",00")</f>
        <v>Poco X5 - incell  = R$ 70,00</v>
      </c>
      <c r="Q1088" s="4" t="str">
        <f t="shared" ref="Q1088:Q1091" si="1037">CONCATENATE(H1088,I1088+10,",00")</f>
        <v>Poco X5 - incell  = R$ 85,00</v>
      </c>
    </row>
    <row r="1089" spans="1:17" ht="15" customHeight="1" x14ac:dyDescent="0.3">
      <c r="A1089" t="s">
        <v>3094</v>
      </c>
      <c r="B1089">
        <f>B849</f>
        <v>140</v>
      </c>
      <c r="E1089" t="s">
        <v>4301</v>
      </c>
      <c r="F1089" s="49">
        <v>15</v>
      </c>
      <c r="H1089" s="4" t="s">
        <v>4439</v>
      </c>
      <c r="I1089" s="5">
        <f>F827</f>
        <v>170</v>
      </c>
      <c r="J1089" s="5"/>
      <c r="K1089" s="4" t="str">
        <f t="shared" si="1034"/>
        <v>Poco X5 - original = R$ 170,00</v>
      </c>
      <c r="M1089" s="4" t="str">
        <f t="shared" si="1035"/>
        <v>Poco X5 - original = R$ 175,00</v>
      </c>
      <c r="O1089" s="4" t="str">
        <f t="shared" si="1036"/>
        <v>Poco X5 - original = R$ 165,00</v>
      </c>
      <c r="Q1089" s="4" t="str">
        <f t="shared" si="1037"/>
        <v>Poco X5 - original = R$ 180,00</v>
      </c>
    </row>
    <row r="1090" spans="1:17" ht="15" customHeight="1" x14ac:dyDescent="0.3">
      <c r="A1090" t="s">
        <v>2784</v>
      </c>
      <c r="B1090">
        <f>B850</f>
        <v>90</v>
      </c>
      <c r="E1090" t="s">
        <v>4302</v>
      </c>
      <c r="F1090" s="49">
        <v>15</v>
      </c>
      <c r="H1090" s="4" t="s">
        <v>10618</v>
      </c>
      <c r="I1090" s="5">
        <f>F832</f>
        <v>100</v>
      </c>
      <c r="J1090" s="5"/>
      <c r="K1090" s="4" t="str">
        <f t="shared" si="1034"/>
        <v>Poco X5 - incell c/aro = R$ 100,00</v>
      </c>
      <c r="M1090" s="4" t="str">
        <f t="shared" si="1035"/>
        <v>Poco X5 - incell c/aro = R$ 105,00</v>
      </c>
      <c r="O1090" s="4" t="str">
        <f t="shared" si="1036"/>
        <v>Poco X5 - incell c/aro = R$ 95,00</v>
      </c>
      <c r="Q1090" s="4" t="str">
        <f t="shared" si="1037"/>
        <v>Poco X5 - incell c/aro = R$ 110,00</v>
      </c>
    </row>
    <row r="1091" spans="1:17" ht="15" customHeight="1" x14ac:dyDescent="0.3">
      <c r="A1091" t="s">
        <v>2639</v>
      </c>
      <c r="B1091">
        <f>B853</f>
        <v>160</v>
      </c>
      <c r="E1091" t="s">
        <v>4303</v>
      </c>
      <c r="F1091" s="49">
        <v>15</v>
      </c>
      <c r="H1091" s="4" t="s">
        <v>10619</v>
      </c>
      <c r="I1091" s="5">
        <f>F833</f>
        <v>220</v>
      </c>
      <c r="J1091" s="5"/>
      <c r="K1091" s="4" t="str">
        <f t="shared" si="1034"/>
        <v>Poco X5 - original c/aro = 220,00</v>
      </c>
      <c r="M1091" s="4" t="str">
        <f t="shared" si="1035"/>
        <v>Poco X5 - original c/aro = 225,00</v>
      </c>
      <c r="O1091" s="4" t="str">
        <f t="shared" si="1036"/>
        <v>Poco X5 - original c/aro = 215,00</v>
      </c>
      <c r="Q1091" s="4" t="str">
        <f t="shared" si="1037"/>
        <v>Poco X5 - original c/aro = 230,00</v>
      </c>
    </row>
    <row r="1092" spans="1:17" ht="15" customHeight="1" x14ac:dyDescent="0.3">
      <c r="A1092" t="s">
        <v>2640</v>
      </c>
      <c r="B1092">
        <f>B859</f>
        <v>180</v>
      </c>
      <c r="E1092" t="s">
        <v>4304</v>
      </c>
      <c r="F1092" s="49">
        <v>20</v>
      </c>
      <c r="H1092" s="4" t="s">
        <v>956</v>
      </c>
      <c r="I1092" s="5">
        <f t="shared" ref="I1092:J1097" si="1038">F838</f>
        <v>90</v>
      </c>
      <c r="J1092" s="5"/>
      <c r="K1092" s="4" t="str">
        <f t="shared" si="974"/>
        <v>Poco X5 Pro - incell  = R$ 90,00</v>
      </c>
      <c r="M1092" s="4" t="str">
        <f t="shared" si="1003"/>
        <v>Poco X5 Pro - incell  = R$ 95,00</v>
      </c>
      <c r="O1092" s="4" t="str">
        <f>CONCATENATE(H1092,I1092-5,",00")</f>
        <v>Poco X5 Pro - incell  = R$ 85,00</v>
      </c>
      <c r="Q1092" s="4" t="str">
        <f t="shared" si="1029"/>
        <v>Poco X5 Pro - incell  = R$ 100,00</v>
      </c>
    </row>
    <row r="1093" spans="1:17" ht="15" customHeight="1" x14ac:dyDescent="0.3">
      <c r="A1093" t="s">
        <v>2785</v>
      </c>
      <c r="B1093">
        <f>B856</f>
        <v>100</v>
      </c>
      <c r="E1093" t="s">
        <v>4305</v>
      </c>
      <c r="F1093" s="49">
        <v>20</v>
      </c>
      <c r="H1093" s="4" t="s">
        <v>4455</v>
      </c>
      <c r="I1093" s="5">
        <f t="shared" si="1038"/>
        <v>110</v>
      </c>
      <c r="J1093" s="5"/>
      <c r="K1093" s="4" t="str">
        <f t="shared" ref="K1093" si="1039">CONCATENATE(H1093,I1093,",00")</f>
        <v>Poco X5 Pro - incell c/aro = 110,00</v>
      </c>
      <c r="M1093" s="4" t="str">
        <f t="shared" ref="M1093" si="1040">CONCATENATE(H1093,I1093+5,",00")</f>
        <v>Poco X5 Pro - incell c/aro = 115,00</v>
      </c>
      <c r="O1093" s="4" t="str">
        <f t="shared" ref="O1093" si="1041">CONCATENATE(H1093,I1093-5,",00")</f>
        <v>Poco X5 Pro - incell c/aro = 105,00</v>
      </c>
      <c r="Q1093" s="4" t="str">
        <f t="shared" ref="Q1093" si="1042">CONCATENATE(H1093,I1093+10,",00")</f>
        <v>Poco X5 Pro - incell c/aro = 120,00</v>
      </c>
    </row>
    <row r="1094" spans="1:17" ht="15" customHeight="1" x14ac:dyDescent="0.3">
      <c r="A1094" t="s">
        <v>2841</v>
      </c>
      <c r="B1094">
        <f>B864</f>
        <v>75</v>
      </c>
      <c r="E1094" t="s">
        <v>4306</v>
      </c>
      <c r="F1094" s="49">
        <v>15</v>
      </c>
      <c r="H1094" s="4" t="s">
        <v>957</v>
      </c>
      <c r="I1094" s="5">
        <f t="shared" si="1038"/>
        <v>190</v>
      </c>
      <c r="J1094" s="5"/>
      <c r="K1094" s="4" t="str">
        <f t="shared" si="974"/>
        <v>Poco X5 Pro - original = R$ 190,00</v>
      </c>
      <c r="M1094" s="4" t="str">
        <f t="shared" si="1003"/>
        <v>Poco X5 Pro - original = R$ 195,00</v>
      </c>
      <c r="O1094" s="4" t="str">
        <f>CONCATENATE(H1094,I1094-5,",00")</f>
        <v>Poco X5 Pro - original = R$ 185,00</v>
      </c>
      <c r="Q1094" s="4" t="str">
        <f t="shared" si="1029"/>
        <v>Poco X5 Pro - original = R$ 200,00</v>
      </c>
    </row>
    <row r="1095" spans="1:17" ht="15" customHeight="1" x14ac:dyDescent="0.3">
      <c r="A1095" t="s">
        <v>3500</v>
      </c>
      <c r="B1095">
        <f>B878</f>
        <v>200</v>
      </c>
      <c r="E1095" t="s">
        <v>4307</v>
      </c>
      <c r="F1095" s="49">
        <v>15</v>
      </c>
      <c r="H1095" s="4" t="s">
        <v>4456</v>
      </c>
      <c r="I1095" s="5">
        <f t="shared" si="1038"/>
        <v>230</v>
      </c>
      <c r="J1095" s="5"/>
      <c r="K1095" s="4" t="str">
        <f t="shared" ref="K1095:K1102" si="1043">CONCATENATE(H1095,I1095,",00")</f>
        <v>Poco X5 Pro - orig c/aro = 230,00</v>
      </c>
      <c r="M1095" s="4" t="str">
        <f t="shared" ref="M1095:M1102" si="1044">CONCATENATE(H1095,I1095+5,",00")</f>
        <v>Poco X5 Pro - orig c/aro = 235,00</v>
      </c>
      <c r="O1095" s="4" t="str">
        <f t="shared" ref="O1095:O1102" si="1045">CONCATENATE(H1095,I1095-5,",00")</f>
        <v>Poco X5 Pro - orig c/aro = 225,00</v>
      </c>
      <c r="Q1095" s="4" t="str">
        <f t="shared" ref="Q1095:Q1102" si="1046">CONCATENATE(H1095,I1095+10,",00")</f>
        <v>Poco X5 Pro - orig c/aro = 240,00</v>
      </c>
    </row>
    <row r="1096" spans="1:17" ht="15" customHeight="1" x14ac:dyDescent="0.3">
      <c r="A1096" t="s">
        <v>3095</v>
      </c>
      <c r="B1096">
        <f>B882</f>
        <v>160</v>
      </c>
      <c r="E1096" t="s">
        <v>4308</v>
      </c>
      <c r="F1096" s="49">
        <v>20</v>
      </c>
      <c r="H1096" s="4" t="s">
        <v>11822</v>
      </c>
      <c r="I1096" s="5">
        <f t="shared" si="1038"/>
        <v>260</v>
      </c>
      <c r="J1096" s="5"/>
      <c r="K1096" s="4" t="str">
        <f t="shared" si="1043"/>
        <v>Poco X5 Pro c/aro Nacional = 260,00</v>
      </c>
      <c r="M1096" s="4" t="str">
        <f t="shared" si="1044"/>
        <v>Poco X5 Pro c/aro Nacional = 265,00</v>
      </c>
      <c r="O1096" s="4" t="str">
        <f t="shared" si="1045"/>
        <v>Poco X5 Pro c/aro Nacional = 255,00</v>
      </c>
      <c r="Q1096" s="4" t="str">
        <f t="shared" si="1046"/>
        <v>Poco X5 Pro c/aro Nacional = 270,00</v>
      </c>
    </row>
    <row r="1097" spans="1:17" ht="15" customHeight="1" x14ac:dyDescent="0.3">
      <c r="A1097" t="s">
        <v>2786</v>
      </c>
      <c r="B1097">
        <f>B883</f>
        <v>80</v>
      </c>
      <c r="E1097" t="s">
        <v>4309</v>
      </c>
      <c r="F1097" s="49">
        <v>20</v>
      </c>
      <c r="H1097" s="4" t="s">
        <v>11821</v>
      </c>
      <c r="I1097" s="5">
        <f t="shared" si="1038"/>
        <v>270</v>
      </c>
      <c r="J1097" s="5"/>
      <c r="K1097" s="4" t="str">
        <f t="shared" ref="K1097:K1101" si="1047">CONCATENATE(H1097,I1097,",00")</f>
        <v>Poco X5 Pro c/aro Nac Diamonds = 270,00</v>
      </c>
      <c r="M1097" s="4" t="str">
        <f t="shared" ref="M1097:M1101" si="1048">CONCATENATE(H1097,I1097+5,",00")</f>
        <v>Poco X5 Pro c/aro Nac Diamonds = 275,00</v>
      </c>
      <c r="O1097" s="4" t="str">
        <f t="shared" ref="O1097:O1101" si="1049">CONCATENATE(H1097,I1097-5,",00")</f>
        <v>Poco X5 Pro c/aro Nac Diamonds = 265,00</v>
      </c>
      <c r="Q1097" s="4" t="str">
        <f t="shared" ref="Q1097:Q1101" si="1050">CONCATENATE(H1097,I1097+10,",00")</f>
        <v>Poco X5 Pro c/aro Nac Diamonds = 280,00</v>
      </c>
    </row>
    <row r="1098" spans="1:17" ht="15" customHeight="1" x14ac:dyDescent="0.3">
      <c r="A1098" t="s">
        <v>2842</v>
      </c>
      <c r="B1098">
        <f>B892</f>
        <v>75</v>
      </c>
      <c r="E1098" t="s">
        <v>1030</v>
      </c>
      <c r="F1098" s="49">
        <v>70</v>
      </c>
      <c r="H1098" s="4" t="s">
        <v>10632</v>
      </c>
      <c r="I1098" s="5">
        <f>F855</f>
        <v>85</v>
      </c>
      <c r="J1098" s="5"/>
      <c r="K1098" s="4" t="str">
        <f t="shared" ref="K1098:K1100" si="1051">CONCATENATE(H1098,I1098,",00")</f>
        <v>Poco X6 - incell = R$ 85,00</v>
      </c>
      <c r="M1098" s="4" t="str">
        <f t="shared" ref="M1098:M1100" si="1052">CONCATENATE(H1098,I1098+5,",00")</f>
        <v>Poco X6 - incell = R$ 90,00</v>
      </c>
      <c r="O1098" s="4" t="str">
        <f t="shared" ref="O1098:O1100" si="1053">CONCATENATE(H1098,I1098-5,",00")</f>
        <v>Poco X6 - incell = R$ 80,00</v>
      </c>
      <c r="Q1098" s="4" t="str">
        <f t="shared" ref="Q1098:Q1100" si="1054">CONCATENATE(H1098,I1098+10,",00")</f>
        <v>Poco X6 - incell = R$ 95,00</v>
      </c>
    </row>
    <row r="1099" spans="1:17" ht="15" customHeight="1" x14ac:dyDescent="0.3">
      <c r="A1099" t="s">
        <v>2641</v>
      </c>
      <c r="B1099">
        <f>B900</f>
        <v>210</v>
      </c>
      <c r="E1099" t="s">
        <v>1031</v>
      </c>
      <c r="F1099" s="49">
        <v>60</v>
      </c>
      <c r="H1099" s="4" t="s">
        <v>10634</v>
      </c>
      <c r="I1099" s="5">
        <f>F856</f>
        <v>200</v>
      </c>
      <c r="J1099" s="5"/>
      <c r="K1099" s="4" t="str">
        <f t="shared" si="1051"/>
        <v>Poco X6 - original = R$ 200,00</v>
      </c>
      <c r="M1099" s="4" t="str">
        <f t="shared" si="1052"/>
        <v>Poco X6 - original = R$ 205,00</v>
      </c>
      <c r="O1099" s="4" t="str">
        <f t="shared" si="1053"/>
        <v>Poco X6 - original = R$ 195,00</v>
      </c>
      <c r="Q1099" s="4" t="str">
        <f t="shared" si="1054"/>
        <v>Poco X6 - original = R$ 210,00</v>
      </c>
    </row>
    <row r="1100" spans="1:17" ht="15" customHeight="1" x14ac:dyDescent="0.3">
      <c r="A1100" t="s">
        <v>2787</v>
      </c>
      <c r="B1100">
        <f>B897</f>
        <v>95</v>
      </c>
      <c r="E1100" t="s">
        <v>1032</v>
      </c>
      <c r="F1100" s="49">
        <v>90</v>
      </c>
      <c r="H1100" s="4" t="s">
        <v>13025</v>
      </c>
      <c r="I1100" s="5">
        <f>F857</f>
        <v>220</v>
      </c>
      <c r="J1100" s="5"/>
      <c r="K1100" s="4" t="str">
        <f t="shared" si="1051"/>
        <v>Poco X6 - orig c/aro = R$ 220,00</v>
      </c>
      <c r="M1100" s="4" t="str">
        <f t="shared" si="1052"/>
        <v>Poco X6 - orig c/aro = R$ 225,00</v>
      </c>
      <c r="O1100" s="4" t="str">
        <f t="shared" si="1053"/>
        <v>Poco X6 - orig c/aro = R$ 215,00</v>
      </c>
      <c r="Q1100" s="4" t="str">
        <f t="shared" si="1054"/>
        <v>Poco X6 - orig c/aro = R$ 230,00</v>
      </c>
    </row>
    <row r="1101" spans="1:17" ht="15" customHeight="1" x14ac:dyDescent="0.3">
      <c r="A1101" t="s">
        <v>2788</v>
      </c>
      <c r="B1101">
        <f>B911</f>
        <v>100</v>
      </c>
      <c r="E1101" t="s">
        <v>12212</v>
      </c>
      <c r="F1101" s="49">
        <v>100</v>
      </c>
      <c r="H1101" s="4" t="s">
        <v>10633</v>
      </c>
      <c r="I1101" s="5">
        <f>F855</f>
        <v>85</v>
      </c>
      <c r="J1101" s="5"/>
      <c r="K1101" s="4" t="str">
        <f t="shared" si="1047"/>
        <v>Poco X6 Pro - incell = R$ 85,00</v>
      </c>
      <c r="M1101" s="4" t="str">
        <f t="shared" si="1048"/>
        <v>Poco X6 Pro - incell = R$ 90,00</v>
      </c>
      <c r="O1101" s="4" t="str">
        <f t="shared" si="1049"/>
        <v>Poco X6 Pro - incell = R$ 80,00</v>
      </c>
      <c r="Q1101" s="4" t="str">
        <f t="shared" si="1050"/>
        <v>Poco X6 Pro - incell = R$ 95,00</v>
      </c>
    </row>
    <row r="1102" spans="1:17" ht="15" customHeight="1" x14ac:dyDescent="0.3">
      <c r="A1102" t="s">
        <v>3096</v>
      </c>
      <c r="B1102">
        <f>B922</f>
        <v>130</v>
      </c>
      <c r="E1102" t="s">
        <v>1033</v>
      </c>
      <c r="F1102" s="49">
        <v>130</v>
      </c>
      <c r="H1102" s="4" t="s">
        <v>10635</v>
      </c>
      <c r="I1102" s="5">
        <f>F856</f>
        <v>200</v>
      </c>
      <c r="J1102" s="5"/>
      <c r="K1102" s="4" t="str">
        <f t="shared" si="1043"/>
        <v>Poco X6 Pro - original = R$ 200,00</v>
      </c>
      <c r="M1102" s="4" t="str">
        <f t="shared" si="1044"/>
        <v>Poco X6 Pro - original = R$ 205,00</v>
      </c>
      <c r="O1102" s="4" t="str">
        <f t="shared" si="1045"/>
        <v>Poco X6 Pro - original = R$ 195,00</v>
      </c>
      <c r="Q1102" s="4" t="str">
        <f t="shared" si="1046"/>
        <v>Poco X6 Pro - original = R$ 210,00</v>
      </c>
    </row>
    <row r="1103" spans="1:17" ht="15" customHeight="1" x14ac:dyDescent="0.3">
      <c r="A1103" s="25" t="s">
        <v>5074</v>
      </c>
      <c r="B1103">
        <f>B438</f>
        <v>90</v>
      </c>
      <c r="C1103" t="s">
        <v>12867</v>
      </c>
      <c r="E1103" t="s">
        <v>1034</v>
      </c>
      <c r="F1103" s="49">
        <v>110</v>
      </c>
      <c r="H1103" s="4"/>
      <c r="I1103" s="5"/>
      <c r="J1103" s="5"/>
      <c r="K1103" s="4"/>
      <c r="M1103" s="4"/>
      <c r="O1103" s="4"/>
      <c r="Q1103" s="4"/>
    </row>
    <row r="1104" spans="1:17" ht="15" customHeight="1" x14ac:dyDescent="0.3">
      <c r="A1104" s="20" t="s">
        <v>2912</v>
      </c>
      <c r="B1104">
        <f>B439</f>
        <v>90</v>
      </c>
      <c r="C1104" t="s">
        <v>12867</v>
      </c>
      <c r="E1104" t="s">
        <v>12213</v>
      </c>
      <c r="F1104" s="49">
        <v>110</v>
      </c>
      <c r="H1104" s="4" t="s">
        <v>11030</v>
      </c>
      <c r="I1104" s="5"/>
      <c r="J1104" s="5"/>
      <c r="K1104" s="4" t="s">
        <v>11030</v>
      </c>
      <c r="M1104" s="4" t="s">
        <v>11030</v>
      </c>
      <c r="O1104" s="4" t="s">
        <v>11030</v>
      </c>
      <c r="Q1104" s="4" t="s">
        <v>11030</v>
      </c>
    </row>
    <row r="1105" spans="1:17" ht="15" customHeight="1" x14ac:dyDescent="0.3">
      <c r="A1105" s="21" t="s">
        <v>3517</v>
      </c>
      <c r="B1105">
        <f t="shared" ref="B1105:B1112" si="1055">B446</f>
        <v>180</v>
      </c>
      <c r="C1105" t="s">
        <v>12869</v>
      </c>
      <c r="E1105" t="s">
        <v>1035</v>
      </c>
      <c r="F1105" s="49">
        <v>130</v>
      </c>
      <c r="H1105" s="4" t="s">
        <v>12173</v>
      </c>
      <c r="I1105" s="5">
        <f>F974</f>
        <v>80</v>
      </c>
      <c r="J1105" s="5"/>
      <c r="K1105" s="4" t="str">
        <f t="shared" ref="K1105:K1106" si="1056">CONCATENATE(H1105,I1105,",00")</f>
        <v>Infinix Hot 10s   = R$ 80,00</v>
      </c>
      <c r="M1105" s="4" t="str">
        <f t="shared" ref="M1105:M1106" si="1057">CONCATENATE(H1105,I1105+5,",00")</f>
        <v>Infinix Hot 10s   = R$ 85,00</v>
      </c>
      <c r="O1105" s="4" t="str">
        <f t="shared" ref="O1105:O1106" si="1058">CONCATENATE(H1105,I1105-5,",00")</f>
        <v>Infinix Hot 10s   = R$ 75,00</v>
      </c>
      <c r="Q1105" s="4" t="str">
        <f t="shared" ref="Q1105:Q1106" si="1059">CONCATENATE(H1105,I1105+10,",00")</f>
        <v>Infinix Hot 10s   = R$ 90,00</v>
      </c>
    </row>
    <row r="1106" spans="1:17" ht="15" customHeight="1" x14ac:dyDescent="0.3">
      <c r="A1106" s="21" t="s">
        <v>3516</v>
      </c>
      <c r="B1106">
        <f t="shared" si="1055"/>
        <v>180</v>
      </c>
      <c r="C1106" t="s">
        <v>12869</v>
      </c>
      <c r="E1106" t="s">
        <v>1036</v>
      </c>
      <c r="F1106" s="49">
        <v>110</v>
      </c>
      <c r="H1106" s="4" t="s">
        <v>12174</v>
      </c>
      <c r="I1106" s="5">
        <f>F974</f>
        <v>80</v>
      </c>
      <c r="J1106" s="5"/>
      <c r="K1106" s="4" t="str">
        <f t="shared" si="1056"/>
        <v>Infinix Hot 11  = R$ 80,00</v>
      </c>
      <c r="M1106" s="4" t="str">
        <f t="shared" si="1057"/>
        <v>Infinix Hot 11  = R$ 85,00</v>
      </c>
      <c r="O1106" s="4" t="str">
        <f t="shared" si="1058"/>
        <v>Infinix Hot 11  = R$ 75,00</v>
      </c>
      <c r="Q1106" s="4" t="str">
        <f t="shared" si="1059"/>
        <v>Infinix Hot 11  = R$ 90,00</v>
      </c>
    </row>
    <row r="1107" spans="1:17" ht="15" customHeight="1" x14ac:dyDescent="0.3">
      <c r="A1107" s="21" t="s">
        <v>3515</v>
      </c>
      <c r="B1107">
        <f t="shared" si="1055"/>
        <v>180</v>
      </c>
      <c r="C1107" t="s">
        <v>12869</v>
      </c>
      <c r="E1107" t="s">
        <v>12214</v>
      </c>
      <c r="F1107" s="49">
        <v>110</v>
      </c>
      <c r="H1107" s="4" t="s">
        <v>11031</v>
      </c>
      <c r="I1107" s="5">
        <f>F975</f>
        <v>80</v>
      </c>
      <c r="J1107" s="5"/>
      <c r="K1107" s="4" t="str">
        <f t="shared" ref="K1107:K1116" si="1060">CONCATENATE(H1107,I1107,",00")</f>
        <v>Infinix Hot 11s   = R$ 80,00</v>
      </c>
      <c r="M1107" s="4" t="str">
        <f t="shared" ref="M1107:M1116" si="1061">CONCATENATE(H1107,I1107+5,",00")</f>
        <v>Infinix Hot 11s   = R$ 85,00</v>
      </c>
      <c r="O1107" s="4" t="str">
        <f t="shared" ref="O1107:O1116" si="1062">CONCATENATE(H1107,I1107-5,",00")</f>
        <v>Infinix Hot 11s   = R$ 75,00</v>
      </c>
      <c r="Q1107" s="4" t="str">
        <f t="shared" ref="Q1107:Q1116" si="1063">CONCATENATE(H1107,I1107+10,",00")</f>
        <v>Infinix Hot 11s   = R$ 90,00</v>
      </c>
    </row>
    <row r="1108" spans="1:17" ht="15" customHeight="1" x14ac:dyDescent="0.3">
      <c r="A1108" s="25" t="s">
        <v>5075</v>
      </c>
      <c r="B1108">
        <f t="shared" si="1055"/>
        <v>90</v>
      </c>
      <c r="C1108" t="s">
        <v>12867</v>
      </c>
      <c r="E1108" t="s">
        <v>1037</v>
      </c>
      <c r="F1108" s="49">
        <v>130</v>
      </c>
      <c r="H1108" s="4" t="s">
        <v>11032</v>
      </c>
      <c r="I1108" s="5">
        <f>F976</f>
        <v>80</v>
      </c>
      <c r="J1108" s="5"/>
      <c r="K1108" s="4" t="str">
        <f t="shared" si="1060"/>
        <v>Infinix Hot 12  = R$ 80,00</v>
      </c>
      <c r="M1108" s="4" t="str">
        <f t="shared" si="1061"/>
        <v>Infinix Hot 12  = R$ 85,00</v>
      </c>
      <c r="O1108" s="4" t="str">
        <f t="shared" si="1062"/>
        <v>Infinix Hot 12  = R$ 75,00</v>
      </c>
      <c r="Q1108" s="4" t="str">
        <f t="shared" si="1063"/>
        <v>Infinix Hot 12  = R$ 90,00</v>
      </c>
    </row>
    <row r="1109" spans="1:17" ht="15" customHeight="1" x14ac:dyDescent="0.3">
      <c r="A1109" s="20" t="s">
        <v>2913</v>
      </c>
      <c r="B1109">
        <f t="shared" si="1055"/>
        <v>90</v>
      </c>
      <c r="C1109" t="s">
        <v>12867</v>
      </c>
      <c r="E1109" t="s">
        <v>12215</v>
      </c>
      <c r="F1109" s="49">
        <v>130</v>
      </c>
      <c r="H1109" s="4" t="s">
        <v>11033</v>
      </c>
      <c r="I1109" s="5">
        <f>F977</f>
        <v>80</v>
      </c>
      <c r="J1109" s="5"/>
      <c r="K1109" s="4" t="str">
        <f t="shared" si="1060"/>
        <v>Infinix Hot 20i   = R$ 80,00</v>
      </c>
      <c r="M1109" s="4" t="str">
        <f t="shared" si="1061"/>
        <v>Infinix Hot 20i   = R$ 85,00</v>
      </c>
      <c r="O1109" s="4" t="str">
        <f t="shared" si="1062"/>
        <v>Infinix Hot 20i   = R$ 75,00</v>
      </c>
      <c r="Q1109" s="4" t="str">
        <f t="shared" si="1063"/>
        <v>Infinix Hot 20i   = R$ 90,00</v>
      </c>
    </row>
    <row r="1110" spans="1:17" ht="15" customHeight="1" x14ac:dyDescent="0.3">
      <c r="A1110" s="21" t="s">
        <v>3514</v>
      </c>
      <c r="B1110">
        <f t="shared" si="1055"/>
        <v>180</v>
      </c>
      <c r="C1110" t="s">
        <v>12869</v>
      </c>
      <c r="E1110" t="s">
        <v>1038</v>
      </c>
      <c r="F1110" s="49">
        <v>150</v>
      </c>
      <c r="H1110" s="4" t="s">
        <v>11034</v>
      </c>
      <c r="I1110" s="5">
        <f>F978</f>
        <v>95</v>
      </c>
      <c r="J1110" s="5"/>
      <c r="K1110" s="4" t="str">
        <f t="shared" si="1060"/>
        <v>Infinix Hot 30   = R$ 95,00</v>
      </c>
      <c r="M1110" s="4" t="str">
        <f t="shared" si="1061"/>
        <v>Infinix Hot 30   = R$ 100,00</v>
      </c>
      <c r="O1110" s="4" t="str">
        <f t="shared" si="1062"/>
        <v>Infinix Hot 30   = R$ 90,00</v>
      </c>
      <c r="Q1110" s="4" t="str">
        <f t="shared" si="1063"/>
        <v>Infinix Hot 30   = R$ 105,00</v>
      </c>
    </row>
    <row r="1111" spans="1:17" ht="15" customHeight="1" x14ac:dyDescent="0.3">
      <c r="A1111" s="21" t="s">
        <v>3513</v>
      </c>
      <c r="B1111">
        <f t="shared" si="1055"/>
        <v>180</v>
      </c>
      <c r="C1111" t="s">
        <v>12869</v>
      </c>
      <c r="E1111" t="s">
        <v>12210</v>
      </c>
      <c r="F1111" s="49">
        <v>130</v>
      </c>
      <c r="H1111" s="4" t="s">
        <v>11108</v>
      </c>
      <c r="I1111" s="5">
        <f>F980</f>
        <v>80</v>
      </c>
      <c r="J1111" s="5"/>
      <c r="K1111" s="4" t="str">
        <f t="shared" ref="K1111" si="1064">CONCATENATE(H1111,I1111,",00")</f>
        <v>Infinix Hot 30i  = R$ 80,00</v>
      </c>
      <c r="M1111" s="4" t="str">
        <f t="shared" ref="M1111" si="1065">CONCATENATE(H1111,I1111+5,",00")</f>
        <v>Infinix Hot 30i  = R$ 85,00</v>
      </c>
      <c r="O1111" s="4" t="str">
        <f t="shared" ref="O1111" si="1066">CONCATENATE(H1111,I1111-5,",00")</f>
        <v>Infinix Hot 30i  = R$ 75,00</v>
      </c>
      <c r="Q1111" s="4" t="str">
        <f t="shared" ref="Q1111" si="1067">CONCATENATE(H1111,I1111+10,",00")</f>
        <v>Infinix Hot 30i  = R$ 90,00</v>
      </c>
    </row>
    <row r="1112" spans="1:17" ht="15" customHeight="1" x14ac:dyDescent="0.3">
      <c r="A1112" s="21" t="s">
        <v>3512</v>
      </c>
      <c r="B1112">
        <f t="shared" si="1055"/>
        <v>180</v>
      </c>
      <c r="C1112" t="s">
        <v>12869</v>
      </c>
      <c r="E1112" t="s">
        <v>1039</v>
      </c>
      <c r="F1112" s="49">
        <v>150</v>
      </c>
      <c r="H1112" s="4" t="s">
        <v>11035</v>
      </c>
      <c r="I1112" s="5">
        <f>F979</f>
        <v>85</v>
      </c>
      <c r="J1112" s="5"/>
      <c r="K1112" s="4" t="str">
        <f t="shared" si="1060"/>
        <v>Infinix Hot 40i  = R$ 85,00</v>
      </c>
      <c r="M1112" s="4" t="str">
        <f t="shared" si="1061"/>
        <v>Infinix Hot 40i  = R$ 90,00</v>
      </c>
      <c r="O1112" s="4" t="str">
        <f t="shared" si="1062"/>
        <v>Infinix Hot 40i  = R$ 80,00</v>
      </c>
      <c r="Q1112" s="4" t="str">
        <f t="shared" si="1063"/>
        <v>Infinix Hot 40i  = R$ 95,00</v>
      </c>
    </row>
    <row r="1113" spans="1:17" ht="15" customHeight="1" x14ac:dyDescent="0.3">
      <c r="A1113" t="s">
        <v>2149</v>
      </c>
      <c r="B1113">
        <f>I716</f>
        <v>65</v>
      </c>
      <c r="C1113" t="s">
        <v>12918</v>
      </c>
      <c r="E1113" t="s">
        <v>12216</v>
      </c>
      <c r="F1113" s="49">
        <v>120</v>
      </c>
      <c r="H1113" s="4" t="s">
        <v>11109</v>
      </c>
      <c r="I1113" s="5">
        <f>F980</f>
        <v>80</v>
      </c>
      <c r="J1113" s="5"/>
      <c r="K1113" s="4" t="str">
        <f t="shared" ref="K1113" si="1068">CONCATENATE(H1113,I1113,",00")</f>
        <v>Infinix Smart 7         = R$ 80,00</v>
      </c>
      <c r="M1113" s="4" t="str">
        <f t="shared" ref="M1113" si="1069">CONCATENATE(H1113,I1113+5,",00")</f>
        <v>Infinix Smart 7         = R$ 85,00</v>
      </c>
      <c r="O1113" s="4" t="str">
        <f t="shared" ref="O1113" si="1070">CONCATENATE(H1113,I1113-5,",00")</f>
        <v>Infinix Smart 7         = R$ 75,00</v>
      </c>
      <c r="Q1113" s="4" t="str">
        <f t="shared" ref="Q1113" si="1071">CONCATENATE(H1113,I1113+10,",00")</f>
        <v>Infinix Smart 7         = R$ 90,00</v>
      </c>
    </row>
    <row r="1114" spans="1:17" ht="15" customHeight="1" x14ac:dyDescent="0.3">
      <c r="A1114" t="s">
        <v>2135</v>
      </c>
      <c r="B1114">
        <f>I731</f>
        <v>65</v>
      </c>
      <c r="C1114" t="s">
        <v>12920</v>
      </c>
      <c r="E1114" t="s">
        <v>1040</v>
      </c>
      <c r="F1114" s="49">
        <v>150</v>
      </c>
      <c r="H1114" s="4" t="s">
        <v>11036</v>
      </c>
      <c r="I1114" s="5">
        <f>F979</f>
        <v>85</v>
      </c>
      <c r="J1114" s="5"/>
      <c r="K1114" s="4" t="str">
        <f t="shared" si="1060"/>
        <v>Infinix Smart 8          = R$ 85,00</v>
      </c>
      <c r="M1114" s="4" t="str">
        <f t="shared" si="1061"/>
        <v>Infinix Smart 8          = R$ 90,00</v>
      </c>
      <c r="O1114" s="4" t="str">
        <f t="shared" si="1062"/>
        <v>Infinix Smart 8          = R$ 80,00</v>
      </c>
      <c r="Q1114" s="4" t="str">
        <f t="shared" si="1063"/>
        <v>Infinix Smart 8          = R$ 95,00</v>
      </c>
    </row>
    <row r="1115" spans="1:17" ht="15" customHeight="1" x14ac:dyDescent="0.3">
      <c r="A1115" t="s">
        <v>10574</v>
      </c>
      <c r="B1115">
        <f>I735</f>
        <v>65</v>
      </c>
      <c r="C1115" t="s">
        <v>12919</v>
      </c>
      <c r="E1115" t="s">
        <v>12217</v>
      </c>
      <c r="F1115" s="49">
        <v>130</v>
      </c>
      <c r="H1115" s="4" t="s">
        <v>11037</v>
      </c>
      <c r="I1115" s="5">
        <f>F979</f>
        <v>85</v>
      </c>
      <c r="J1115" s="5"/>
      <c r="K1115" s="4" t="str">
        <f t="shared" ref="K1115" si="1072">CONCATENATE(H1115,I1115,",00")</f>
        <v>Infinix Smart 8 Pro   = R$ 85,00</v>
      </c>
      <c r="M1115" s="4" t="str">
        <f t="shared" ref="M1115" si="1073">CONCATENATE(H1115,I1115+5,",00")</f>
        <v>Infinix Smart 8 Pro   = R$ 90,00</v>
      </c>
      <c r="O1115" s="4" t="str">
        <f t="shared" ref="O1115" si="1074">CONCATENATE(H1115,I1115-5,",00")</f>
        <v>Infinix Smart 8 Pro   = R$ 80,00</v>
      </c>
      <c r="Q1115" s="4" t="str">
        <f t="shared" ref="Q1115" si="1075">CONCATENATE(H1115,I1115+10,",00")</f>
        <v>Infinix Smart 8 Pro   = R$ 95,00</v>
      </c>
    </row>
    <row r="1116" spans="1:17" ht="15" customHeight="1" x14ac:dyDescent="0.3">
      <c r="A1116" t="s">
        <v>10575</v>
      </c>
      <c r="B1116">
        <f>I735</f>
        <v>65</v>
      </c>
      <c r="C1116" t="s">
        <v>12919</v>
      </c>
      <c r="E1116" t="s">
        <v>1041</v>
      </c>
      <c r="F1116" s="49">
        <v>150</v>
      </c>
      <c r="H1116" s="4" t="s">
        <v>11110</v>
      </c>
      <c r="I1116" s="5">
        <f>F980</f>
        <v>80</v>
      </c>
      <c r="J1116" s="5"/>
      <c r="K1116" s="4" t="str">
        <f t="shared" si="1060"/>
        <v>Infinix Spark 10   = R$ 80,00</v>
      </c>
      <c r="M1116" s="4" t="str">
        <f t="shared" si="1061"/>
        <v>Infinix Spark 10   = R$ 85,00</v>
      </c>
      <c r="O1116" s="4" t="str">
        <f t="shared" si="1062"/>
        <v>Infinix Spark 10   = R$ 75,00</v>
      </c>
      <c r="Q1116" s="4" t="str">
        <f t="shared" si="1063"/>
        <v>Infinix Spark 10   = R$ 90,00</v>
      </c>
    </row>
    <row r="1117" spans="1:17" ht="15" customHeight="1" x14ac:dyDescent="0.3">
      <c r="A1117" t="s">
        <v>10576</v>
      </c>
      <c r="B1117">
        <f>I736</f>
        <v>75</v>
      </c>
      <c r="C1117" t="s">
        <v>12921</v>
      </c>
      <c r="E1117" t="s">
        <v>12218</v>
      </c>
      <c r="F1117" s="49">
        <v>130</v>
      </c>
      <c r="H1117" s="4"/>
      <c r="I1117" s="5"/>
      <c r="J1117" s="5"/>
      <c r="K1117" s="4"/>
      <c r="M1117" s="4"/>
      <c r="O1117" s="4"/>
      <c r="Q1117" s="4"/>
    </row>
    <row r="1118" spans="1:17" ht="15" customHeight="1" x14ac:dyDescent="0.3">
      <c r="A1118" t="s">
        <v>10577</v>
      </c>
      <c r="B1118">
        <f>I736</f>
        <v>75</v>
      </c>
      <c r="C1118" t="s">
        <v>12921</v>
      </c>
      <c r="E1118" t="s">
        <v>1042</v>
      </c>
      <c r="F1118" s="49">
        <v>160</v>
      </c>
      <c r="H1118" s="4" t="s">
        <v>959</v>
      </c>
      <c r="I1118" s="5"/>
      <c r="J1118" s="5"/>
      <c r="K1118" s="4" t="s">
        <v>959</v>
      </c>
      <c r="M1118" s="4" t="s">
        <v>959</v>
      </c>
      <c r="O1118" s="4" t="s">
        <v>959</v>
      </c>
      <c r="Q1118" s="4" t="s">
        <v>959</v>
      </c>
    </row>
    <row r="1119" spans="1:17" ht="15" customHeight="1" x14ac:dyDescent="0.3">
      <c r="A1119" t="s">
        <v>2136</v>
      </c>
      <c r="B1119">
        <f>I739</f>
        <v>60</v>
      </c>
      <c r="C1119" t="s">
        <v>12928</v>
      </c>
      <c r="E1119" t="s">
        <v>12219</v>
      </c>
      <c r="F1119" s="49">
        <v>130</v>
      </c>
      <c r="H1119" s="4" t="s">
        <v>960</v>
      </c>
      <c r="I1119" s="5">
        <f>F987</f>
        <v>90</v>
      </c>
      <c r="J1119" s="5"/>
      <c r="K1119" s="4" t="str">
        <f t="shared" ref="K1119:K1125" si="1076">CONCATENATE(H1119,I1119,",00")</f>
        <v>ZB501KL         = R$ 90,00</v>
      </c>
      <c r="M1119" s="4" t="str">
        <f t="shared" ref="M1119:M1125" si="1077">CONCATENATE(H1119,I1119+5,",00")</f>
        <v>ZB501KL         = R$ 95,00</v>
      </c>
      <c r="O1119" s="4" t="str">
        <f t="shared" ref="O1119:O1125" si="1078">CONCATENATE(H1119,I1119-5,",00")</f>
        <v>ZB501KL         = R$ 85,00</v>
      </c>
      <c r="Q1119" s="4" t="str">
        <f t="shared" ref="Q1119:Q1125" si="1079">CONCATENATE(H1119,I1119+10,",00")</f>
        <v>ZB501KL         = R$ 100,00</v>
      </c>
    </row>
    <row r="1120" spans="1:17" ht="15" customHeight="1" x14ac:dyDescent="0.3">
      <c r="A1120" t="s">
        <v>996</v>
      </c>
      <c r="B1120">
        <f t="shared" ref="B1120" si="1080">I369</f>
        <v>55</v>
      </c>
      <c r="C1120" t="s">
        <v>12929</v>
      </c>
      <c r="E1120" t="s">
        <v>7835</v>
      </c>
      <c r="F1120" s="49">
        <v>160</v>
      </c>
      <c r="H1120" s="4" t="s">
        <v>961</v>
      </c>
      <c r="I1120" s="5">
        <f>F988</f>
        <v>90</v>
      </c>
      <c r="J1120" s="5"/>
      <c r="K1120" s="4" t="str">
        <f t="shared" si="1076"/>
        <v>ZD553KL         = R$ 90,00</v>
      </c>
      <c r="M1120" s="4" t="str">
        <f t="shared" si="1077"/>
        <v>ZD553KL         = R$ 95,00</v>
      </c>
      <c r="O1120" s="4" t="str">
        <f t="shared" si="1078"/>
        <v>ZD553KL         = R$ 85,00</v>
      </c>
      <c r="Q1120" s="4" t="str">
        <f t="shared" si="1079"/>
        <v>ZD553KL         = R$ 100,00</v>
      </c>
    </row>
    <row r="1121" spans="1:17" ht="15" customHeight="1" x14ac:dyDescent="0.3">
      <c r="A1121" t="s">
        <v>997</v>
      </c>
      <c r="B1121">
        <f>I372</f>
        <v>55</v>
      </c>
      <c r="C1121" t="s">
        <v>12930</v>
      </c>
      <c r="E1121" t="s">
        <v>12220</v>
      </c>
      <c r="F1121" s="49">
        <v>135</v>
      </c>
      <c r="H1121" s="4" t="s">
        <v>962</v>
      </c>
      <c r="I1121" s="5">
        <f>F989</f>
        <v>110</v>
      </c>
      <c r="J1121" s="5"/>
      <c r="K1121" s="4" t="str">
        <f t="shared" si="1076"/>
        <v>ZC600KL          = R$ 110,00</v>
      </c>
      <c r="M1121" s="4" t="str">
        <f t="shared" si="1077"/>
        <v>ZC600KL          = R$ 115,00</v>
      </c>
      <c r="O1121" s="4" t="str">
        <f t="shared" si="1078"/>
        <v>ZC600KL          = R$ 105,00</v>
      </c>
      <c r="Q1121" s="4" t="str">
        <f t="shared" si="1079"/>
        <v>ZC600KL          = R$ 120,00</v>
      </c>
    </row>
    <row r="1122" spans="1:17" ht="15" customHeight="1" x14ac:dyDescent="0.3">
      <c r="A1122" t="s">
        <v>998</v>
      </c>
      <c r="B1122">
        <f>I371</f>
        <v>55</v>
      </c>
      <c r="C1122" t="s">
        <v>12931</v>
      </c>
      <c r="E1122" t="s">
        <v>1043</v>
      </c>
      <c r="F1122" s="49">
        <v>165</v>
      </c>
      <c r="H1122" s="4" t="s">
        <v>963</v>
      </c>
      <c r="I1122" s="5">
        <f>F990</f>
        <v>90</v>
      </c>
      <c r="J1122" s="5"/>
      <c r="K1122" s="4" t="str">
        <f t="shared" si="1076"/>
        <v>ZB601KL          = R$ 90,00</v>
      </c>
      <c r="M1122" s="4" t="str">
        <f t="shared" si="1077"/>
        <v>ZB601KL          = R$ 95,00</v>
      </c>
      <c r="O1122" s="4" t="str">
        <f t="shared" si="1078"/>
        <v>ZB601KL          = R$ 85,00</v>
      </c>
      <c r="Q1122" s="4" t="str">
        <f t="shared" si="1079"/>
        <v>ZB601KL          = R$ 100,00</v>
      </c>
    </row>
    <row r="1123" spans="1:17" ht="15" customHeight="1" x14ac:dyDescent="0.3">
      <c r="A1123" t="s">
        <v>999</v>
      </c>
      <c r="B1123">
        <f>I374</f>
        <v>60</v>
      </c>
      <c r="C1123" t="s">
        <v>12932</v>
      </c>
      <c r="E1123" t="s">
        <v>12221</v>
      </c>
      <c r="F1123" s="49">
        <v>130</v>
      </c>
      <c r="H1123" s="4" t="s">
        <v>964</v>
      </c>
      <c r="I1123" s="5">
        <f>F990</f>
        <v>90</v>
      </c>
      <c r="J1123" s="5"/>
      <c r="K1123" s="4" t="str">
        <f t="shared" si="1076"/>
        <v>ZB602KL          = R$ 90,00</v>
      </c>
      <c r="M1123" s="4" t="str">
        <f t="shared" si="1077"/>
        <v>ZB602KL          = R$ 95,00</v>
      </c>
      <c r="O1123" s="4" t="str">
        <f t="shared" si="1078"/>
        <v>ZB602KL          = R$ 85,00</v>
      </c>
      <c r="Q1123" s="4" t="str">
        <f t="shared" si="1079"/>
        <v>ZB602KL          = R$ 100,00</v>
      </c>
    </row>
    <row r="1124" spans="1:17" ht="15" customHeight="1" x14ac:dyDescent="0.3">
      <c r="A1124" t="s">
        <v>1000</v>
      </c>
      <c r="B1124">
        <f>I376</f>
        <v>60</v>
      </c>
      <c r="C1124" t="s">
        <v>12933</v>
      </c>
      <c r="E1124" t="s">
        <v>10603</v>
      </c>
      <c r="F1124" s="49">
        <v>170</v>
      </c>
      <c r="H1124" s="4" t="s">
        <v>965</v>
      </c>
      <c r="I1124" s="5">
        <f>F991</f>
        <v>90</v>
      </c>
      <c r="J1124" s="5"/>
      <c r="K1124" s="4" t="str">
        <f t="shared" si="1076"/>
        <v>ZB631KL          = R$ 90,00</v>
      </c>
      <c r="M1124" s="4" t="str">
        <f t="shared" si="1077"/>
        <v>ZB631KL          = R$ 95,00</v>
      </c>
      <c r="O1124" s="4" t="str">
        <f t="shared" si="1078"/>
        <v>ZB631KL          = R$ 85,00</v>
      </c>
      <c r="Q1124" s="4" t="str">
        <f t="shared" si="1079"/>
        <v>ZB631KL          = R$ 100,00</v>
      </c>
    </row>
    <row r="1125" spans="1:17" ht="15" customHeight="1" x14ac:dyDescent="0.3">
      <c r="A1125" t="s">
        <v>1001</v>
      </c>
      <c r="B1125">
        <f>I378</f>
        <v>65</v>
      </c>
      <c r="C1125" t="s">
        <v>12934</v>
      </c>
      <c r="E1125" t="s">
        <v>1044</v>
      </c>
      <c r="F1125" s="49">
        <v>130</v>
      </c>
      <c r="H1125" s="4" t="s">
        <v>966</v>
      </c>
      <c r="I1125" s="5">
        <f>F992</f>
        <v>80</v>
      </c>
      <c r="J1125" s="5"/>
      <c r="K1125" s="4" t="str">
        <f t="shared" si="1076"/>
        <v>ZB634KL          = R$ 80,00</v>
      </c>
      <c r="M1125" s="4" t="str">
        <f t="shared" si="1077"/>
        <v>ZB634KL          = R$ 85,00</v>
      </c>
      <c r="O1125" s="4" t="str">
        <f t="shared" si="1078"/>
        <v>ZB634KL          = R$ 75,00</v>
      </c>
      <c r="Q1125" s="4" t="str">
        <f t="shared" si="1079"/>
        <v>ZB634KL          = R$ 90,00</v>
      </c>
    </row>
    <row r="1126" spans="1:17" ht="15" customHeight="1" x14ac:dyDescent="0.3">
      <c r="A1126" t="s">
        <v>1002</v>
      </c>
      <c r="B1126">
        <f>I380</f>
        <v>60</v>
      </c>
      <c r="C1126" t="s">
        <v>12935</v>
      </c>
      <c r="E1126" t="s">
        <v>7836</v>
      </c>
      <c r="F1126" s="49">
        <v>160</v>
      </c>
      <c r="H1126" s="4"/>
      <c r="I1126" s="5"/>
      <c r="J1126" s="5"/>
    </row>
    <row r="1127" spans="1:17" ht="15" customHeight="1" x14ac:dyDescent="0.3">
      <c r="A1127" t="s">
        <v>10304</v>
      </c>
      <c r="B1127">
        <f>I380</f>
        <v>60</v>
      </c>
      <c r="C1127" t="s">
        <v>12935</v>
      </c>
      <c r="E1127" t="s">
        <v>1045</v>
      </c>
      <c r="F1127" s="49">
        <v>135</v>
      </c>
      <c r="H1127" s="4" t="s">
        <v>967</v>
      </c>
      <c r="I1127" s="5"/>
      <c r="J1127" s="5"/>
      <c r="K1127" s="4" t="s">
        <v>967</v>
      </c>
      <c r="M1127" s="4" t="s">
        <v>967</v>
      </c>
      <c r="O1127" s="4" t="s">
        <v>967</v>
      </c>
      <c r="Q1127" s="4" t="s">
        <v>967</v>
      </c>
    </row>
    <row r="1128" spans="1:17" ht="15" customHeight="1" x14ac:dyDescent="0.3">
      <c r="A1128" t="s">
        <v>10305</v>
      </c>
      <c r="B1128">
        <f>I380</f>
        <v>60</v>
      </c>
      <c r="C1128" t="s">
        <v>12935</v>
      </c>
      <c r="E1128" t="s">
        <v>1046</v>
      </c>
      <c r="F1128" s="49">
        <v>165</v>
      </c>
      <c r="H1128" s="4" t="s">
        <v>13134</v>
      </c>
      <c r="I1128" s="5">
        <f>F1002</f>
        <v>85</v>
      </c>
      <c r="J1128" s="5"/>
      <c r="K1128" s="4" t="str">
        <f t="shared" ref="K1128:K1130" si="1081">CONCATENATE(H1128,I1128,",00")</f>
        <v>Realme 11 = R$ 85,00</v>
      </c>
      <c r="M1128" s="4" t="str">
        <f t="shared" ref="M1128:M1130" si="1082">CONCATENATE(H1128,I1128+5,",00")</f>
        <v>Realme 11 = R$ 90,00</v>
      </c>
      <c r="O1128" s="4" t="str">
        <f t="shared" ref="O1128:O1130" si="1083">CONCATENATE(H1128,I1128-5,",00")</f>
        <v>Realme 11 = R$ 80,00</v>
      </c>
      <c r="Q1128" s="4" t="str">
        <f t="shared" ref="Q1128:Q1130" si="1084">CONCATENATE(H1128,I1128+10,",00")</f>
        <v>Realme 11 = R$ 95,00</v>
      </c>
    </row>
    <row r="1129" spans="1:17" ht="15" customHeight="1" x14ac:dyDescent="0.3">
      <c r="A1129" t="s">
        <v>1003</v>
      </c>
      <c r="B1129">
        <f>I382</f>
        <v>70</v>
      </c>
      <c r="C1129" t="s">
        <v>12936</v>
      </c>
      <c r="E1129" t="s">
        <v>1047</v>
      </c>
      <c r="F1129" s="49">
        <v>140</v>
      </c>
      <c r="H1129" s="4" t="s">
        <v>13135</v>
      </c>
      <c r="I1129" s="5">
        <f>F1002</f>
        <v>85</v>
      </c>
      <c r="J1129" s="5"/>
      <c r="K1129" s="4" t="str">
        <f t="shared" si="1081"/>
        <v>Realme 11x 5G = R$ 85,00</v>
      </c>
      <c r="M1129" s="4" t="str">
        <f t="shared" si="1082"/>
        <v>Realme 11x 5G = R$ 90,00</v>
      </c>
      <c r="O1129" s="4" t="str">
        <f t="shared" si="1083"/>
        <v>Realme 11x 5G = R$ 80,00</v>
      </c>
      <c r="Q1129" s="4" t="str">
        <f t="shared" si="1084"/>
        <v>Realme 11x 5G = R$ 95,00</v>
      </c>
    </row>
    <row r="1130" spans="1:17" ht="15" customHeight="1" x14ac:dyDescent="0.3">
      <c r="A1130" t="s">
        <v>1004</v>
      </c>
      <c r="B1130">
        <f>I384</f>
        <v>75</v>
      </c>
      <c r="C1130" t="s">
        <v>12937</v>
      </c>
      <c r="E1130" t="s">
        <v>1048</v>
      </c>
      <c r="F1130" s="49">
        <v>170</v>
      </c>
      <c r="H1130" s="4" t="s">
        <v>13136</v>
      </c>
      <c r="I1130" s="5">
        <f>F1002</f>
        <v>85</v>
      </c>
      <c r="J1130" s="5"/>
      <c r="K1130" s="4" t="str">
        <f t="shared" si="1081"/>
        <v>Realme 12 5G   = R$ 85,00</v>
      </c>
      <c r="M1130" s="4" t="str">
        <f t="shared" si="1082"/>
        <v>Realme 12 5G   = R$ 90,00</v>
      </c>
      <c r="O1130" s="4" t="str">
        <f t="shared" si="1083"/>
        <v>Realme 12 5G   = R$ 80,00</v>
      </c>
      <c r="Q1130" s="4" t="str">
        <f t="shared" si="1084"/>
        <v>Realme 12 5G   = R$ 95,00</v>
      </c>
    </row>
    <row r="1131" spans="1:17" ht="15" customHeight="1" x14ac:dyDescent="0.3">
      <c r="A1131" t="s">
        <v>13597</v>
      </c>
      <c r="B1131">
        <f>I385</f>
        <v>105</v>
      </c>
      <c r="E1131" t="s">
        <v>1049</v>
      </c>
      <c r="F1131" s="49">
        <v>60</v>
      </c>
      <c r="H1131" s="4" t="s">
        <v>12616</v>
      </c>
      <c r="I1131" s="5">
        <f t="shared" ref="I1131:J1136" si="1085">F999</f>
        <v>85</v>
      </c>
      <c r="J1131" s="5"/>
      <c r="K1131" s="4" t="str">
        <f t="shared" ref="K1131:K1132" si="1086">CONCATENATE(H1131,I1131,",00")</f>
        <v>Realme C31 = R$ 85,00</v>
      </c>
      <c r="M1131" s="4" t="str">
        <f t="shared" ref="M1131:M1132" si="1087">CONCATENATE(H1131,I1131+5,",00")</f>
        <v>Realme C31 = R$ 90,00</v>
      </c>
      <c r="O1131" s="4" t="str">
        <f t="shared" ref="O1131:O1132" si="1088">CONCATENATE(H1131,I1131-5,",00")</f>
        <v>Realme C31 = R$ 80,00</v>
      </c>
      <c r="Q1131" s="4" t="str">
        <f t="shared" ref="Q1131:Q1132" si="1089">CONCATENATE(H1131,I1131+10,",00")</f>
        <v>Realme C31 = R$ 95,00</v>
      </c>
    </row>
    <row r="1132" spans="1:17" ht="15" customHeight="1" x14ac:dyDescent="0.3">
      <c r="A1132" t="s">
        <v>1008</v>
      </c>
      <c r="B1132">
        <f>I386</f>
        <v>160</v>
      </c>
      <c r="C1132" t="s">
        <v>12938</v>
      </c>
      <c r="E1132" t="s">
        <v>12222</v>
      </c>
      <c r="H1132" s="4" t="s">
        <v>12885</v>
      </c>
      <c r="I1132" s="5">
        <f t="shared" si="1085"/>
        <v>85</v>
      </c>
      <c r="J1132" s="5"/>
      <c r="K1132" s="4" t="str">
        <f t="shared" si="1086"/>
        <v>Realme C35 = R$ 85,00</v>
      </c>
      <c r="M1132" s="4" t="str">
        <f t="shared" si="1087"/>
        <v>Realme C35 = R$ 90,00</v>
      </c>
      <c r="O1132" s="4" t="str">
        <f t="shared" si="1088"/>
        <v>Realme C35 = R$ 80,00</v>
      </c>
      <c r="Q1132" s="4" t="str">
        <f t="shared" si="1089"/>
        <v>Realme C35 = R$ 95,00</v>
      </c>
    </row>
    <row r="1133" spans="1:17" ht="15" customHeight="1" x14ac:dyDescent="0.3">
      <c r="A1133" t="s">
        <v>3368</v>
      </c>
      <c r="B1133">
        <f>I386</f>
        <v>160</v>
      </c>
      <c r="C1133" t="s">
        <v>12938</v>
      </c>
      <c r="E1133" t="s">
        <v>1050</v>
      </c>
      <c r="F1133" s="49">
        <v>70</v>
      </c>
      <c r="H1133" s="4" t="s">
        <v>968</v>
      </c>
      <c r="I1133" s="5">
        <f t="shared" si="1085"/>
        <v>75</v>
      </c>
      <c r="J1133" s="5"/>
      <c r="K1133" s="4" t="str">
        <f t="shared" ref="K1133:K1142" si="1090">CONCATENATE(H1133,I1133,",00")</f>
        <v>Realme C51/C53 = R$ 75,00</v>
      </c>
      <c r="M1133" s="4" t="str">
        <f t="shared" ref="M1133:M1142" si="1091">CONCATENATE(H1133,I1133+5,",00")</f>
        <v>Realme C51/C53 = R$ 80,00</v>
      </c>
      <c r="O1133" s="4" t="str">
        <f t="shared" ref="O1133:O1142" si="1092">CONCATENATE(H1133,I1133-5,",00")</f>
        <v>Realme C51/C53 = R$ 70,00</v>
      </c>
      <c r="Q1133" s="4" t="str">
        <f t="shared" ref="Q1133:Q1142" si="1093">CONCATENATE(H1133,I1133+10,",00")</f>
        <v>Realme C51/C53 = R$ 85,00</v>
      </c>
    </row>
    <row r="1134" spans="1:17" ht="15" customHeight="1" x14ac:dyDescent="0.3">
      <c r="A1134" t="s">
        <v>3498</v>
      </c>
      <c r="B1134">
        <f>I386</f>
        <v>160</v>
      </c>
      <c r="C1134" t="s">
        <v>12938</v>
      </c>
      <c r="E1134" t="s">
        <v>1051</v>
      </c>
      <c r="F1134" s="49">
        <v>60</v>
      </c>
      <c r="H1134" s="4" t="s">
        <v>969</v>
      </c>
      <c r="I1134" s="5">
        <f t="shared" si="1085"/>
        <v>85</v>
      </c>
      <c r="J1134" s="5"/>
      <c r="K1134" s="4" t="str">
        <f t="shared" si="1090"/>
        <v>Realme C55 = R$ 85,00</v>
      </c>
      <c r="M1134" s="4" t="str">
        <f t="shared" si="1091"/>
        <v>Realme C55 = R$ 90,00</v>
      </c>
      <c r="O1134" s="4" t="str">
        <f t="shared" si="1092"/>
        <v>Realme C55 = R$ 80,00</v>
      </c>
      <c r="Q1134" s="4" t="str">
        <f t="shared" si="1093"/>
        <v>Realme C55 = R$ 95,00</v>
      </c>
    </row>
    <row r="1135" spans="1:17" ht="15" customHeight="1" x14ac:dyDescent="0.3">
      <c r="A1135" t="s">
        <v>1005</v>
      </c>
      <c r="B1135">
        <f>I387</f>
        <v>80</v>
      </c>
      <c r="C1135" t="s">
        <v>12939</v>
      </c>
      <c r="E1135" t="s">
        <v>12223</v>
      </c>
      <c r="H1135" s="4" t="s">
        <v>970</v>
      </c>
      <c r="I1135" s="5">
        <f t="shared" si="1085"/>
        <v>105</v>
      </c>
      <c r="J1135" s="5"/>
      <c r="K1135" s="4" t="str">
        <f t="shared" ref="K1135:K1141" si="1094">CONCATENATE(H1135,I1135,",00")</f>
        <v>Realme C55 c/aro = R$ 105,00</v>
      </c>
      <c r="M1135" s="4" t="str">
        <f t="shared" ref="M1135:M1141" si="1095">CONCATENATE(H1135,I1135+5,",00")</f>
        <v>Realme C55 c/aro = R$ 110,00</v>
      </c>
      <c r="O1135" s="4" t="str">
        <f t="shared" ref="O1135:O1141" si="1096">CONCATENATE(H1135,I1135-5,",00")</f>
        <v>Realme C55 c/aro = R$ 100,00</v>
      </c>
      <c r="Q1135" s="4" t="str">
        <f t="shared" ref="Q1135:Q1141" si="1097">CONCATENATE(H1135,I1135+10,",00")</f>
        <v>Realme C55 c/aro = R$ 115,00</v>
      </c>
    </row>
    <row r="1136" spans="1:17" ht="15" customHeight="1" x14ac:dyDescent="0.3">
      <c r="A1136" t="s">
        <v>13598</v>
      </c>
      <c r="B1136">
        <f>I388</f>
        <v>110</v>
      </c>
      <c r="E1136" t="s">
        <v>1052</v>
      </c>
      <c r="F1136" s="49">
        <v>80</v>
      </c>
      <c r="H1136" s="4" t="s">
        <v>12617</v>
      </c>
      <c r="I1136" s="5">
        <f t="shared" si="1085"/>
        <v>85</v>
      </c>
      <c r="J1136" s="5"/>
      <c r="K1136" s="4" t="str">
        <f t="shared" si="1094"/>
        <v>Realme C61 = R$ 85,00</v>
      </c>
      <c r="M1136" s="4" t="str">
        <f t="shared" si="1095"/>
        <v>Realme C61 = R$ 90,00</v>
      </c>
      <c r="O1136" s="4" t="str">
        <f t="shared" si="1096"/>
        <v>Realme C61 = R$ 80,00</v>
      </c>
      <c r="Q1136" s="4" t="str">
        <f t="shared" si="1097"/>
        <v>Realme C61 = R$ 95,00</v>
      </c>
    </row>
    <row r="1137" spans="1:17" ht="15" customHeight="1" x14ac:dyDescent="0.3">
      <c r="A1137" t="s">
        <v>1009</v>
      </c>
      <c r="B1137">
        <f>I389</f>
        <v>160</v>
      </c>
      <c r="C1137" t="s">
        <v>12940</v>
      </c>
      <c r="E1137" t="s">
        <v>1053</v>
      </c>
      <c r="F1137" s="49">
        <v>60</v>
      </c>
      <c r="H1137" s="4" t="s">
        <v>12618</v>
      </c>
      <c r="I1137" s="5">
        <f>F1004</f>
        <v>85</v>
      </c>
      <c r="J1137" s="5"/>
      <c r="K1137" s="4" t="str">
        <f t="shared" si="1094"/>
        <v>Realme C63 = R$ 85,00</v>
      </c>
      <c r="M1137" s="4" t="str">
        <f t="shared" si="1095"/>
        <v>Realme C63 = R$ 90,00</v>
      </c>
      <c r="O1137" s="4" t="str">
        <f t="shared" si="1096"/>
        <v>Realme C63 = R$ 80,00</v>
      </c>
      <c r="Q1137" s="4" t="str">
        <f t="shared" si="1097"/>
        <v>Realme C63 = R$ 95,00</v>
      </c>
    </row>
    <row r="1138" spans="1:17" ht="15" customHeight="1" x14ac:dyDescent="0.3">
      <c r="A1138" t="s">
        <v>3369</v>
      </c>
      <c r="B1138">
        <f>I389</f>
        <v>160</v>
      </c>
      <c r="C1138" t="s">
        <v>12940</v>
      </c>
      <c r="E1138" t="s">
        <v>12224</v>
      </c>
      <c r="F1138" s="49">
        <v>60</v>
      </c>
      <c r="H1138" s="4" t="s">
        <v>13132</v>
      </c>
      <c r="I1138" s="5">
        <f>F1002</f>
        <v>85</v>
      </c>
      <c r="J1138" s="5"/>
      <c r="K1138" s="4" t="str">
        <f t="shared" ref="K1138:K1140" si="1098">CONCATENATE(H1138,I1138,",00")</f>
        <v>Realme C65 = R$ 85,00</v>
      </c>
      <c r="M1138" s="4" t="str">
        <f t="shared" ref="M1138:M1140" si="1099">CONCATENATE(H1138,I1138+5,",00")</f>
        <v>Realme C65 = R$ 90,00</v>
      </c>
      <c r="O1138" s="4" t="str">
        <f t="shared" ref="O1138:O1140" si="1100">CONCATENATE(H1138,I1138-5,",00")</f>
        <v>Realme C65 = R$ 80,00</v>
      </c>
      <c r="Q1138" s="4" t="str">
        <f t="shared" ref="Q1138:Q1140" si="1101">CONCATENATE(H1138,I1138+10,",00")</f>
        <v>Realme C65 = R$ 95,00</v>
      </c>
    </row>
    <row r="1139" spans="1:17" ht="15" customHeight="1" x14ac:dyDescent="0.3">
      <c r="A1139" t="s">
        <v>3499</v>
      </c>
      <c r="B1139">
        <f>I389</f>
        <v>160</v>
      </c>
      <c r="C1139" t="s">
        <v>12940</v>
      </c>
      <c r="E1139" t="s">
        <v>1054</v>
      </c>
      <c r="F1139" s="49">
        <v>65</v>
      </c>
      <c r="H1139" s="4" t="s">
        <v>13133</v>
      </c>
      <c r="I1139" s="5">
        <f>F1002</f>
        <v>85</v>
      </c>
      <c r="J1139" s="5"/>
      <c r="K1139" s="4" t="str">
        <f t="shared" si="1098"/>
        <v>Realme C67 = R$ 85,00</v>
      </c>
      <c r="M1139" s="4" t="str">
        <f t="shared" si="1099"/>
        <v>Realme C67 = R$ 90,00</v>
      </c>
      <c r="O1139" s="4" t="str">
        <f t="shared" si="1100"/>
        <v>Realme C67 = R$ 80,00</v>
      </c>
      <c r="Q1139" s="4" t="str">
        <f t="shared" si="1101"/>
        <v>Realme C67 = R$ 95,00</v>
      </c>
    </row>
    <row r="1140" spans="1:17" ht="15" customHeight="1" x14ac:dyDescent="0.3">
      <c r="A1140" t="s">
        <v>1006</v>
      </c>
      <c r="B1140">
        <f>I390</f>
        <v>100</v>
      </c>
      <c r="C1140" t="s">
        <v>12941</v>
      </c>
      <c r="E1140" t="s">
        <v>1055</v>
      </c>
      <c r="F1140" s="49">
        <v>45</v>
      </c>
      <c r="H1140" s="4" t="s">
        <v>13582</v>
      </c>
      <c r="I1140" s="5">
        <f>F1002</f>
        <v>85</v>
      </c>
      <c r="J1140" s="5"/>
      <c r="K1140" s="4" t="str">
        <f t="shared" si="1098"/>
        <v>Realme C75 = R$ 85,00</v>
      </c>
      <c r="M1140" s="4" t="str">
        <f t="shared" si="1099"/>
        <v>Realme C75 = R$ 90,00</v>
      </c>
      <c r="O1140" s="4" t="str">
        <f t="shared" si="1100"/>
        <v>Realme C75 = R$ 80,00</v>
      </c>
      <c r="Q1140" s="4" t="str">
        <f t="shared" si="1101"/>
        <v>Realme C75 = R$ 95,00</v>
      </c>
    </row>
    <row r="1141" spans="1:17" ht="15" customHeight="1" x14ac:dyDescent="0.3">
      <c r="A1141" t="s">
        <v>13599</v>
      </c>
      <c r="B1141">
        <f>I391</f>
        <v>125</v>
      </c>
      <c r="E1141" t="s">
        <v>12225</v>
      </c>
      <c r="F1141" s="49">
        <v>50</v>
      </c>
      <c r="H1141" s="4" t="s">
        <v>11133</v>
      </c>
      <c r="I1141" s="5">
        <f>F1001</f>
        <v>75</v>
      </c>
      <c r="J1141" s="5"/>
      <c r="K1141" s="4" t="str">
        <f t="shared" si="1094"/>
        <v>Realme Note 50 = R$ 75,00</v>
      </c>
      <c r="M1141" s="4" t="str">
        <f t="shared" si="1095"/>
        <v>Realme Note 50 = R$ 80,00</v>
      </c>
      <c r="O1141" s="4" t="str">
        <f t="shared" si="1096"/>
        <v>Realme Note 50 = R$ 70,00</v>
      </c>
      <c r="Q1141" s="4" t="str">
        <f t="shared" si="1097"/>
        <v>Realme Note 50 = R$ 85,00</v>
      </c>
    </row>
    <row r="1142" spans="1:17" ht="15" customHeight="1" x14ac:dyDescent="0.3">
      <c r="A1142" t="s">
        <v>1007</v>
      </c>
      <c r="B1142">
        <f>I392</f>
        <v>210</v>
      </c>
      <c r="C1142" t="s">
        <v>12942</v>
      </c>
      <c r="E1142" t="s">
        <v>1056</v>
      </c>
      <c r="F1142" s="49">
        <v>55</v>
      </c>
      <c r="H1142" s="4" t="s">
        <v>12619</v>
      </c>
      <c r="I1142" s="5">
        <f>F1004</f>
        <v>85</v>
      </c>
      <c r="J1142" s="5"/>
      <c r="K1142" s="4" t="str">
        <f t="shared" si="1090"/>
        <v>Realme Note 60 = R$ 85,00</v>
      </c>
      <c r="M1142" s="4" t="str">
        <f t="shared" si="1091"/>
        <v>Realme Note 60 = R$ 90,00</v>
      </c>
      <c r="O1142" s="4" t="str">
        <f t="shared" si="1092"/>
        <v>Realme Note 60 = R$ 80,00</v>
      </c>
      <c r="Q1142" s="4" t="str">
        <f t="shared" si="1093"/>
        <v>Realme Note 60 = R$ 95,00</v>
      </c>
    </row>
    <row r="1143" spans="1:17" ht="15" customHeight="1" x14ac:dyDescent="0.3">
      <c r="A1143" t="s">
        <v>364</v>
      </c>
      <c r="B1143">
        <f>I392</f>
        <v>210</v>
      </c>
      <c r="C1143" t="s">
        <v>12942</v>
      </c>
      <c r="E1143" t="s">
        <v>12226</v>
      </c>
      <c r="F1143" s="49">
        <v>60</v>
      </c>
      <c r="H1143" s="4"/>
      <c r="I1143" s="5"/>
      <c r="J1143" s="5"/>
      <c r="K1143" s="4"/>
      <c r="M1143" s="4"/>
      <c r="O1143" s="4"/>
      <c r="Q1143" s="4"/>
    </row>
    <row r="1144" spans="1:17" ht="15" customHeight="1" x14ac:dyDescent="0.3">
      <c r="A1144" t="s">
        <v>3497</v>
      </c>
      <c r="B1144">
        <f>I392</f>
        <v>210</v>
      </c>
      <c r="C1144" t="s">
        <v>12942</v>
      </c>
      <c r="E1144" t="s">
        <v>1057</v>
      </c>
      <c r="F1144" s="49">
        <v>70</v>
      </c>
      <c r="H1144" s="4" t="s">
        <v>971</v>
      </c>
      <c r="I1144" s="5"/>
      <c r="J1144" s="5"/>
      <c r="K1144" s="4" t="s">
        <v>971</v>
      </c>
      <c r="M1144" s="4" t="s">
        <v>971</v>
      </c>
      <c r="O1144" s="4" t="s">
        <v>971</v>
      </c>
      <c r="Q1144" s="4" t="s">
        <v>971</v>
      </c>
    </row>
    <row r="1145" spans="1:17" ht="15" customHeight="1" x14ac:dyDescent="0.3">
      <c r="A1145" t="s">
        <v>13591</v>
      </c>
      <c r="B1145">
        <f>I394</f>
        <v>110</v>
      </c>
      <c r="C1145" t="s">
        <v>12783</v>
      </c>
      <c r="E1145" t="s">
        <v>12227</v>
      </c>
      <c r="F1145" s="49">
        <v>60</v>
      </c>
      <c r="H1145" s="4" t="s">
        <v>12522</v>
      </c>
      <c r="I1145" s="5">
        <f>F1010</f>
        <v>25</v>
      </c>
      <c r="J1145" s="5"/>
      <c r="K1145" s="4" t="str">
        <f>CONCATENATE(H1145,I1145,",00")</f>
        <v>Grand Prime (G530) =  R$ 25,00</v>
      </c>
      <c r="M1145" s="4" t="str">
        <f>CONCATENATE(H1145,I1145+5,",00")</f>
        <v>Grand Prime (G530) =  R$ 30,00</v>
      </c>
      <c r="O1145" s="4" t="str">
        <f>CONCATENATE(H1145,I1145-5,",00")</f>
        <v>Grand Prime (G530) =  R$ 20,00</v>
      </c>
      <c r="Q1145" s="4" t="str">
        <f>CONCATENATE(H1145,I1145+10,",00")</f>
        <v>Grand Prime (G530) =  R$ 35,00</v>
      </c>
    </row>
    <row r="1146" spans="1:17" ht="15" customHeight="1" x14ac:dyDescent="0.3">
      <c r="A1146" t="s">
        <v>10435</v>
      </c>
      <c r="B1146">
        <f>I394</f>
        <v>110</v>
      </c>
      <c r="C1146" t="s">
        <v>12783</v>
      </c>
      <c r="E1146" t="s">
        <v>1058</v>
      </c>
      <c r="F1146" s="49">
        <v>70</v>
      </c>
      <c r="H1146" s="4"/>
      <c r="I1146" s="5"/>
      <c r="J1146" s="5"/>
    </row>
    <row r="1147" spans="1:17" ht="15" customHeight="1" x14ac:dyDescent="0.3">
      <c r="A1147" t="s">
        <v>10436</v>
      </c>
      <c r="B1147">
        <f>I395</f>
        <v>95</v>
      </c>
      <c r="E1147" t="s">
        <v>12228</v>
      </c>
      <c r="F1147" s="49">
        <v>60</v>
      </c>
      <c r="I1147" s="5"/>
      <c r="J1147" s="5"/>
    </row>
    <row r="1148" spans="1:17" ht="15" customHeight="1" x14ac:dyDescent="0.3">
      <c r="A1148" t="s">
        <v>13593</v>
      </c>
      <c r="B1148">
        <f>I396</f>
        <v>125</v>
      </c>
      <c r="E1148" t="s">
        <v>1059</v>
      </c>
      <c r="F1148" s="49">
        <v>70</v>
      </c>
      <c r="I1148" s="5"/>
      <c r="J1148" s="5"/>
    </row>
    <row r="1149" spans="1:17" ht="15" customHeight="1" x14ac:dyDescent="0.3">
      <c r="A1149" t="s">
        <v>10437</v>
      </c>
      <c r="B1149">
        <f>I397</f>
        <v>190</v>
      </c>
      <c r="E1149" t="s">
        <v>12229</v>
      </c>
      <c r="F1149" s="49">
        <v>60</v>
      </c>
      <c r="I1149" s="5"/>
      <c r="J1149" s="5"/>
    </row>
    <row r="1150" spans="1:17" ht="15" customHeight="1" x14ac:dyDescent="0.3">
      <c r="A1150" t="s">
        <v>10438</v>
      </c>
      <c r="B1150">
        <f>I397</f>
        <v>190</v>
      </c>
      <c r="E1150" t="s">
        <v>1060</v>
      </c>
      <c r="F1150" s="49">
        <v>70</v>
      </c>
      <c r="I1150" s="5"/>
      <c r="J1150" s="5"/>
    </row>
    <row r="1151" spans="1:17" ht="15" customHeight="1" x14ac:dyDescent="0.3">
      <c r="A1151" t="s">
        <v>13592</v>
      </c>
      <c r="E1151" t="s">
        <v>1061</v>
      </c>
      <c r="F1151" s="49">
        <v>60</v>
      </c>
      <c r="I1151" s="5"/>
      <c r="J1151" s="5"/>
    </row>
    <row r="1152" spans="1:17" ht="15" customHeight="1" x14ac:dyDescent="0.3">
      <c r="A1152" t="s">
        <v>10439</v>
      </c>
      <c r="B1152">
        <f>I397</f>
        <v>190</v>
      </c>
      <c r="E1152" t="s">
        <v>12230</v>
      </c>
      <c r="F1152" s="49">
        <v>100</v>
      </c>
      <c r="I1152" s="5"/>
      <c r="J1152" s="5"/>
    </row>
    <row r="1153" spans="1:10" ht="15" customHeight="1" x14ac:dyDescent="0.3">
      <c r="A1153" t="s">
        <v>10440</v>
      </c>
      <c r="B1153">
        <f>I398</f>
        <v>100</v>
      </c>
      <c r="E1153" t="s">
        <v>1062</v>
      </c>
      <c r="F1153" s="49">
        <v>120</v>
      </c>
      <c r="I1153" s="5"/>
      <c r="J1153" s="5"/>
    </row>
    <row r="1154" spans="1:10" ht="15" customHeight="1" x14ac:dyDescent="0.3">
      <c r="A1154" t="s">
        <v>13596</v>
      </c>
      <c r="B1154">
        <f>I399</f>
        <v>130</v>
      </c>
      <c r="E1154" t="s">
        <v>1063</v>
      </c>
      <c r="F1154" s="49">
        <v>80</v>
      </c>
      <c r="I1154" s="5"/>
      <c r="J1154" s="5"/>
    </row>
    <row r="1155" spans="1:10" ht="15" customHeight="1" x14ac:dyDescent="0.3">
      <c r="A1155" t="s">
        <v>10441</v>
      </c>
      <c r="B1155">
        <f>I400</f>
        <v>235</v>
      </c>
      <c r="E1155" t="s">
        <v>12231</v>
      </c>
      <c r="F1155" s="49">
        <v>100</v>
      </c>
      <c r="I1155" s="5"/>
      <c r="J1155" s="5"/>
    </row>
    <row r="1156" spans="1:10" ht="15" customHeight="1" x14ac:dyDescent="0.3">
      <c r="A1156" t="s">
        <v>10442</v>
      </c>
      <c r="B1156">
        <f>I400</f>
        <v>235</v>
      </c>
      <c r="E1156" t="s">
        <v>1064</v>
      </c>
      <c r="F1156" s="49">
        <v>130</v>
      </c>
      <c r="I1156" s="5"/>
      <c r="J1156" s="5"/>
    </row>
    <row r="1157" spans="1:10" ht="15" customHeight="1" x14ac:dyDescent="0.3">
      <c r="A1157" t="s">
        <v>10443</v>
      </c>
      <c r="B1157">
        <f>I400</f>
        <v>235</v>
      </c>
      <c r="E1157" t="s">
        <v>12232</v>
      </c>
      <c r="F1157" s="49">
        <v>120</v>
      </c>
      <c r="I1157" s="5"/>
      <c r="J1157" s="5"/>
    </row>
    <row r="1158" spans="1:10" ht="15" customHeight="1" x14ac:dyDescent="0.3">
      <c r="A1158" t="s">
        <v>10444</v>
      </c>
      <c r="B1158">
        <f>I401</f>
        <v>105</v>
      </c>
      <c r="E1158" t="s">
        <v>1065</v>
      </c>
      <c r="F1158" s="49">
        <v>130</v>
      </c>
      <c r="I1158" s="5"/>
      <c r="J1158" s="5"/>
    </row>
    <row r="1159" spans="1:10" ht="15" customHeight="1" x14ac:dyDescent="0.3">
      <c r="A1159" t="s">
        <v>13595</v>
      </c>
      <c r="B1159">
        <f>I402</f>
        <v>130</v>
      </c>
      <c r="E1159" t="s">
        <v>1066</v>
      </c>
      <c r="F1159" s="49">
        <v>135</v>
      </c>
      <c r="I1159" s="5"/>
      <c r="J1159" s="5"/>
    </row>
    <row r="1160" spans="1:10" ht="15" customHeight="1" x14ac:dyDescent="0.3">
      <c r="A1160" t="s">
        <v>10445</v>
      </c>
      <c r="B1160">
        <f>I403</f>
        <v>240</v>
      </c>
      <c r="E1160" t="s">
        <v>12233</v>
      </c>
      <c r="F1160" s="49">
        <v>115</v>
      </c>
      <c r="I1160" s="5"/>
      <c r="J1160" s="5"/>
    </row>
    <row r="1161" spans="1:10" ht="15" customHeight="1" x14ac:dyDescent="0.3">
      <c r="A1161" t="s">
        <v>10446</v>
      </c>
      <c r="B1161">
        <f>I403</f>
        <v>240</v>
      </c>
      <c r="E1161" t="s">
        <v>1067</v>
      </c>
      <c r="F1161" s="49">
        <v>120</v>
      </c>
      <c r="I1161" s="5"/>
      <c r="J1161" s="5"/>
    </row>
    <row r="1162" spans="1:10" ht="15" customHeight="1" x14ac:dyDescent="0.3">
      <c r="A1162" t="s">
        <v>10447</v>
      </c>
      <c r="B1162">
        <f>I403</f>
        <v>240</v>
      </c>
      <c r="E1162" t="s">
        <v>1068</v>
      </c>
      <c r="F1162" s="49">
        <v>55</v>
      </c>
      <c r="I1162" s="5"/>
      <c r="J1162" s="5"/>
    </row>
    <row r="1163" spans="1:10" ht="15" customHeight="1" x14ac:dyDescent="0.3">
      <c r="A1163" t="s">
        <v>13594</v>
      </c>
      <c r="B1163">
        <f>I404</f>
        <v>260</v>
      </c>
      <c r="E1163" t="s">
        <v>1069</v>
      </c>
      <c r="F1163" s="49">
        <v>50</v>
      </c>
      <c r="I1163" s="5"/>
      <c r="J1163" s="5"/>
    </row>
    <row r="1164" spans="1:10" ht="15" customHeight="1" x14ac:dyDescent="0.3">
      <c r="A1164" t="s">
        <v>13416</v>
      </c>
      <c r="B1164">
        <f>I405</f>
        <v>340</v>
      </c>
      <c r="E1164" t="s">
        <v>1070</v>
      </c>
      <c r="F1164" s="49">
        <v>60</v>
      </c>
      <c r="I1164" s="5"/>
      <c r="J1164" s="5"/>
    </row>
    <row r="1165" spans="1:10" ht="15" customHeight="1" x14ac:dyDescent="0.3">
      <c r="A1165" t="s">
        <v>10448</v>
      </c>
      <c r="B1165">
        <f>I401</f>
        <v>105</v>
      </c>
      <c r="E1165" t="s">
        <v>1071</v>
      </c>
      <c r="F1165" s="49">
        <v>50</v>
      </c>
      <c r="I1165" s="5"/>
      <c r="J1165" s="5"/>
    </row>
    <row r="1166" spans="1:10" ht="15" customHeight="1" x14ac:dyDescent="0.3">
      <c r="A1166" t="s">
        <v>13600</v>
      </c>
      <c r="B1166">
        <f>I402</f>
        <v>130</v>
      </c>
      <c r="E1166" t="s">
        <v>1072</v>
      </c>
      <c r="F1166" s="49">
        <v>60</v>
      </c>
      <c r="I1166" s="5"/>
      <c r="J1166" s="5"/>
    </row>
    <row r="1167" spans="1:10" ht="15" customHeight="1" x14ac:dyDescent="0.3">
      <c r="A1167" t="s">
        <v>10449</v>
      </c>
      <c r="B1167">
        <f>I403</f>
        <v>240</v>
      </c>
      <c r="E1167" t="s">
        <v>1073</v>
      </c>
      <c r="F1167" s="49">
        <v>45</v>
      </c>
      <c r="I1167" s="5"/>
      <c r="J1167" s="5"/>
    </row>
    <row r="1168" spans="1:10" ht="15" customHeight="1" x14ac:dyDescent="0.3">
      <c r="A1168" t="s">
        <v>10450</v>
      </c>
      <c r="B1168">
        <f>I403</f>
        <v>240</v>
      </c>
      <c r="E1168" t="s">
        <v>1074</v>
      </c>
      <c r="F1168" s="49">
        <v>55</v>
      </c>
      <c r="I1168" s="5"/>
      <c r="J1168" s="5"/>
    </row>
    <row r="1169" spans="1:10" ht="15" customHeight="1" x14ac:dyDescent="0.3">
      <c r="A1169" t="s">
        <v>10451</v>
      </c>
      <c r="B1169">
        <f t="shared" ref="B1169:B1174" si="1102">I403</f>
        <v>240</v>
      </c>
      <c r="E1169" t="s">
        <v>1075</v>
      </c>
      <c r="F1169" s="49">
        <v>70</v>
      </c>
      <c r="I1169" s="5"/>
      <c r="J1169" s="5"/>
    </row>
    <row r="1170" spans="1:10" ht="15" customHeight="1" x14ac:dyDescent="0.3">
      <c r="A1170" t="s">
        <v>13601</v>
      </c>
      <c r="B1170">
        <f t="shared" si="1102"/>
        <v>260</v>
      </c>
      <c r="E1170" t="s">
        <v>1076</v>
      </c>
      <c r="F1170" s="49">
        <v>55</v>
      </c>
      <c r="I1170" s="5"/>
      <c r="J1170" s="5"/>
    </row>
    <row r="1171" spans="1:10" ht="15" customHeight="1" x14ac:dyDescent="0.3">
      <c r="A1171" t="s">
        <v>13415</v>
      </c>
      <c r="B1171">
        <f t="shared" si="1102"/>
        <v>340</v>
      </c>
      <c r="E1171" t="s">
        <v>1077</v>
      </c>
      <c r="F1171" s="49">
        <v>45</v>
      </c>
      <c r="I1171" s="5"/>
      <c r="J1171" s="5"/>
    </row>
    <row r="1172" spans="1:10" ht="15" customHeight="1" x14ac:dyDescent="0.3">
      <c r="A1172" t="s">
        <v>10452</v>
      </c>
      <c r="B1172">
        <f t="shared" si="1102"/>
        <v>120</v>
      </c>
      <c r="E1172" t="s">
        <v>1078</v>
      </c>
      <c r="F1172" s="49">
        <v>60</v>
      </c>
      <c r="I1172" s="5"/>
      <c r="J1172" s="5"/>
    </row>
    <row r="1173" spans="1:10" ht="15" customHeight="1" x14ac:dyDescent="0.3">
      <c r="A1173" t="s">
        <v>13602</v>
      </c>
      <c r="B1173">
        <f t="shared" si="1102"/>
        <v>190</v>
      </c>
      <c r="E1173" t="s">
        <v>1079</v>
      </c>
      <c r="F1173" s="49">
        <v>80</v>
      </c>
      <c r="I1173" s="5"/>
      <c r="J1173" s="5"/>
    </row>
    <row r="1174" spans="1:10" ht="15" customHeight="1" x14ac:dyDescent="0.3">
      <c r="A1174" t="s">
        <v>10453</v>
      </c>
      <c r="B1174">
        <f t="shared" si="1102"/>
        <v>350</v>
      </c>
      <c r="E1174" t="s">
        <v>1080</v>
      </c>
      <c r="F1174" s="49">
        <v>55</v>
      </c>
      <c r="I1174" s="5"/>
      <c r="J1174" s="5"/>
    </row>
    <row r="1175" spans="1:10" ht="15" customHeight="1" x14ac:dyDescent="0.3">
      <c r="A1175" t="s">
        <v>10454</v>
      </c>
      <c r="B1175">
        <f>I408</f>
        <v>350</v>
      </c>
      <c r="E1175" t="s">
        <v>11677</v>
      </c>
      <c r="F1175" s="49">
        <v>70</v>
      </c>
      <c r="I1175" s="5"/>
      <c r="J1175" s="5"/>
    </row>
    <row r="1176" spans="1:10" ht="15" customHeight="1" x14ac:dyDescent="0.3">
      <c r="A1176" t="s">
        <v>10455</v>
      </c>
      <c r="B1176">
        <f>I408</f>
        <v>350</v>
      </c>
      <c r="E1176" t="s">
        <v>1081</v>
      </c>
      <c r="F1176" s="49">
        <v>60</v>
      </c>
      <c r="I1176" s="5"/>
      <c r="J1176" s="5"/>
    </row>
    <row r="1177" spans="1:10" ht="15" customHeight="1" x14ac:dyDescent="0.3">
      <c r="A1177" t="s">
        <v>13417</v>
      </c>
      <c r="B1177">
        <f>I409</f>
        <v>460</v>
      </c>
      <c r="E1177" t="s">
        <v>1082</v>
      </c>
      <c r="F1177" s="49">
        <v>55</v>
      </c>
      <c r="I1177" s="5"/>
      <c r="J1177" s="5"/>
    </row>
    <row r="1178" spans="1:10" ht="15" customHeight="1" x14ac:dyDescent="0.3">
      <c r="A1178" t="s">
        <v>10456</v>
      </c>
      <c r="B1178">
        <f>I410</f>
        <v>130</v>
      </c>
      <c r="E1178" t="s">
        <v>1083</v>
      </c>
      <c r="F1178" s="49">
        <v>45</v>
      </c>
      <c r="I1178" s="5"/>
      <c r="J1178" s="5"/>
    </row>
    <row r="1179" spans="1:10" ht="15" customHeight="1" x14ac:dyDescent="0.3">
      <c r="A1179" t="s">
        <v>13603</v>
      </c>
      <c r="B1179">
        <f>I411</f>
        <v>160</v>
      </c>
      <c r="E1179" t="s">
        <v>1084</v>
      </c>
      <c r="F1179" s="49">
        <v>55</v>
      </c>
      <c r="I1179" s="5"/>
      <c r="J1179" s="5"/>
    </row>
    <row r="1180" spans="1:10" ht="15" customHeight="1" x14ac:dyDescent="0.3">
      <c r="A1180" t="s">
        <v>10457</v>
      </c>
      <c r="B1180">
        <f>I412</f>
        <v>285</v>
      </c>
      <c r="E1180" t="s">
        <v>1085</v>
      </c>
      <c r="F1180" s="49">
        <v>85</v>
      </c>
      <c r="I1180" s="5"/>
      <c r="J1180" s="5"/>
    </row>
    <row r="1181" spans="1:10" ht="15" customHeight="1" x14ac:dyDescent="0.3">
      <c r="A1181" t="s">
        <v>10458</v>
      </c>
      <c r="B1181">
        <f>I412</f>
        <v>285</v>
      </c>
      <c r="E1181" t="s">
        <v>1086</v>
      </c>
      <c r="F1181" s="49">
        <v>55</v>
      </c>
      <c r="I1181" s="5"/>
      <c r="J1181" s="5"/>
    </row>
    <row r="1182" spans="1:10" ht="15" customHeight="1" x14ac:dyDescent="0.3">
      <c r="A1182" t="s">
        <v>10459</v>
      </c>
      <c r="B1182">
        <f t="shared" ref="B1182:B1187" si="1103">I412</f>
        <v>285</v>
      </c>
      <c r="E1182" t="s">
        <v>1087</v>
      </c>
      <c r="F1182" s="49">
        <v>75</v>
      </c>
      <c r="I1182" s="5"/>
      <c r="J1182" s="5"/>
    </row>
    <row r="1183" spans="1:10" ht="15" customHeight="1" x14ac:dyDescent="0.3">
      <c r="A1183" t="s">
        <v>13604</v>
      </c>
      <c r="B1183">
        <f t="shared" si="1103"/>
        <v>305</v>
      </c>
      <c r="E1183" t="s">
        <v>1088</v>
      </c>
      <c r="F1183" s="49">
        <v>55</v>
      </c>
      <c r="I1183" s="5"/>
      <c r="J1183" s="5"/>
    </row>
    <row r="1184" spans="1:10" ht="15" customHeight="1" x14ac:dyDescent="0.3">
      <c r="A1184" t="s">
        <v>13418</v>
      </c>
      <c r="B1184">
        <f t="shared" si="1103"/>
        <v>420</v>
      </c>
      <c r="E1184" t="s">
        <v>1089</v>
      </c>
      <c r="F1184" s="49">
        <v>55</v>
      </c>
      <c r="I1184" s="5"/>
      <c r="J1184" s="5"/>
    </row>
    <row r="1185" spans="1:10" ht="15" customHeight="1" x14ac:dyDescent="0.3">
      <c r="A1185" t="s">
        <v>10460</v>
      </c>
      <c r="B1185">
        <f t="shared" si="1103"/>
        <v>140</v>
      </c>
      <c r="E1185" t="s">
        <v>1090</v>
      </c>
      <c r="F1185" s="49">
        <v>70</v>
      </c>
      <c r="I1185" s="5"/>
      <c r="J1185" s="5"/>
    </row>
    <row r="1186" spans="1:10" ht="15" customHeight="1" x14ac:dyDescent="0.3">
      <c r="A1186" t="s">
        <v>13605</v>
      </c>
      <c r="B1186">
        <f t="shared" si="1103"/>
        <v>180</v>
      </c>
      <c r="E1186" t="s">
        <v>1091</v>
      </c>
      <c r="F1186" s="49">
        <v>50</v>
      </c>
      <c r="I1186" s="5"/>
      <c r="J1186" s="5"/>
    </row>
    <row r="1187" spans="1:10" ht="15" customHeight="1" x14ac:dyDescent="0.3">
      <c r="A1187" t="s">
        <v>10461</v>
      </c>
      <c r="B1187">
        <f t="shared" si="1103"/>
        <v>345</v>
      </c>
      <c r="E1187" t="s">
        <v>1092</v>
      </c>
      <c r="F1187" s="49">
        <v>55</v>
      </c>
      <c r="I1187" s="5"/>
      <c r="J1187" s="5"/>
    </row>
    <row r="1188" spans="1:10" ht="15" customHeight="1" x14ac:dyDescent="0.3">
      <c r="A1188" t="s">
        <v>10462</v>
      </c>
      <c r="B1188">
        <f>I417</f>
        <v>345</v>
      </c>
      <c r="E1188" t="s">
        <v>1093</v>
      </c>
      <c r="F1188" s="49">
        <v>55</v>
      </c>
      <c r="I1188" s="5"/>
      <c r="J1188" s="5"/>
    </row>
    <row r="1189" spans="1:10" ht="15" customHeight="1" x14ac:dyDescent="0.3">
      <c r="A1189" t="s">
        <v>10463</v>
      </c>
      <c r="B1189">
        <f>I417</f>
        <v>345</v>
      </c>
      <c r="E1189" t="s">
        <v>13150</v>
      </c>
      <c r="F1189" s="49">
        <v>60</v>
      </c>
      <c r="I1189" s="5"/>
      <c r="J1189" s="5"/>
    </row>
    <row r="1190" spans="1:10" ht="15" customHeight="1" x14ac:dyDescent="0.3">
      <c r="A1190" t="s">
        <v>13606</v>
      </c>
      <c r="B1190">
        <f>I418</f>
        <v>365</v>
      </c>
      <c r="E1190" t="s">
        <v>1094</v>
      </c>
      <c r="F1190" s="49">
        <v>70</v>
      </c>
      <c r="I1190" s="5"/>
      <c r="J1190" s="5"/>
    </row>
    <row r="1191" spans="1:10" ht="15" customHeight="1" x14ac:dyDescent="0.3">
      <c r="A1191" t="s">
        <v>10464</v>
      </c>
      <c r="B1191">
        <f>I419</f>
        <v>150</v>
      </c>
      <c r="E1191" t="s">
        <v>1095</v>
      </c>
      <c r="F1191" s="49">
        <v>60</v>
      </c>
      <c r="I1191" s="5"/>
      <c r="J1191" s="5"/>
    </row>
    <row r="1192" spans="1:10" ht="15" customHeight="1" x14ac:dyDescent="0.3">
      <c r="A1192" t="s">
        <v>13607</v>
      </c>
      <c r="B1192">
        <f>I420</f>
        <v>200</v>
      </c>
      <c r="E1192" t="s">
        <v>10950</v>
      </c>
      <c r="F1192" s="49">
        <v>55</v>
      </c>
      <c r="I1192" s="5"/>
      <c r="J1192" s="5"/>
    </row>
    <row r="1193" spans="1:10" ht="15" customHeight="1" x14ac:dyDescent="0.3">
      <c r="A1193" t="s">
        <v>10465</v>
      </c>
      <c r="B1193">
        <f>I421</f>
        <v>340</v>
      </c>
      <c r="E1193" t="s">
        <v>1096</v>
      </c>
      <c r="F1193" s="49">
        <v>75</v>
      </c>
      <c r="I1193" s="5"/>
      <c r="J1193" s="5"/>
    </row>
    <row r="1194" spans="1:10" ht="15" customHeight="1" x14ac:dyDescent="0.3">
      <c r="A1194" t="s">
        <v>10466</v>
      </c>
      <c r="B1194">
        <f>I421</f>
        <v>340</v>
      </c>
      <c r="E1194" t="s">
        <v>1097</v>
      </c>
      <c r="F1194" s="49">
        <v>55</v>
      </c>
      <c r="I1194" s="5"/>
      <c r="J1194" s="5"/>
    </row>
    <row r="1195" spans="1:10" ht="15" customHeight="1" x14ac:dyDescent="0.3">
      <c r="A1195" t="s">
        <v>10467</v>
      </c>
      <c r="B1195">
        <f>I421</f>
        <v>340</v>
      </c>
      <c r="E1195" t="s">
        <v>1098</v>
      </c>
      <c r="F1195" s="49">
        <v>55</v>
      </c>
      <c r="I1195" s="5"/>
      <c r="J1195" s="5"/>
    </row>
    <row r="1196" spans="1:10" ht="15" customHeight="1" x14ac:dyDescent="0.3">
      <c r="A1196" t="s">
        <v>10468</v>
      </c>
      <c r="B1196">
        <f>I422</f>
        <v>140</v>
      </c>
      <c r="E1196" t="s">
        <v>1099</v>
      </c>
      <c r="F1196" s="49">
        <v>60</v>
      </c>
      <c r="I1196" s="5"/>
      <c r="J1196" s="5"/>
    </row>
    <row r="1197" spans="1:10" ht="15" customHeight="1" x14ac:dyDescent="0.3">
      <c r="A1197" t="s">
        <v>13608</v>
      </c>
      <c r="B1197">
        <f>I423</f>
        <v>170</v>
      </c>
      <c r="E1197" t="s">
        <v>1100</v>
      </c>
      <c r="F1197" s="49">
        <v>70</v>
      </c>
      <c r="I1197" s="5"/>
      <c r="J1197" s="5"/>
    </row>
    <row r="1198" spans="1:10" ht="15" customHeight="1" x14ac:dyDescent="0.3">
      <c r="A1198" t="s">
        <v>10469</v>
      </c>
      <c r="B1198">
        <f>I424</f>
        <v>305</v>
      </c>
      <c r="E1198" t="s">
        <v>1101</v>
      </c>
      <c r="F1198" s="49">
        <v>55</v>
      </c>
      <c r="I1198" s="5"/>
      <c r="J1198" s="5"/>
    </row>
    <row r="1199" spans="1:10" ht="15" customHeight="1" x14ac:dyDescent="0.3">
      <c r="A1199" t="s">
        <v>10470</v>
      </c>
      <c r="B1199">
        <f>I424</f>
        <v>305</v>
      </c>
      <c r="E1199" t="s">
        <v>1102</v>
      </c>
      <c r="F1199" s="49">
        <v>55</v>
      </c>
      <c r="I1199" s="5"/>
      <c r="J1199" s="5"/>
    </row>
    <row r="1200" spans="1:10" ht="15" customHeight="1" x14ac:dyDescent="0.3">
      <c r="A1200" t="s">
        <v>10471</v>
      </c>
      <c r="B1200">
        <f t="shared" ref="B1200:B1205" si="1104">I424</f>
        <v>305</v>
      </c>
      <c r="E1200" t="s">
        <v>1103</v>
      </c>
      <c r="F1200" s="49">
        <v>45</v>
      </c>
      <c r="I1200" s="5"/>
      <c r="J1200" s="5"/>
    </row>
    <row r="1201" spans="1:10" ht="15" customHeight="1" x14ac:dyDescent="0.3">
      <c r="A1201" t="s">
        <v>13609</v>
      </c>
      <c r="B1201">
        <f t="shared" si="1104"/>
        <v>325</v>
      </c>
      <c r="E1201" t="s">
        <v>1104</v>
      </c>
      <c r="F1201" s="49">
        <v>65</v>
      </c>
      <c r="I1201" s="5"/>
      <c r="J1201" s="5"/>
    </row>
    <row r="1202" spans="1:10" ht="15" customHeight="1" x14ac:dyDescent="0.3">
      <c r="A1202" t="s">
        <v>13419</v>
      </c>
      <c r="B1202">
        <f t="shared" si="1104"/>
        <v>430</v>
      </c>
      <c r="E1202" t="s">
        <v>1105</v>
      </c>
      <c r="F1202" s="49">
        <v>70</v>
      </c>
      <c r="I1202" s="5"/>
      <c r="J1202" s="5"/>
    </row>
    <row r="1203" spans="1:10" ht="15" customHeight="1" x14ac:dyDescent="0.3">
      <c r="A1203" t="s">
        <v>10472</v>
      </c>
      <c r="B1203">
        <f t="shared" si="1104"/>
        <v>150</v>
      </c>
      <c r="E1203" t="s">
        <v>1106</v>
      </c>
      <c r="F1203" s="49">
        <v>45</v>
      </c>
      <c r="I1203" s="5"/>
      <c r="J1203" s="5"/>
    </row>
    <row r="1204" spans="1:10" ht="15" customHeight="1" x14ac:dyDescent="0.3">
      <c r="A1204" t="s">
        <v>13610</v>
      </c>
      <c r="B1204">
        <f t="shared" si="1104"/>
        <v>200</v>
      </c>
      <c r="E1204" t="s">
        <v>1107</v>
      </c>
      <c r="F1204" s="49">
        <v>45</v>
      </c>
      <c r="I1204" s="5"/>
      <c r="J1204" s="5"/>
    </row>
    <row r="1205" spans="1:10" ht="15" customHeight="1" x14ac:dyDescent="0.3">
      <c r="A1205" t="s">
        <v>10473</v>
      </c>
      <c r="B1205">
        <f t="shared" si="1104"/>
        <v>535</v>
      </c>
      <c r="E1205" t="s">
        <v>1108</v>
      </c>
      <c r="F1205" s="49">
        <v>55</v>
      </c>
      <c r="I1205" s="5"/>
      <c r="J1205" s="5"/>
    </row>
    <row r="1206" spans="1:10" ht="15" customHeight="1" x14ac:dyDescent="0.3">
      <c r="A1206" t="s">
        <v>10474</v>
      </c>
      <c r="B1206">
        <f>I429</f>
        <v>535</v>
      </c>
      <c r="E1206" t="s">
        <v>13151</v>
      </c>
      <c r="F1206" s="49">
        <v>55</v>
      </c>
      <c r="I1206" s="5"/>
      <c r="J1206" s="5"/>
    </row>
    <row r="1207" spans="1:10" ht="15" customHeight="1" x14ac:dyDescent="0.3">
      <c r="A1207" t="s">
        <v>10475</v>
      </c>
      <c r="B1207">
        <f>I429</f>
        <v>535</v>
      </c>
      <c r="E1207" t="s">
        <v>1109</v>
      </c>
      <c r="F1207" s="49">
        <v>55</v>
      </c>
      <c r="I1207" s="5"/>
      <c r="J1207" s="5"/>
    </row>
    <row r="1208" spans="1:10" ht="15" customHeight="1" x14ac:dyDescent="0.3">
      <c r="A1208" t="s">
        <v>13611</v>
      </c>
      <c r="B1208">
        <f>I430</f>
        <v>555</v>
      </c>
      <c r="E1208" t="s">
        <v>1110</v>
      </c>
      <c r="F1208" s="49">
        <v>55</v>
      </c>
      <c r="I1208" s="5"/>
      <c r="J1208" s="5"/>
    </row>
    <row r="1209" spans="1:10" ht="15" customHeight="1" x14ac:dyDescent="0.3">
      <c r="A1209" t="s">
        <v>10476</v>
      </c>
      <c r="B1209">
        <f>I431</f>
        <v>160</v>
      </c>
      <c r="E1209" t="s">
        <v>1111</v>
      </c>
      <c r="F1209" s="49">
        <v>55</v>
      </c>
      <c r="I1209" s="5"/>
      <c r="J1209" s="5"/>
    </row>
    <row r="1210" spans="1:10" ht="15" customHeight="1" x14ac:dyDescent="0.3">
      <c r="A1210" t="s">
        <v>13612</v>
      </c>
      <c r="B1210">
        <f>I432</f>
        <v>220</v>
      </c>
      <c r="E1210" t="s">
        <v>1112</v>
      </c>
      <c r="F1210" s="49">
        <v>70</v>
      </c>
      <c r="I1210" s="5"/>
      <c r="J1210" s="5"/>
    </row>
    <row r="1211" spans="1:10" ht="15" customHeight="1" x14ac:dyDescent="0.3">
      <c r="A1211" t="s">
        <v>10477</v>
      </c>
      <c r="B1211">
        <f>I433</f>
        <v>470</v>
      </c>
      <c r="E1211" t="s">
        <v>1113</v>
      </c>
      <c r="F1211" s="49">
        <v>55</v>
      </c>
      <c r="I1211" s="5"/>
      <c r="J1211" s="5"/>
    </row>
    <row r="1212" spans="1:10" ht="15" customHeight="1" x14ac:dyDescent="0.3">
      <c r="A1212" t="s">
        <v>10478</v>
      </c>
      <c r="B1212">
        <f>I433</f>
        <v>470</v>
      </c>
      <c r="E1212" t="s">
        <v>1114</v>
      </c>
      <c r="F1212" s="49">
        <v>65</v>
      </c>
      <c r="I1212" s="5"/>
      <c r="J1212" s="5"/>
    </row>
    <row r="1213" spans="1:10" ht="15" customHeight="1" x14ac:dyDescent="0.3">
      <c r="A1213" t="s">
        <v>10479</v>
      </c>
      <c r="B1213">
        <f>I433</f>
        <v>470</v>
      </c>
      <c r="E1213" t="s">
        <v>1115</v>
      </c>
      <c r="F1213" s="49">
        <v>45</v>
      </c>
      <c r="I1213" s="5"/>
      <c r="J1213" s="5"/>
    </row>
    <row r="1214" spans="1:10" ht="15" customHeight="1" x14ac:dyDescent="0.3">
      <c r="A1214" t="s">
        <v>13613</v>
      </c>
      <c r="B1214">
        <f>I434</f>
        <v>495</v>
      </c>
      <c r="E1214" t="s">
        <v>1116</v>
      </c>
      <c r="F1214" s="49">
        <v>70</v>
      </c>
      <c r="I1214" s="5"/>
      <c r="J1214" s="5"/>
    </row>
    <row r="1215" spans="1:10" ht="15" customHeight="1" x14ac:dyDescent="0.3">
      <c r="A1215" t="s">
        <v>13339</v>
      </c>
      <c r="B1215">
        <f>B1214</f>
        <v>495</v>
      </c>
      <c r="E1215" t="s">
        <v>1117</v>
      </c>
      <c r="F1215" s="49">
        <v>55</v>
      </c>
      <c r="I1215" s="5"/>
      <c r="J1215" s="5"/>
    </row>
    <row r="1216" spans="1:10" ht="15" customHeight="1" x14ac:dyDescent="0.3">
      <c r="A1216" s="109" t="s">
        <v>13614</v>
      </c>
      <c r="B1216">
        <f>I435</f>
        <v>110</v>
      </c>
      <c r="E1216" t="s">
        <v>1118</v>
      </c>
      <c r="F1216" s="49">
        <v>70</v>
      </c>
      <c r="I1216" s="5"/>
      <c r="J1216" s="5"/>
    </row>
    <row r="1217" spans="1:10" ht="15" customHeight="1" x14ac:dyDescent="0.3">
      <c r="A1217" t="s">
        <v>10480</v>
      </c>
      <c r="B1217">
        <f>I436</f>
        <v>185</v>
      </c>
      <c r="E1217" t="s">
        <v>1119</v>
      </c>
      <c r="F1217" s="49">
        <v>55</v>
      </c>
      <c r="I1217" s="5"/>
      <c r="J1217" s="5"/>
    </row>
    <row r="1218" spans="1:10" ht="15" customHeight="1" x14ac:dyDescent="0.3">
      <c r="A1218" t="s">
        <v>13615</v>
      </c>
      <c r="B1218">
        <f>I437</f>
        <v>190</v>
      </c>
      <c r="E1218" t="s">
        <v>1120</v>
      </c>
      <c r="F1218" s="49">
        <v>70</v>
      </c>
      <c r="I1218" s="5"/>
      <c r="J1218" s="5"/>
    </row>
    <row r="1219" spans="1:10" ht="15" customHeight="1" x14ac:dyDescent="0.3">
      <c r="A1219" t="s">
        <v>10481</v>
      </c>
      <c r="B1219">
        <f>I438</f>
        <v>555</v>
      </c>
      <c r="E1219" t="s">
        <v>1121</v>
      </c>
      <c r="F1219" s="49">
        <v>50</v>
      </c>
      <c r="I1219" s="5"/>
      <c r="J1219" s="5"/>
    </row>
    <row r="1220" spans="1:10" ht="15" customHeight="1" x14ac:dyDescent="0.3">
      <c r="A1220" t="s">
        <v>10482</v>
      </c>
      <c r="B1220">
        <f>I438</f>
        <v>555</v>
      </c>
      <c r="E1220" t="s">
        <v>1122</v>
      </c>
      <c r="F1220" s="49">
        <v>55</v>
      </c>
      <c r="I1220" s="5"/>
      <c r="J1220" s="5"/>
    </row>
    <row r="1221" spans="1:10" ht="15" customHeight="1" x14ac:dyDescent="0.3">
      <c r="A1221" t="s">
        <v>10483</v>
      </c>
      <c r="B1221">
        <f>I438</f>
        <v>555</v>
      </c>
      <c r="E1221" t="s">
        <v>1123</v>
      </c>
      <c r="F1221" s="49">
        <v>55</v>
      </c>
      <c r="I1221" s="5"/>
      <c r="J1221" s="5"/>
    </row>
    <row r="1222" spans="1:10" ht="15" customHeight="1" x14ac:dyDescent="0.3">
      <c r="A1222" t="s">
        <v>13616</v>
      </c>
      <c r="B1222">
        <f>I439</f>
        <v>575</v>
      </c>
      <c r="E1222" t="s">
        <v>3631</v>
      </c>
      <c r="F1222" s="49">
        <v>55</v>
      </c>
      <c r="I1222" s="5"/>
      <c r="J1222" s="5"/>
    </row>
    <row r="1223" spans="1:10" ht="15" customHeight="1" x14ac:dyDescent="0.3">
      <c r="A1223" t="s">
        <v>10491</v>
      </c>
      <c r="B1223">
        <f>I440</f>
        <v>170</v>
      </c>
      <c r="E1223" t="s">
        <v>13149</v>
      </c>
      <c r="F1223" s="49">
        <v>55</v>
      </c>
      <c r="I1223" s="5"/>
      <c r="J1223" s="5"/>
    </row>
    <row r="1224" spans="1:10" ht="15" customHeight="1" x14ac:dyDescent="0.3">
      <c r="A1224" t="s">
        <v>13617</v>
      </c>
      <c r="B1224">
        <f>I441</f>
        <v>240</v>
      </c>
      <c r="E1224" t="s">
        <v>1124</v>
      </c>
      <c r="F1224" s="49">
        <v>55</v>
      </c>
      <c r="I1224" s="5"/>
      <c r="J1224" s="5"/>
    </row>
    <row r="1225" spans="1:10" ht="15" customHeight="1" x14ac:dyDescent="0.3">
      <c r="A1225" t="s">
        <v>10484</v>
      </c>
      <c r="B1225">
        <f>I442</f>
        <v>560</v>
      </c>
      <c r="E1225" t="s">
        <v>1125</v>
      </c>
      <c r="F1225" s="49">
        <v>55</v>
      </c>
      <c r="I1225" s="5"/>
      <c r="J1225" s="5"/>
    </row>
    <row r="1226" spans="1:10" ht="15" customHeight="1" x14ac:dyDescent="0.3">
      <c r="A1226" t="s">
        <v>10485</v>
      </c>
      <c r="B1226">
        <f>I442</f>
        <v>560</v>
      </c>
      <c r="E1226" t="s">
        <v>1126</v>
      </c>
      <c r="F1226" s="49">
        <v>80</v>
      </c>
      <c r="I1226" s="5"/>
      <c r="J1226" s="5"/>
    </row>
    <row r="1227" spans="1:10" ht="15" customHeight="1" x14ac:dyDescent="0.3">
      <c r="A1227" t="s">
        <v>10486</v>
      </c>
      <c r="B1227">
        <f>I442</f>
        <v>560</v>
      </c>
      <c r="E1227" t="s">
        <v>1127</v>
      </c>
      <c r="F1227" s="49">
        <v>55</v>
      </c>
      <c r="I1227" s="5"/>
      <c r="J1227" s="5"/>
    </row>
    <row r="1228" spans="1:10" ht="15" customHeight="1" x14ac:dyDescent="0.3">
      <c r="A1228" t="s">
        <v>13618</v>
      </c>
      <c r="B1228">
        <f>I443</f>
        <v>590</v>
      </c>
      <c r="E1228" t="s">
        <v>1128</v>
      </c>
      <c r="F1228" s="49">
        <v>70</v>
      </c>
      <c r="I1228" s="5"/>
      <c r="J1228" s="5"/>
    </row>
    <row r="1229" spans="1:10" ht="15" customHeight="1" x14ac:dyDescent="0.3">
      <c r="A1229" t="s">
        <v>10487</v>
      </c>
      <c r="B1229">
        <f>I444</f>
        <v>190</v>
      </c>
      <c r="E1229" t="s">
        <v>1129</v>
      </c>
      <c r="F1229" s="49">
        <v>55</v>
      </c>
      <c r="I1229" s="5"/>
      <c r="J1229" s="5"/>
    </row>
    <row r="1230" spans="1:10" ht="15" customHeight="1" x14ac:dyDescent="0.3">
      <c r="A1230" t="s">
        <v>13619</v>
      </c>
      <c r="B1230">
        <f>I445</f>
        <v>260</v>
      </c>
      <c r="E1230" t="s">
        <v>1130</v>
      </c>
      <c r="F1230" s="49">
        <v>60</v>
      </c>
      <c r="I1230" s="5"/>
      <c r="J1230" s="5"/>
    </row>
    <row r="1231" spans="1:10" ht="15" customHeight="1" x14ac:dyDescent="0.3">
      <c r="A1231" t="s">
        <v>10488</v>
      </c>
      <c r="B1231">
        <f>I446</f>
        <v>555</v>
      </c>
      <c r="E1231" t="s">
        <v>1131</v>
      </c>
      <c r="F1231" s="49">
        <v>55</v>
      </c>
      <c r="I1231" s="5"/>
      <c r="J1231" s="5"/>
    </row>
    <row r="1232" spans="1:10" ht="15" customHeight="1" x14ac:dyDescent="0.3">
      <c r="A1232" t="s">
        <v>10489</v>
      </c>
      <c r="B1232">
        <f>B1231</f>
        <v>555</v>
      </c>
      <c r="E1232" t="s">
        <v>1132</v>
      </c>
      <c r="F1232" s="49">
        <v>55</v>
      </c>
      <c r="I1232" s="5"/>
      <c r="J1232" s="5"/>
    </row>
    <row r="1233" spans="1:10" ht="15" customHeight="1" x14ac:dyDescent="0.3">
      <c r="A1233" t="s">
        <v>10490</v>
      </c>
      <c r="B1233">
        <f>B1231</f>
        <v>555</v>
      </c>
      <c r="E1233" t="s">
        <v>1133</v>
      </c>
      <c r="F1233" s="49">
        <v>55</v>
      </c>
      <c r="I1233" s="5"/>
      <c r="J1233" s="5"/>
    </row>
    <row r="1234" spans="1:10" ht="15" customHeight="1" x14ac:dyDescent="0.3">
      <c r="A1234" t="s">
        <v>13620</v>
      </c>
      <c r="B1234">
        <f>I447</f>
        <v>575</v>
      </c>
      <c r="E1234" t="s">
        <v>1134</v>
      </c>
      <c r="F1234" s="49">
        <v>55</v>
      </c>
      <c r="I1234" s="5"/>
      <c r="J1234" s="5"/>
    </row>
    <row r="1235" spans="1:10" ht="15" customHeight="1" x14ac:dyDescent="0.3">
      <c r="A1235" t="s">
        <v>13420</v>
      </c>
      <c r="B1235">
        <f>I448</f>
        <v>795</v>
      </c>
      <c r="E1235" t="s">
        <v>3633</v>
      </c>
      <c r="F1235" s="49">
        <v>35</v>
      </c>
      <c r="I1235" s="5"/>
      <c r="J1235" s="5"/>
    </row>
    <row r="1236" spans="1:10" ht="15" customHeight="1" x14ac:dyDescent="0.3">
      <c r="A1236" t="s">
        <v>12341</v>
      </c>
      <c r="B1236">
        <f>I449</f>
        <v>320</v>
      </c>
      <c r="E1236" t="s">
        <v>13147</v>
      </c>
      <c r="F1236" s="49">
        <v>55</v>
      </c>
      <c r="I1236" s="5"/>
      <c r="J1236" s="5"/>
    </row>
    <row r="1237" spans="1:10" ht="15" customHeight="1" x14ac:dyDescent="0.3">
      <c r="A1237" t="s">
        <v>13621</v>
      </c>
      <c r="B1237">
        <f>I450</f>
        <v>340</v>
      </c>
      <c r="E1237" t="s">
        <v>3629</v>
      </c>
      <c r="F1237" s="49">
        <v>50</v>
      </c>
      <c r="I1237" s="5"/>
      <c r="J1237" s="5"/>
    </row>
    <row r="1238" spans="1:10" ht="15" customHeight="1" x14ac:dyDescent="0.3">
      <c r="A1238" t="s">
        <v>12342</v>
      </c>
      <c r="B1238">
        <f>I451</f>
        <v>615</v>
      </c>
      <c r="E1238" t="s">
        <v>3601</v>
      </c>
      <c r="F1238" s="49">
        <v>50</v>
      </c>
      <c r="I1238" s="5"/>
      <c r="J1238" s="5"/>
    </row>
    <row r="1239" spans="1:10" ht="15" customHeight="1" x14ac:dyDescent="0.3">
      <c r="A1239" t="s">
        <v>12343</v>
      </c>
      <c r="B1239">
        <f>I451</f>
        <v>615</v>
      </c>
      <c r="E1239" t="s">
        <v>3628</v>
      </c>
      <c r="F1239" s="49">
        <v>55</v>
      </c>
      <c r="I1239" s="5"/>
      <c r="J1239" s="5"/>
    </row>
    <row r="1240" spans="1:10" ht="15" customHeight="1" x14ac:dyDescent="0.3">
      <c r="A1240" t="s">
        <v>13622</v>
      </c>
      <c r="B1240">
        <f>I452</f>
        <v>635</v>
      </c>
      <c r="E1240" t="s">
        <v>3627</v>
      </c>
      <c r="F1240" s="49">
        <v>55</v>
      </c>
      <c r="I1240" s="5"/>
      <c r="J1240" s="5"/>
    </row>
    <row r="1241" spans="1:10" ht="15" customHeight="1" x14ac:dyDescent="0.3">
      <c r="A1241" t="s">
        <v>12344</v>
      </c>
      <c r="B1241">
        <f>I453</f>
        <v>370</v>
      </c>
      <c r="E1241" t="s">
        <v>3626</v>
      </c>
      <c r="F1241" s="49">
        <v>55</v>
      </c>
      <c r="I1241" s="5"/>
      <c r="J1241" s="5"/>
    </row>
    <row r="1242" spans="1:10" ht="15" customHeight="1" x14ac:dyDescent="0.3">
      <c r="A1242" t="s">
        <v>13623</v>
      </c>
      <c r="B1242">
        <f>I454</f>
        <v>520</v>
      </c>
      <c r="E1242" t="s">
        <v>13148</v>
      </c>
      <c r="F1242" s="49">
        <v>55</v>
      </c>
      <c r="I1242" s="5"/>
      <c r="J1242" s="5"/>
    </row>
    <row r="1243" spans="1:10" ht="15" customHeight="1" x14ac:dyDescent="0.3">
      <c r="A1243" t="s">
        <v>12339</v>
      </c>
      <c r="B1243">
        <f>I455</f>
        <v>640</v>
      </c>
      <c r="E1243" t="s">
        <v>3634</v>
      </c>
      <c r="F1243" s="49">
        <v>55</v>
      </c>
      <c r="I1243" s="5"/>
      <c r="J1243" s="5"/>
    </row>
    <row r="1244" spans="1:10" ht="15" customHeight="1" x14ac:dyDescent="0.3">
      <c r="A1244" t="s">
        <v>12340</v>
      </c>
      <c r="B1244">
        <f>I455</f>
        <v>640</v>
      </c>
      <c r="E1244" t="s">
        <v>3635</v>
      </c>
      <c r="F1244" s="49">
        <v>55</v>
      </c>
      <c r="I1244" s="5"/>
      <c r="J1244" s="5"/>
    </row>
    <row r="1245" spans="1:10" ht="15" customHeight="1" x14ac:dyDescent="0.3">
      <c r="A1245" t="s">
        <v>13624</v>
      </c>
      <c r="B1245">
        <f>I456</f>
        <v>670</v>
      </c>
      <c r="E1245" t="s">
        <v>1135</v>
      </c>
      <c r="F1245" s="49">
        <v>70</v>
      </c>
      <c r="I1245" s="5"/>
      <c r="J1245" s="5"/>
    </row>
    <row r="1246" spans="1:10" ht="15" customHeight="1" x14ac:dyDescent="0.3">
      <c r="A1246" t="s">
        <v>12345</v>
      </c>
      <c r="B1246">
        <f>I457</f>
        <v>370</v>
      </c>
      <c r="E1246" t="s">
        <v>1136</v>
      </c>
      <c r="F1246" s="49">
        <v>55</v>
      </c>
      <c r="I1246" s="5"/>
      <c r="J1246" s="5"/>
    </row>
    <row r="1247" spans="1:10" ht="15" customHeight="1" x14ac:dyDescent="0.3">
      <c r="A1247" t="s">
        <v>13625</v>
      </c>
      <c r="B1247">
        <f>I458</f>
        <v>620</v>
      </c>
      <c r="E1247" t="s">
        <v>1137</v>
      </c>
      <c r="F1247" s="49">
        <v>50</v>
      </c>
      <c r="I1247" s="5"/>
      <c r="J1247" s="5"/>
    </row>
    <row r="1248" spans="1:10" ht="15" customHeight="1" x14ac:dyDescent="0.3">
      <c r="A1248" t="s">
        <v>12346</v>
      </c>
      <c r="B1248">
        <f>I459</f>
        <v>720</v>
      </c>
      <c r="E1248" t="s">
        <v>1138</v>
      </c>
      <c r="F1248" s="49">
        <v>55</v>
      </c>
      <c r="I1248" s="5"/>
      <c r="J1248" s="5"/>
    </row>
    <row r="1249" spans="1:10" ht="15" customHeight="1" x14ac:dyDescent="0.3">
      <c r="A1249" t="s">
        <v>12347</v>
      </c>
      <c r="B1249">
        <f>B1248</f>
        <v>720</v>
      </c>
      <c r="E1249" t="s">
        <v>1139</v>
      </c>
      <c r="F1249" s="49">
        <v>75</v>
      </c>
      <c r="I1249" s="5"/>
      <c r="J1249" s="5"/>
    </row>
    <row r="1250" spans="1:10" ht="15" customHeight="1" x14ac:dyDescent="0.3">
      <c r="A1250" t="s">
        <v>13626</v>
      </c>
      <c r="B1250">
        <f>I460</f>
        <v>780</v>
      </c>
      <c r="E1250" t="s">
        <v>1140</v>
      </c>
      <c r="F1250" s="49">
        <v>75</v>
      </c>
      <c r="I1250" s="5"/>
      <c r="J1250" s="5"/>
    </row>
    <row r="1251" spans="1:10" ht="15" customHeight="1" x14ac:dyDescent="0.3">
      <c r="A1251" t="s">
        <v>13341</v>
      </c>
      <c r="B1251">
        <f>I461</f>
        <v>740</v>
      </c>
      <c r="E1251" t="s">
        <v>1141</v>
      </c>
      <c r="F1251" s="49">
        <v>55</v>
      </c>
      <c r="I1251" s="5"/>
      <c r="J1251" s="5"/>
    </row>
    <row r="1252" spans="1:10" ht="15" customHeight="1" x14ac:dyDescent="0.3">
      <c r="A1252" t="s">
        <v>13342</v>
      </c>
      <c r="B1252">
        <f>B1251</f>
        <v>740</v>
      </c>
      <c r="E1252" t="s">
        <v>1142</v>
      </c>
      <c r="F1252" s="49">
        <v>55</v>
      </c>
      <c r="I1252" s="5"/>
      <c r="J1252" s="5"/>
    </row>
    <row r="1253" spans="1:10" ht="15" customHeight="1" x14ac:dyDescent="0.3">
      <c r="A1253" t="s">
        <v>13627</v>
      </c>
      <c r="B1253">
        <f t="shared" ref="B1253:B1258" si="1105">I462</f>
        <v>770</v>
      </c>
      <c r="E1253" t="s">
        <v>12386</v>
      </c>
      <c r="F1253" s="49">
        <v>55</v>
      </c>
      <c r="I1253" s="5"/>
      <c r="J1253" s="5"/>
    </row>
    <row r="1254" spans="1:10" ht="15" customHeight="1" x14ac:dyDescent="0.3">
      <c r="A1254" t="s">
        <v>13403</v>
      </c>
      <c r="B1254">
        <f t="shared" si="1105"/>
        <v>640</v>
      </c>
      <c r="E1254" t="s">
        <v>12385</v>
      </c>
      <c r="F1254" s="49">
        <v>55</v>
      </c>
      <c r="I1254" s="5"/>
      <c r="J1254" s="5"/>
    </row>
    <row r="1255" spans="1:10" ht="15" customHeight="1" x14ac:dyDescent="0.3">
      <c r="A1255" t="s">
        <v>13404</v>
      </c>
      <c r="B1255">
        <f t="shared" si="1105"/>
        <v>820</v>
      </c>
      <c r="E1255" t="s">
        <v>1143</v>
      </c>
      <c r="F1255" s="49">
        <v>75</v>
      </c>
      <c r="I1255" s="5"/>
      <c r="J1255" s="5"/>
    </row>
    <row r="1256" spans="1:10" ht="15" customHeight="1" x14ac:dyDescent="0.3">
      <c r="A1256" t="s">
        <v>13628</v>
      </c>
      <c r="B1256">
        <f t="shared" si="1105"/>
        <v>850</v>
      </c>
      <c r="E1256" t="s">
        <v>1144</v>
      </c>
      <c r="F1256" s="49">
        <v>55</v>
      </c>
      <c r="I1256" s="5"/>
      <c r="J1256" s="5"/>
    </row>
    <row r="1257" spans="1:10" ht="15" customHeight="1" x14ac:dyDescent="0.3">
      <c r="A1257" t="s">
        <v>13343</v>
      </c>
      <c r="B1257">
        <f t="shared" si="1105"/>
        <v>820</v>
      </c>
      <c r="E1257" t="s">
        <v>1145</v>
      </c>
      <c r="F1257" s="49">
        <v>50</v>
      </c>
      <c r="I1257" s="5"/>
      <c r="J1257" s="5"/>
    </row>
    <row r="1258" spans="1:10" ht="15" customHeight="1" x14ac:dyDescent="0.3">
      <c r="A1258" t="s">
        <v>13344</v>
      </c>
      <c r="B1258">
        <f t="shared" si="1105"/>
        <v>1020</v>
      </c>
      <c r="E1258" t="s">
        <v>11488</v>
      </c>
      <c r="F1258" s="49">
        <v>50</v>
      </c>
      <c r="I1258" s="5"/>
      <c r="J1258" s="5"/>
    </row>
    <row r="1259" spans="1:10" ht="15" customHeight="1" x14ac:dyDescent="0.3">
      <c r="A1259" t="s">
        <v>13345</v>
      </c>
      <c r="B1259">
        <f>B1258</f>
        <v>1020</v>
      </c>
      <c r="E1259" t="s">
        <v>1146</v>
      </c>
      <c r="F1259" s="49">
        <v>55</v>
      </c>
      <c r="I1259" s="5"/>
      <c r="J1259" s="5"/>
    </row>
    <row r="1260" spans="1:10" ht="15" customHeight="1" x14ac:dyDescent="0.3">
      <c r="A1260" t="s">
        <v>13629</v>
      </c>
      <c r="B1260">
        <f>I468</f>
        <v>1050</v>
      </c>
      <c r="E1260" t="s">
        <v>1147</v>
      </c>
      <c r="F1260" s="49">
        <v>75</v>
      </c>
      <c r="I1260" s="5"/>
      <c r="J1260" s="5"/>
    </row>
    <row r="1261" spans="1:10" ht="15" customHeight="1" x14ac:dyDescent="0.3">
      <c r="A1261" t="s">
        <v>402</v>
      </c>
      <c r="B1261">
        <f>I370</f>
        <v>70</v>
      </c>
      <c r="E1261" t="s">
        <v>10960</v>
      </c>
      <c r="F1261" s="49">
        <v>55</v>
      </c>
      <c r="I1261" s="5"/>
      <c r="J1261" s="5"/>
    </row>
    <row r="1262" spans="1:10" ht="15" customHeight="1" x14ac:dyDescent="0.3">
      <c r="A1262" t="s">
        <v>404</v>
      </c>
      <c r="B1262">
        <f>I373</f>
        <v>75</v>
      </c>
      <c r="E1262" t="s">
        <v>1148</v>
      </c>
      <c r="F1262" s="49">
        <v>55</v>
      </c>
      <c r="I1262" s="5"/>
      <c r="J1262" s="5"/>
    </row>
    <row r="1263" spans="1:10" ht="15" customHeight="1" x14ac:dyDescent="0.3">
      <c r="A1263" t="s">
        <v>407</v>
      </c>
      <c r="B1263">
        <f>I375</f>
        <v>75</v>
      </c>
      <c r="E1263" t="s">
        <v>1149</v>
      </c>
      <c r="F1263" s="49">
        <v>55</v>
      </c>
      <c r="I1263" s="5"/>
      <c r="J1263" s="5"/>
    </row>
    <row r="1264" spans="1:10" ht="15" customHeight="1" x14ac:dyDescent="0.3">
      <c r="A1264" t="s">
        <v>409</v>
      </c>
      <c r="B1264">
        <f>I377</f>
        <v>75</v>
      </c>
      <c r="E1264" t="s">
        <v>1150</v>
      </c>
      <c r="F1264" s="49">
        <v>55</v>
      </c>
      <c r="I1264" s="5"/>
      <c r="J1264" s="5"/>
    </row>
    <row r="1265" spans="1:10" ht="15" customHeight="1" x14ac:dyDescent="0.3">
      <c r="A1265" t="s">
        <v>411</v>
      </c>
      <c r="B1265">
        <f>I379</f>
        <v>80</v>
      </c>
      <c r="E1265" t="s">
        <v>1151</v>
      </c>
      <c r="F1265" s="49">
        <v>55</v>
      </c>
      <c r="I1265" s="5"/>
      <c r="J1265" s="5"/>
    </row>
    <row r="1266" spans="1:10" ht="15" customHeight="1" x14ac:dyDescent="0.3">
      <c r="A1266" t="s">
        <v>10306</v>
      </c>
      <c r="B1266">
        <f>I381</f>
        <v>80</v>
      </c>
      <c r="E1266" t="s">
        <v>12303</v>
      </c>
      <c r="F1266" s="49">
        <v>60</v>
      </c>
      <c r="I1266" s="5"/>
      <c r="J1266" s="5"/>
    </row>
    <row r="1267" spans="1:10" ht="15" customHeight="1" x14ac:dyDescent="0.3">
      <c r="A1267" t="s">
        <v>413</v>
      </c>
      <c r="B1267">
        <f>I383</f>
        <v>85</v>
      </c>
      <c r="E1267" t="s">
        <v>1152</v>
      </c>
      <c r="F1267" s="49">
        <v>55</v>
      </c>
      <c r="I1267" s="5"/>
      <c r="J1267" s="5"/>
    </row>
    <row r="1268" spans="1:10" ht="15" customHeight="1" x14ac:dyDescent="0.3">
      <c r="A1268" t="s">
        <v>11103</v>
      </c>
      <c r="B1268">
        <f>I393</f>
        <v>110</v>
      </c>
      <c r="C1268" t="s">
        <v>12782</v>
      </c>
      <c r="E1268" t="s">
        <v>12694</v>
      </c>
      <c r="F1268" s="49">
        <v>60</v>
      </c>
      <c r="I1268" s="5"/>
      <c r="J1268" s="5"/>
    </row>
    <row r="1269" spans="1:10" ht="15" customHeight="1" x14ac:dyDescent="0.3">
      <c r="A1269" t="s">
        <v>3370</v>
      </c>
      <c r="B1269">
        <f>I393</f>
        <v>110</v>
      </c>
      <c r="C1269" t="s">
        <v>12782</v>
      </c>
      <c r="E1269" t="s">
        <v>1153</v>
      </c>
      <c r="F1269" s="49">
        <v>55</v>
      </c>
      <c r="I1269" s="5"/>
      <c r="J1269" s="5"/>
    </row>
    <row r="1270" spans="1:10" ht="15" customHeight="1" x14ac:dyDescent="0.3">
      <c r="A1270" t="s">
        <v>1908</v>
      </c>
      <c r="B1270">
        <f>I473</f>
        <v>75</v>
      </c>
      <c r="C1270" t="s">
        <v>12921</v>
      </c>
      <c r="E1270" t="s">
        <v>1154</v>
      </c>
      <c r="F1270" s="49">
        <v>60</v>
      </c>
      <c r="I1270" s="5"/>
      <c r="J1270" s="5"/>
    </row>
    <row r="1271" spans="1:10" ht="15" customHeight="1" x14ac:dyDescent="0.3">
      <c r="A1271" t="s">
        <v>2364</v>
      </c>
      <c r="B1271">
        <f>I474</f>
        <v>85</v>
      </c>
      <c r="C1271" t="s">
        <v>12922</v>
      </c>
      <c r="E1271" t="s">
        <v>1155</v>
      </c>
      <c r="F1271" s="49">
        <v>60</v>
      </c>
      <c r="I1271" s="5"/>
      <c r="J1271" s="5"/>
    </row>
    <row r="1272" spans="1:10" ht="15" customHeight="1" x14ac:dyDescent="0.3">
      <c r="A1272" t="s">
        <v>2526</v>
      </c>
      <c r="B1272">
        <f>I474</f>
        <v>85</v>
      </c>
      <c r="C1272" t="s">
        <v>12922</v>
      </c>
      <c r="E1272" t="s">
        <v>1156</v>
      </c>
      <c r="F1272" s="49">
        <v>55</v>
      </c>
      <c r="I1272" s="5"/>
      <c r="J1272" s="5"/>
    </row>
    <row r="1273" spans="1:10" ht="15" customHeight="1" x14ac:dyDescent="0.3">
      <c r="A1273" t="s">
        <v>11879</v>
      </c>
      <c r="B1273">
        <f>I475</f>
        <v>95</v>
      </c>
      <c r="E1273" t="s">
        <v>1157</v>
      </c>
      <c r="F1273" s="49">
        <v>55</v>
      </c>
      <c r="I1273" s="5"/>
      <c r="J1273" s="5"/>
    </row>
    <row r="1274" spans="1:10" ht="15" customHeight="1" x14ac:dyDescent="0.3">
      <c r="A1274" t="s">
        <v>11880</v>
      </c>
      <c r="B1274">
        <f>I475</f>
        <v>95</v>
      </c>
      <c r="E1274" t="s">
        <v>1158</v>
      </c>
      <c r="F1274" s="49">
        <v>60</v>
      </c>
      <c r="I1274" s="5"/>
      <c r="J1274" s="5"/>
    </row>
    <row r="1275" spans="1:10" ht="15" customHeight="1" x14ac:dyDescent="0.3">
      <c r="A1275" t="s">
        <v>2077</v>
      </c>
      <c r="B1275">
        <f>I476</f>
        <v>65</v>
      </c>
      <c r="C1275" t="s">
        <v>12919</v>
      </c>
      <c r="E1275" t="s">
        <v>1159</v>
      </c>
      <c r="F1275" s="49">
        <v>60</v>
      </c>
      <c r="I1275" s="5"/>
      <c r="J1275" s="5"/>
    </row>
    <row r="1276" spans="1:10" ht="15" customHeight="1" x14ac:dyDescent="0.3">
      <c r="A1276" t="s">
        <v>2076</v>
      </c>
      <c r="B1276">
        <f>I472</f>
        <v>65</v>
      </c>
      <c r="C1276" t="s">
        <v>12919</v>
      </c>
      <c r="E1276" t="s">
        <v>11085</v>
      </c>
      <c r="F1276" s="49">
        <v>75</v>
      </c>
      <c r="I1276" s="5"/>
      <c r="J1276" s="5"/>
    </row>
    <row r="1277" spans="1:10" ht="15" customHeight="1" x14ac:dyDescent="0.3">
      <c r="A1277" t="s">
        <v>1909</v>
      </c>
      <c r="B1277">
        <f>I477</f>
        <v>75</v>
      </c>
      <c r="C1277" t="s">
        <v>12921</v>
      </c>
      <c r="E1277" t="s">
        <v>1160</v>
      </c>
      <c r="F1277" s="49">
        <v>45</v>
      </c>
      <c r="I1277" s="5"/>
      <c r="J1277" s="5"/>
    </row>
    <row r="1278" spans="1:10" ht="15" customHeight="1" x14ac:dyDescent="0.3">
      <c r="A1278" t="s">
        <v>12924</v>
      </c>
      <c r="B1278">
        <f>I478</f>
        <v>85</v>
      </c>
      <c r="C1278" t="s">
        <v>12922</v>
      </c>
      <c r="E1278" t="s">
        <v>1161</v>
      </c>
      <c r="F1278" s="49">
        <v>40</v>
      </c>
      <c r="I1278" s="5"/>
      <c r="J1278" s="5"/>
    </row>
    <row r="1279" spans="1:10" ht="15" customHeight="1" x14ac:dyDescent="0.3">
      <c r="A1279" t="s">
        <v>12925</v>
      </c>
      <c r="B1279">
        <f>I478</f>
        <v>85</v>
      </c>
      <c r="C1279" t="s">
        <v>12922</v>
      </c>
      <c r="E1279" t="s">
        <v>1162</v>
      </c>
      <c r="F1279" s="49">
        <v>50</v>
      </c>
      <c r="I1279" s="5"/>
      <c r="J1279" s="5"/>
    </row>
    <row r="1280" spans="1:10" ht="15" customHeight="1" x14ac:dyDescent="0.3">
      <c r="A1280" t="s">
        <v>12926</v>
      </c>
      <c r="B1280">
        <f>I479</f>
        <v>95</v>
      </c>
      <c r="E1280" t="s">
        <v>1163</v>
      </c>
      <c r="F1280" s="49">
        <v>50</v>
      </c>
      <c r="I1280" s="5"/>
      <c r="J1280" s="5"/>
    </row>
    <row r="1281" spans="1:10" ht="15" customHeight="1" x14ac:dyDescent="0.3">
      <c r="A1281" t="s">
        <v>12927</v>
      </c>
      <c r="B1281">
        <f>I479</f>
        <v>95</v>
      </c>
      <c r="E1281" t="s">
        <v>1164</v>
      </c>
      <c r="F1281" s="49">
        <v>55</v>
      </c>
      <c r="I1281" s="5"/>
      <c r="J1281" s="5"/>
    </row>
    <row r="1282" spans="1:10" ht="15" customHeight="1" x14ac:dyDescent="0.3">
      <c r="A1282" t="s">
        <v>11063</v>
      </c>
      <c r="B1282">
        <f>I481</f>
        <v>75</v>
      </c>
      <c r="C1282" t="s">
        <v>12943</v>
      </c>
      <c r="E1282" t="s">
        <v>13270</v>
      </c>
      <c r="F1282" s="49">
        <v>55</v>
      </c>
      <c r="I1282" s="5"/>
      <c r="J1282" s="5"/>
    </row>
    <row r="1283" spans="1:10" ht="15" customHeight="1" x14ac:dyDescent="0.3">
      <c r="A1283" t="s">
        <v>11064</v>
      </c>
      <c r="B1283">
        <f>I481</f>
        <v>75</v>
      </c>
      <c r="C1283" t="s">
        <v>12943</v>
      </c>
      <c r="E1283" t="s">
        <v>10602</v>
      </c>
      <c r="F1283" s="49">
        <v>55</v>
      </c>
      <c r="I1283" s="5"/>
      <c r="J1283" s="5"/>
    </row>
    <row r="1284" spans="1:10" ht="15" customHeight="1" x14ac:dyDescent="0.3">
      <c r="A1284" t="s">
        <v>11065</v>
      </c>
      <c r="B1284">
        <f>I482</f>
        <v>85</v>
      </c>
      <c r="C1284" t="s">
        <v>12944</v>
      </c>
      <c r="E1284" t="s">
        <v>1165</v>
      </c>
      <c r="F1284" s="49">
        <v>55</v>
      </c>
      <c r="I1284" s="5"/>
      <c r="J1284" s="5"/>
    </row>
    <row r="1285" spans="1:10" ht="15" customHeight="1" x14ac:dyDescent="0.3">
      <c r="A1285" t="s">
        <v>11066</v>
      </c>
      <c r="B1285">
        <f>I482</f>
        <v>85</v>
      </c>
      <c r="C1285" t="s">
        <v>12944</v>
      </c>
      <c r="E1285" t="s">
        <v>1166</v>
      </c>
      <c r="F1285" s="49">
        <v>55</v>
      </c>
      <c r="I1285" s="5"/>
      <c r="J1285" s="5"/>
    </row>
    <row r="1286" spans="1:10" ht="15" customHeight="1" x14ac:dyDescent="0.3">
      <c r="A1286" t="s">
        <v>12060</v>
      </c>
      <c r="B1286">
        <f>I483</f>
        <v>95</v>
      </c>
      <c r="E1286" t="s">
        <v>1167</v>
      </c>
      <c r="F1286" s="49">
        <v>55</v>
      </c>
      <c r="I1286" s="5"/>
      <c r="J1286" s="5"/>
    </row>
    <row r="1287" spans="1:10" ht="15" customHeight="1" x14ac:dyDescent="0.3">
      <c r="A1287" t="s">
        <v>12061</v>
      </c>
      <c r="B1287">
        <f>I483</f>
        <v>95</v>
      </c>
      <c r="E1287" t="s">
        <v>1168</v>
      </c>
      <c r="F1287" s="49">
        <v>80</v>
      </c>
      <c r="I1287" s="5"/>
      <c r="J1287" s="5"/>
    </row>
    <row r="1288" spans="1:10" ht="15" customHeight="1" x14ac:dyDescent="0.3">
      <c r="A1288" t="s">
        <v>12062</v>
      </c>
      <c r="B1288">
        <f>I484</f>
        <v>105</v>
      </c>
      <c r="E1288" t="s">
        <v>1169</v>
      </c>
      <c r="F1288" s="49">
        <v>55</v>
      </c>
      <c r="I1288" s="5"/>
      <c r="J1288" s="5"/>
    </row>
    <row r="1289" spans="1:10" ht="15" customHeight="1" x14ac:dyDescent="0.3">
      <c r="A1289" t="s">
        <v>12063</v>
      </c>
      <c r="B1289">
        <f>I484</f>
        <v>105</v>
      </c>
      <c r="E1289" t="s">
        <v>1170</v>
      </c>
      <c r="F1289" s="49">
        <v>55</v>
      </c>
      <c r="I1289" s="5"/>
      <c r="J1289" s="5"/>
    </row>
    <row r="1290" spans="1:10" ht="15" customHeight="1" x14ac:dyDescent="0.3">
      <c r="A1290" t="s">
        <v>2078</v>
      </c>
      <c r="B1290">
        <f>I540</f>
        <v>60</v>
      </c>
      <c r="E1290" t="s">
        <v>1171</v>
      </c>
      <c r="F1290" s="49">
        <v>55</v>
      </c>
      <c r="I1290" s="5"/>
      <c r="J1290" s="5"/>
    </row>
    <row r="1291" spans="1:10" ht="15" customHeight="1" x14ac:dyDescent="0.3">
      <c r="A1291" t="s">
        <v>1910</v>
      </c>
      <c r="B1291">
        <f>I541</f>
        <v>65</v>
      </c>
      <c r="E1291" t="s">
        <v>1172</v>
      </c>
      <c r="F1291" s="49">
        <v>55</v>
      </c>
      <c r="I1291" s="5"/>
      <c r="J1291" s="5"/>
    </row>
    <row r="1292" spans="1:10" ht="15" customHeight="1" x14ac:dyDescent="0.3">
      <c r="A1292" t="s">
        <v>2365</v>
      </c>
      <c r="B1292">
        <f>I542</f>
        <v>80</v>
      </c>
      <c r="E1292" t="s">
        <v>1173</v>
      </c>
      <c r="F1292" s="49">
        <v>60</v>
      </c>
      <c r="I1292" s="5"/>
      <c r="J1292" s="5"/>
    </row>
    <row r="1293" spans="1:10" ht="15" customHeight="1" x14ac:dyDescent="0.3">
      <c r="A1293" t="s">
        <v>2527</v>
      </c>
      <c r="B1293">
        <f>I542</f>
        <v>80</v>
      </c>
      <c r="E1293" t="s">
        <v>10964</v>
      </c>
      <c r="F1293" s="49">
        <v>55</v>
      </c>
      <c r="I1293" s="5"/>
      <c r="J1293" s="5"/>
    </row>
    <row r="1294" spans="1:10" ht="15" customHeight="1" x14ac:dyDescent="0.3">
      <c r="A1294" t="s">
        <v>11881</v>
      </c>
      <c r="B1294">
        <f>I543</f>
        <v>90</v>
      </c>
      <c r="E1294" t="s">
        <v>12565</v>
      </c>
      <c r="F1294" s="49">
        <v>95</v>
      </c>
      <c r="I1294" s="5"/>
      <c r="J1294" s="5"/>
    </row>
    <row r="1295" spans="1:10" ht="15" customHeight="1" x14ac:dyDescent="0.3">
      <c r="A1295" t="s">
        <v>11882</v>
      </c>
      <c r="B1295">
        <f>I543</f>
        <v>90</v>
      </c>
      <c r="E1295" t="s">
        <v>1174</v>
      </c>
      <c r="F1295" s="49">
        <v>55</v>
      </c>
      <c r="I1295" s="5"/>
      <c r="J1295" s="5"/>
    </row>
    <row r="1296" spans="1:10" ht="15" customHeight="1" x14ac:dyDescent="0.3">
      <c r="A1296" t="s">
        <v>2079</v>
      </c>
      <c r="B1296">
        <f>I676</f>
        <v>100</v>
      </c>
      <c r="E1296" t="s">
        <v>1175</v>
      </c>
      <c r="F1296" s="49">
        <v>55</v>
      </c>
      <c r="I1296" s="5"/>
      <c r="J1296" s="5"/>
    </row>
    <row r="1297" spans="1:10" ht="15" customHeight="1" x14ac:dyDescent="0.3">
      <c r="A1297" t="s">
        <v>1911</v>
      </c>
      <c r="B1297">
        <f>I677</f>
        <v>160</v>
      </c>
      <c r="E1297" t="s">
        <v>1176</v>
      </c>
      <c r="F1297" s="49">
        <v>55</v>
      </c>
      <c r="I1297" s="5"/>
      <c r="J1297" s="5"/>
    </row>
    <row r="1298" spans="1:10" ht="15" customHeight="1" x14ac:dyDescent="0.3">
      <c r="A1298" t="s">
        <v>12118</v>
      </c>
      <c r="B1298">
        <f>I678</f>
        <v>180</v>
      </c>
      <c r="E1298" t="s">
        <v>13246</v>
      </c>
      <c r="F1298" s="49">
        <v>55</v>
      </c>
      <c r="I1298" s="5"/>
      <c r="J1298" s="5"/>
    </row>
    <row r="1299" spans="1:10" ht="15" customHeight="1" x14ac:dyDescent="0.3">
      <c r="A1299" t="s">
        <v>12119</v>
      </c>
      <c r="B1299">
        <f>I678</f>
        <v>180</v>
      </c>
      <c r="E1299" t="s">
        <v>12419</v>
      </c>
      <c r="F1299" s="49">
        <v>0</v>
      </c>
      <c r="I1299" s="5"/>
      <c r="J1299" s="5"/>
    </row>
    <row r="1300" spans="1:10" ht="15" customHeight="1" x14ac:dyDescent="0.3">
      <c r="A1300" t="s">
        <v>12120</v>
      </c>
      <c r="B1300">
        <f>I679</f>
        <v>190</v>
      </c>
      <c r="E1300" t="s">
        <v>1177</v>
      </c>
      <c r="F1300" s="49">
        <v>55</v>
      </c>
      <c r="I1300" s="5"/>
      <c r="J1300" s="5"/>
    </row>
    <row r="1301" spans="1:10" ht="15" customHeight="1" x14ac:dyDescent="0.3">
      <c r="A1301" t="s">
        <v>12121</v>
      </c>
      <c r="B1301">
        <f>I679</f>
        <v>190</v>
      </c>
      <c r="E1301" t="s">
        <v>1178</v>
      </c>
      <c r="F1301" s="49">
        <v>70</v>
      </c>
      <c r="I1301" s="5"/>
      <c r="J1301" s="5"/>
    </row>
    <row r="1302" spans="1:10" ht="15" customHeight="1" x14ac:dyDescent="0.3">
      <c r="A1302" t="s">
        <v>3679</v>
      </c>
      <c r="B1302">
        <f>I546</f>
        <v>65</v>
      </c>
      <c r="E1302" t="s">
        <v>13250</v>
      </c>
      <c r="F1302" s="49">
        <v>55</v>
      </c>
      <c r="I1302" s="5"/>
      <c r="J1302" s="5"/>
    </row>
    <row r="1303" spans="1:10" ht="15" customHeight="1" x14ac:dyDescent="0.3">
      <c r="A1303" t="s">
        <v>3683</v>
      </c>
      <c r="B1303">
        <f>I546</f>
        <v>65</v>
      </c>
      <c r="E1303" t="s">
        <v>13251</v>
      </c>
      <c r="F1303" s="49">
        <v>70</v>
      </c>
      <c r="I1303" s="5"/>
      <c r="J1303" s="5"/>
    </row>
    <row r="1304" spans="1:10" ht="15" customHeight="1" x14ac:dyDescent="0.3">
      <c r="A1304" t="s">
        <v>3680</v>
      </c>
      <c r="B1304">
        <f>I547</f>
        <v>80</v>
      </c>
      <c r="E1304" t="s">
        <v>13252</v>
      </c>
      <c r="F1304" s="49">
        <v>55</v>
      </c>
      <c r="I1304" s="5"/>
      <c r="J1304" s="5"/>
    </row>
    <row r="1305" spans="1:10" ht="15" customHeight="1" x14ac:dyDescent="0.3">
      <c r="A1305" t="s">
        <v>3684</v>
      </c>
      <c r="B1305">
        <f>I547</f>
        <v>80</v>
      </c>
      <c r="E1305" t="s">
        <v>13253</v>
      </c>
      <c r="F1305" s="49">
        <v>55</v>
      </c>
      <c r="I1305" s="5"/>
      <c r="J1305" s="5"/>
    </row>
    <row r="1306" spans="1:10" ht="15" customHeight="1" x14ac:dyDescent="0.3">
      <c r="A1306" t="s">
        <v>3681</v>
      </c>
      <c r="B1306">
        <f>I548</f>
        <v>90</v>
      </c>
      <c r="E1306" t="s">
        <v>13254</v>
      </c>
      <c r="F1306" s="49">
        <v>55</v>
      </c>
      <c r="I1306" s="5"/>
      <c r="J1306" s="5"/>
    </row>
    <row r="1307" spans="1:10" ht="15" customHeight="1" x14ac:dyDescent="0.3">
      <c r="A1307" t="s">
        <v>3682</v>
      </c>
      <c r="B1307">
        <f>I548</f>
        <v>90</v>
      </c>
      <c r="E1307" t="s">
        <v>13255</v>
      </c>
      <c r="F1307" s="49">
        <v>55</v>
      </c>
      <c r="I1307" s="5"/>
      <c r="J1307" s="5"/>
    </row>
    <row r="1308" spans="1:10" ht="15" customHeight="1" x14ac:dyDescent="0.3">
      <c r="A1308" t="s">
        <v>11883</v>
      </c>
      <c r="B1308">
        <f>I549</f>
        <v>100</v>
      </c>
      <c r="E1308" t="s">
        <v>13256</v>
      </c>
      <c r="F1308" s="49">
        <v>55</v>
      </c>
      <c r="I1308" s="5"/>
      <c r="J1308" s="5"/>
    </row>
    <row r="1309" spans="1:10" ht="15" customHeight="1" x14ac:dyDescent="0.3">
      <c r="A1309" t="s">
        <v>11884</v>
      </c>
      <c r="B1309">
        <f>I549</f>
        <v>100</v>
      </c>
      <c r="E1309" t="s">
        <v>13257</v>
      </c>
      <c r="F1309" s="49">
        <v>55</v>
      </c>
      <c r="I1309" s="5"/>
      <c r="J1309" s="5"/>
    </row>
    <row r="1310" spans="1:10" ht="15" customHeight="1" x14ac:dyDescent="0.3">
      <c r="A1310" t="s">
        <v>2080</v>
      </c>
      <c r="B1310">
        <f>I550</f>
        <v>65</v>
      </c>
      <c r="E1310" t="s">
        <v>13258</v>
      </c>
      <c r="F1310" s="49">
        <v>55</v>
      </c>
      <c r="I1310" s="5"/>
      <c r="J1310" s="5"/>
    </row>
    <row r="1311" spans="1:10" ht="15" customHeight="1" x14ac:dyDescent="0.3">
      <c r="A1311" t="s">
        <v>1912</v>
      </c>
      <c r="B1311">
        <f>I551</f>
        <v>80</v>
      </c>
      <c r="E1311" t="s">
        <v>12458</v>
      </c>
      <c r="F1311" s="49">
        <v>55</v>
      </c>
      <c r="I1311" s="5"/>
      <c r="J1311" s="5"/>
    </row>
    <row r="1312" spans="1:10" ht="15" customHeight="1" x14ac:dyDescent="0.3">
      <c r="A1312" t="s">
        <v>2366</v>
      </c>
      <c r="B1312">
        <f>I552</f>
        <v>90</v>
      </c>
      <c r="E1312" t="s">
        <v>13259</v>
      </c>
      <c r="F1312" s="49">
        <v>55</v>
      </c>
      <c r="I1312" s="5"/>
      <c r="J1312" s="5"/>
    </row>
    <row r="1313" spans="1:10" ht="15" customHeight="1" x14ac:dyDescent="0.3">
      <c r="A1313" t="s">
        <v>2528</v>
      </c>
      <c r="B1313">
        <f>I552</f>
        <v>90</v>
      </c>
      <c r="E1313" t="s">
        <v>13260</v>
      </c>
      <c r="F1313" s="49">
        <v>60</v>
      </c>
      <c r="I1313" s="5"/>
      <c r="J1313" s="5"/>
    </row>
    <row r="1314" spans="1:10" ht="15" customHeight="1" x14ac:dyDescent="0.3">
      <c r="A1314" t="s">
        <v>11885</v>
      </c>
      <c r="B1314">
        <f>I553</f>
        <v>100</v>
      </c>
      <c r="E1314" t="s">
        <v>13264</v>
      </c>
      <c r="F1314" s="49">
        <v>55</v>
      </c>
      <c r="I1314" s="5"/>
      <c r="J1314" s="5"/>
    </row>
    <row r="1315" spans="1:10" ht="15" customHeight="1" x14ac:dyDescent="0.3">
      <c r="A1315" t="s">
        <v>11886</v>
      </c>
      <c r="B1315">
        <f>I553</f>
        <v>100</v>
      </c>
      <c r="E1315" t="s">
        <v>13261</v>
      </c>
      <c r="F1315" s="49">
        <v>55</v>
      </c>
      <c r="I1315" s="5"/>
      <c r="J1315" s="5"/>
    </row>
    <row r="1316" spans="1:10" ht="15" customHeight="1" x14ac:dyDescent="0.3">
      <c r="A1316" t="s">
        <v>10676</v>
      </c>
      <c r="B1316">
        <f>I554</f>
        <v>75</v>
      </c>
      <c r="C1316" t="s">
        <v>12943</v>
      </c>
      <c r="E1316" t="s">
        <v>13262</v>
      </c>
      <c r="F1316" s="49">
        <v>70</v>
      </c>
      <c r="I1316" s="5"/>
      <c r="J1316" s="5"/>
    </row>
    <row r="1317" spans="1:10" ht="15" customHeight="1" x14ac:dyDescent="0.3">
      <c r="A1317" t="s">
        <v>10678</v>
      </c>
      <c r="B1317">
        <f>I554</f>
        <v>75</v>
      </c>
      <c r="C1317" t="s">
        <v>12943</v>
      </c>
      <c r="E1317" t="s">
        <v>13263</v>
      </c>
      <c r="F1317" s="49">
        <v>55</v>
      </c>
      <c r="I1317" s="5"/>
      <c r="J1317" s="5"/>
    </row>
    <row r="1318" spans="1:10" ht="15" customHeight="1" x14ac:dyDescent="0.3">
      <c r="A1318" t="s">
        <v>10679</v>
      </c>
      <c r="B1318">
        <f>I555</f>
        <v>85</v>
      </c>
      <c r="C1318" t="s">
        <v>12944</v>
      </c>
      <c r="E1318" t="s">
        <v>12466</v>
      </c>
      <c r="F1318" s="49">
        <v>55</v>
      </c>
      <c r="I1318" s="5"/>
      <c r="J1318" s="5"/>
    </row>
    <row r="1319" spans="1:10" ht="15" customHeight="1" x14ac:dyDescent="0.3">
      <c r="A1319" t="s">
        <v>10677</v>
      </c>
      <c r="B1319">
        <f>I555</f>
        <v>85</v>
      </c>
      <c r="C1319" t="s">
        <v>12944</v>
      </c>
      <c r="E1319" t="s">
        <v>1179</v>
      </c>
      <c r="F1319" s="49">
        <v>40</v>
      </c>
      <c r="I1319" s="5"/>
      <c r="J1319" s="5"/>
    </row>
    <row r="1320" spans="1:10" ht="15" customHeight="1" x14ac:dyDescent="0.3">
      <c r="A1320" t="s">
        <v>12064</v>
      </c>
      <c r="B1320">
        <f>I556</f>
        <v>95</v>
      </c>
      <c r="E1320" t="s">
        <v>1180</v>
      </c>
      <c r="F1320" s="49">
        <v>45</v>
      </c>
      <c r="I1320" s="5"/>
      <c r="J1320" s="5"/>
    </row>
    <row r="1321" spans="1:10" ht="15" customHeight="1" x14ac:dyDescent="0.3">
      <c r="A1321" t="s">
        <v>12065</v>
      </c>
      <c r="B1321">
        <f>I556</f>
        <v>95</v>
      </c>
      <c r="E1321" t="s">
        <v>1181</v>
      </c>
      <c r="F1321" s="49">
        <v>60</v>
      </c>
      <c r="I1321" s="5"/>
      <c r="J1321" s="5"/>
    </row>
    <row r="1322" spans="1:10" ht="15" customHeight="1" x14ac:dyDescent="0.3">
      <c r="A1322" t="s">
        <v>12066</v>
      </c>
      <c r="B1322">
        <f>I557</f>
        <v>105</v>
      </c>
      <c r="E1322" t="s">
        <v>1182</v>
      </c>
      <c r="F1322" s="49">
        <v>60</v>
      </c>
      <c r="I1322" s="5"/>
      <c r="J1322" s="5"/>
    </row>
    <row r="1323" spans="1:10" ht="15" customHeight="1" x14ac:dyDescent="0.3">
      <c r="A1323" t="s">
        <v>12067</v>
      </c>
      <c r="B1323">
        <f>I557</f>
        <v>105</v>
      </c>
      <c r="E1323" t="s">
        <v>1183</v>
      </c>
      <c r="F1323" s="49">
        <v>60</v>
      </c>
      <c r="I1323" s="5"/>
      <c r="J1323" s="5"/>
    </row>
    <row r="1324" spans="1:10" ht="15" customHeight="1" x14ac:dyDescent="0.3">
      <c r="A1324" t="s">
        <v>2081</v>
      </c>
      <c r="B1324">
        <f>I558</f>
        <v>60</v>
      </c>
      <c r="E1324" t="s">
        <v>1184</v>
      </c>
      <c r="F1324" s="49">
        <v>70</v>
      </c>
      <c r="I1324" s="5"/>
      <c r="J1324" s="5"/>
    </row>
    <row r="1325" spans="1:10" ht="15" customHeight="1" x14ac:dyDescent="0.3">
      <c r="A1325" t="s">
        <v>1913</v>
      </c>
      <c r="B1325">
        <f>I559</f>
        <v>65</v>
      </c>
      <c r="E1325" t="s">
        <v>1185</v>
      </c>
      <c r="F1325" s="49">
        <v>90</v>
      </c>
      <c r="I1325" s="5"/>
      <c r="J1325" s="5"/>
    </row>
    <row r="1326" spans="1:10" ht="15" customHeight="1" x14ac:dyDescent="0.3">
      <c r="A1326" t="s">
        <v>2367</v>
      </c>
      <c r="B1326">
        <f>I560</f>
        <v>80</v>
      </c>
      <c r="E1326" t="s">
        <v>1186</v>
      </c>
      <c r="F1326" s="49">
        <v>90</v>
      </c>
      <c r="I1326" s="5"/>
      <c r="J1326" s="5"/>
    </row>
    <row r="1327" spans="1:10" ht="15" customHeight="1" x14ac:dyDescent="0.3">
      <c r="A1327" t="s">
        <v>2529</v>
      </c>
      <c r="B1327">
        <f>I560</f>
        <v>80</v>
      </c>
      <c r="E1327" t="s">
        <v>1187</v>
      </c>
      <c r="F1327" s="49">
        <v>25</v>
      </c>
      <c r="I1327" s="5"/>
      <c r="J1327" s="5"/>
    </row>
    <row r="1328" spans="1:10" ht="15" customHeight="1" x14ac:dyDescent="0.3">
      <c r="A1328" t="s">
        <v>11887</v>
      </c>
      <c r="B1328">
        <f>I561</f>
        <v>90</v>
      </c>
      <c r="E1328" t="s">
        <v>1188</v>
      </c>
      <c r="F1328" s="49">
        <v>25</v>
      </c>
      <c r="I1328" s="5"/>
      <c r="J1328" s="5"/>
    </row>
    <row r="1329" spans="1:10" ht="15" customHeight="1" x14ac:dyDescent="0.3">
      <c r="A1329" t="s">
        <v>11888</v>
      </c>
      <c r="B1329">
        <f>I561</f>
        <v>90</v>
      </c>
      <c r="E1329" t="s">
        <v>1189</v>
      </c>
      <c r="F1329" s="49">
        <v>25</v>
      </c>
      <c r="I1329" s="5"/>
      <c r="J1329" s="5"/>
    </row>
    <row r="1330" spans="1:10" ht="15" customHeight="1" x14ac:dyDescent="0.3">
      <c r="A1330" t="s">
        <v>2082</v>
      </c>
      <c r="B1330">
        <f>I680</f>
        <v>100</v>
      </c>
      <c r="E1330" t="s">
        <v>1190</v>
      </c>
      <c r="F1330" s="49">
        <v>30</v>
      </c>
      <c r="I1330" s="5"/>
      <c r="J1330" s="5"/>
    </row>
    <row r="1331" spans="1:10" ht="15" customHeight="1" x14ac:dyDescent="0.3">
      <c r="A1331" t="s">
        <v>11261</v>
      </c>
      <c r="B1331">
        <f>I681</f>
        <v>140</v>
      </c>
      <c r="E1331" t="s">
        <v>1191</v>
      </c>
      <c r="F1331" s="49">
        <v>30</v>
      </c>
      <c r="I1331" s="5"/>
      <c r="J1331" s="5"/>
    </row>
    <row r="1332" spans="1:10" ht="15" customHeight="1" x14ac:dyDescent="0.3">
      <c r="A1332" t="s">
        <v>11262</v>
      </c>
      <c r="B1332">
        <f>I681</f>
        <v>140</v>
      </c>
      <c r="E1332" t="s">
        <v>1192</v>
      </c>
      <c r="F1332" s="49">
        <v>45</v>
      </c>
      <c r="I1332" s="5"/>
      <c r="J1332" s="5"/>
    </row>
    <row r="1333" spans="1:10" ht="15" customHeight="1" x14ac:dyDescent="0.3">
      <c r="A1333" t="s">
        <v>2368</v>
      </c>
      <c r="B1333">
        <f>I682</f>
        <v>170</v>
      </c>
      <c r="E1333" t="s">
        <v>1193</v>
      </c>
      <c r="F1333" s="49">
        <v>35</v>
      </c>
      <c r="I1333" s="5"/>
      <c r="J1333" s="5"/>
    </row>
    <row r="1334" spans="1:10" ht="15" customHeight="1" x14ac:dyDescent="0.3">
      <c r="A1334" t="s">
        <v>2530</v>
      </c>
      <c r="B1334">
        <f>I682</f>
        <v>170</v>
      </c>
      <c r="E1334" t="s">
        <v>1194</v>
      </c>
      <c r="F1334" s="49">
        <v>35</v>
      </c>
      <c r="I1334" s="5"/>
      <c r="J1334" s="5"/>
    </row>
    <row r="1335" spans="1:10" ht="15" customHeight="1" x14ac:dyDescent="0.3">
      <c r="A1335" t="s">
        <v>11889</v>
      </c>
      <c r="B1335">
        <f>I683</f>
        <v>180</v>
      </c>
      <c r="E1335" t="s">
        <v>1195</v>
      </c>
      <c r="F1335" s="49">
        <v>35</v>
      </c>
      <c r="I1335" s="5"/>
      <c r="J1335" s="5"/>
    </row>
    <row r="1336" spans="1:10" ht="15" customHeight="1" x14ac:dyDescent="0.3">
      <c r="A1336" t="s">
        <v>11890</v>
      </c>
      <c r="B1336">
        <f>I683</f>
        <v>180</v>
      </c>
      <c r="E1336" t="s">
        <v>1196</v>
      </c>
      <c r="F1336" s="49">
        <v>40</v>
      </c>
      <c r="I1336" s="5"/>
      <c r="J1336" s="5"/>
    </row>
    <row r="1337" spans="1:10" ht="15" customHeight="1" x14ac:dyDescent="0.3">
      <c r="A1337" t="s">
        <v>2083</v>
      </c>
      <c r="B1337">
        <f>I562</f>
        <v>65</v>
      </c>
      <c r="E1337" t="s">
        <v>1197</v>
      </c>
      <c r="F1337" s="49">
        <v>40</v>
      </c>
      <c r="I1337" s="5"/>
      <c r="J1337" s="5"/>
    </row>
    <row r="1338" spans="1:10" ht="15" customHeight="1" x14ac:dyDescent="0.3">
      <c r="A1338" t="s">
        <v>1914</v>
      </c>
      <c r="B1338">
        <f>I563</f>
        <v>75</v>
      </c>
      <c r="E1338" t="s">
        <v>1198</v>
      </c>
      <c r="F1338" s="49">
        <v>45</v>
      </c>
      <c r="I1338" s="5"/>
      <c r="J1338" s="5"/>
    </row>
    <row r="1339" spans="1:10" ht="15" customHeight="1" x14ac:dyDescent="0.3">
      <c r="A1339" t="s">
        <v>2369</v>
      </c>
      <c r="B1339">
        <f>I564</f>
        <v>80</v>
      </c>
      <c r="E1339" t="s">
        <v>1199</v>
      </c>
      <c r="F1339" s="49">
        <v>40</v>
      </c>
      <c r="I1339" s="5"/>
      <c r="J1339" s="5"/>
    </row>
    <row r="1340" spans="1:10" ht="15" customHeight="1" x14ac:dyDescent="0.3">
      <c r="A1340" t="s">
        <v>2531</v>
      </c>
      <c r="B1340">
        <f>I564</f>
        <v>80</v>
      </c>
      <c r="E1340" t="s">
        <v>1200</v>
      </c>
      <c r="F1340" s="49">
        <v>35</v>
      </c>
      <c r="I1340" s="5"/>
      <c r="J1340" s="5"/>
    </row>
    <row r="1341" spans="1:10" ht="15" customHeight="1" x14ac:dyDescent="0.3">
      <c r="A1341" t="s">
        <v>11891</v>
      </c>
      <c r="B1341">
        <f>I565</f>
        <v>90</v>
      </c>
      <c r="E1341" t="s">
        <v>1201</v>
      </c>
      <c r="F1341" s="49">
        <v>35</v>
      </c>
      <c r="I1341" s="5"/>
      <c r="J1341" s="5"/>
    </row>
    <row r="1342" spans="1:10" ht="15" customHeight="1" x14ac:dyDescent="0.3">
      <c r="A1342" t="s">
        <v>11892</v>
      </c>
      <c r="B1342">
        <f>I565</f>
        <v>90</v>
      </c>
      <c r="E1342" t="s">
        <v>1202</v>
      </c>
      <c r="F1342" s="49">
        <v>35</v>
      </c>
      <c r="I1342" s="5"/>
      <c r="J1342" s="5"/>
    </row>
    <row r="1343" spans="1:10" ht="15" customHeight="1" x14ac:dyDescent="0.3">
      <c r="A1343" t="s">
        <v>2084</v>
      </c>
      <c r="B1343">
        <f>I566</f>
        <v>65</v>
      </c>
      <c r="E1343" t="s">
        <v>1203</v>
      </c>
      <c r="F1343" s="49">
        <v>45</v>
      </c>
      <c r="I1343" s="5"/>
      <c r="J1343" s="5"/>
    </row>
    <row r="1344" spans="1:10" ht="15" customHeight="1" x14ac:dyDescent="0.3">
      <c r="A1344" t="s">
        <v>1915</v>
      </c>
      <c r="B1344">
        <f>I567</f>
        <v>80</v>
      </c>
      <c r="E1344" t="s">
        <v>1204</v>
      </c>
      <c r="F1344" s="49">
        <v>40</v>
      </c>
      <c r="I1344" s="5"/>
      <c r="J1344" s="5"/>
    </row>
    <row r="1345" spans="1:10" ht="15" customHeight="1" x14ac:dyDescent="0.3">
      <c r="A1345" t="s">
        <v>2370</v>
      </c>
      <c r="B1345">
        <f>I568</f>
        <v>90</v>
      </c>
      <c r="E1345" t="s">
        <v>1205</v>
      </c>
      <c r="I1345" s="5"/>
      <c r="J1345" s="5"/>
    </row>
    <row r="1346" spans="1:10" ht="15" customHeight="1" x14ac:dyDescent="0.3">
      <c r="A1346" t="s">
        <v>2532</v>
      </c>
      <c r="B1346">
        <f>I568</f>
        <v>90</v>
      </c>
      <c r="E1346" t="s">
        <v>1206</v>
      </c>
      <c r="I1346" s="5"/>
      <c r="J1346" s="5"/>
    </row>
    <row r="1347" spans="1:10" ht="15" customHeight="1" x14ac:dyDescent="0.3">
      <c r="A1347" t="s">
        <v>11893</v>
      </c>
      <c r="B1347">
        <f>I569</f>
        <v>100</v>
      </c>
      <c r="E1347" t="s">
        <v>1207</v>
      </c>
      <c r="I1347" s="5"/>
      <c r="J1347" s="5"/>
    </row>
    <row r="1348" spans="1:10" ht="15" customHeight="1" x14ac:dyDescent="0.3">
      <c r="A1348" t="s">
        <v>11894</v>
      </c>
      <c r="B1348">
        <f>I569</f>
        <v>100</v>
      </c>
      <c r="E1348" t="s">
        <v>1208</v>
      </c>
      <c r="F1348" s="49">
        <v>190</v>
      </c>
      <c r="I1348" s="5"/>
      <c r="J1348" s="5"/>
    </row>
    <row r="1349" spans="1:10" ht="15" customHeight="1" x14ac:dyDescent="0.3">
      <c r="A1349" t="s">
        <v>10498</v>
      </c>
      <c r="B1349">
        <f>I570</f>
        <v>65</v>
      </c>
      <c r="C1349" t="s">
        <v>12919</v>
      </c>
      <c r="E1349" t="s">
        <v>1209</v>
      </c>
      <c r="F1349" s="49">
        <v>120</v>
      </c>
      <c r="I1349" s="5"/>
      <c r="J1349" s="5"/>
    </row>
    <row r="1350" spans="1:10" ht="15" customHeight="1" x14ac:dyDescent="0.3">
      <c r="A1350" t="s">
        <v>10499</v>
      </c>
      <c r="B1350">
        <f>I571</f>
        <v>80</v>
      </c>
      <c r="E1350" t="s">
        <v>1210</v>
      </c>
      <c r="F1350" s="49">
        <v>120</v>
      </c>
      <c r="I1350" s="5"/>
      <c r="J1350" s="5"/>
    </row>
    <row r="1351" spans="1:10" ht="15" customHeight="1" x14ac:dyDescent="0.3">
      <c r="A1351" t="s">
        <v>10500</v>
      </c>
      <c r="B1351">
        <f>I570</f>
        <v>65</v>
      </c>
      <c r="C1351" t="s">
        <v>12919</v>
      </c>
      <c r="E1351" t="s">
        <v>1211</v>
      </c>
      <c r="F1351" s="49">
        <v>160</v>
      </c>
      <c r="I1351" s="5"/>
      <c r="J1351" s="5"/>
    </row>
    <row r="1352" spans="1:10" ht="15" customHeight="1" x14ac:dyDescent="0.3">
      <c r="A1352" t="s">
        <v>10501</v>
      </c>
      <c r="B1352">
        <f>I571</f>
        <v>80</v>
      </c>
      <c r="E1352" t="s">
        <v>1212</v>
      </c>
      <c r="F1352" s="49">
        <v>180</v>
      </c>
      <c r="I1352" s="5"/>
      <c r="J1352" s="5"/>
    </row>
    <row r="1353" spans="1:10" ht="15" customHeight="1" x14ac:dyDescent="0.3">
      <c r="A1353" t="s">
        <v>10946</v>
      </c>
      <c r="B1353">
        <f>I570</f>
        <v>65</v>
      </c>
      <c r="C1353" t="s">
        <v>12919</v>
      </c>
      <c r="E1353" t="s">
        <v>1213</v>
      </c>
      <c r="F1353" s="49">
        <v>195</v>
      </c>
      <c r="I1353" s="5"/>
      <c r="J1353" s="5"/>
    </row>
    <row r="1354" spans="1:10" ht="15" customHeight="1" x14ac:dyDescent="0.3">
      <c r="A1354" t="s">
        <v>10947</v>
      </c>
      <c r="B1354">
        <f>I570</f>
        <v>65</v>
      </c>
      <c r="C1354" t="s">
        <v>12919</v>
      </c>
      <c r="E1354" t="s">
        <v>1214</v>
      </c>
      <c r="I1354" s="5"/>
      <c r="J1354" s="5"/>
    </row>
    <row r="1355" spans="1:10" ht="15" customHeight="1" x14ac:dyDescent="0.3">
      <c r="A1355" t="s">
        <v>10948</v>
      </c>
      <c r="B1355">
        <f>I571</f>
        <v>80</v>
      </c>
      <c r="E1355" t="s">
        <v>1215</v>
      </c>
      <c r="F1355" s="49">
        <v>50</v>
      </c>
      <c r="I1355" s="5"/>
      <c r="J1355" s="5"/>
    </row>
    <row r="1356" spans="1:10" ht="15" customHeight="1" x14ac:dyDescent="0.3">
      <c r="A1356" t="s">
        <v>10949</v>
      </c>
      <c r="B1356">
        <f>I571</f>
        <v>80</v>
      </c>
      <c r="E1356" t="s">
        <v>1216</v>
      </c>
      <c r="F1356" s="49">
        <v>50</v>
      </c>
      <c r="I1356" s="5"/>
      <c r="J1356" s="5"/>
    </row>
    <row r="1357" spans="1:10" ht="15" customHeight="1" x14ac:dyDescent="0.3">
      <c r="A1357" t="s">
        <v>12088</v>
      </c>
      <c r="B1357">
        <f>I572</f>
        <v>90</v>
      </c>
      <c r="E1357" t="s">
        <v>1217</v>
      </c>
      <c r="F1357" s="49">
        <v>50</v>
      </c>
      <c r="I1357" s="5"/>
      <c r="J1357" s="5"/>
    </row>
    <row r="1358" spans="1:10" ht="15" customHeight="1" x14ac:dyDescent="0.3">
      <c r="A1358" t="s">
        <v>12089</v>
      </c>
      <c r="B1358">
        <f>I572</f>
        <v>90</v>
      </c>
      <c r="E1358" t="s">
        <v>1218</v>
      </c>
      <c r="F1358" s="49">
        <v>50</v>
      </c>
      <c r="I1358" s="5"/>
      <c r="J1358" s="5"/>
    </row>
    <row r="1359" spans="1:10" ht="15" customHeight="1" x14ac:dyDescent="0.3">
      <c r="A1359" t="s">
        <v>12090</v>
      </c>
      <c r="B1359">
        <f>I573</f>
        <v>100</v>
      </c>
      <c r="E1359" t="s">
        <v>1219</v>
      </c>
      <c r="I1359" s="5"/>
      <c r="J1359" s="5"/>
    </row>
    <row r="1360" spans="1:10" ht="15" customHeight="1" x14ac:dyDescent="0.3">
      <c r="A1360" t="s">
        <v>12091</v>
      </c>
      <c r="B1360">
        <f>I573</f>
        <v>100</v>
      </c>
      <c r="E1360" t="s">
        <v>1220</v>
      </c>
      <c r="F1360" s="49">
        <v>35</v>
      </c>
      <c r="I1360" s="5"/>
      <c r="J1360" s="5"/>
    </row>
    <row r="1361" spans="1:10" ht="15" customHeight="1" x14ac:dyDescent="0.3">
      <c r="A1361" t="s">
        <v>12092</v>
      </c>
      <c r="B1361">
        <f>I572</f>
        <v>90</v>
      </c>
      <c r="E1361" t="s">
        <v>1221</v>
      </c>
      <c r="F1361" s="49">
        <v>40</v>
      </c>
      <c r="I1361" s="5"/>
      <c r="J1361" s="5"/>
    </row>
    <row r="1362" spans="1:10" ht="15" customHeight="1" x14ac:dyDescent="0.3">
      <c r="A1362" t="s">
        <v>12093</v>
      </c>
      <c r="B1362">
        <f>I572</f>
        <v>90</v>
      </c>
      <c r="E1362" t="s">
        <v>1222</v>
      </c>
      <c r="F1362" s="49">
        <v>35</v>
      </c>
      <c r="I1362" s="5"/>
      <c r="J1362" s="5"/>
    </row>
    <row r="1363" spans="1:10" ht="15" customHeight="1" x14ac:dyDescent="0.3">
      <c r="A1363" t="s">
        <v>12094</v>
      </c>
      <c r="B1363">
        <f>I573</f>
        <v>100</v>
      </c>
      <c r="E1363" t="s">
        <v>1223</v>
      </c>
      <c r="F1363" s="49">
        <v>75</v>
      </c>
      <c r="I1363" s="5"/>
      <c r="J1363" s="5"/>
    </row>
    <row r="1364" spans="1:10" ht="15" customHeight="1" x14ac:dyDescent="0.3">
      <c r="A1364" t="s">
        <v>12095</v>
      </c>
      <c r="B1364">
        <f>I573</f>
        <v>100</v>
      </c>
      <c r="E1364" t="s">
        <v>1224</v>
      </c>
      <c r="F1364" s="49">
        <v>35</v>
      </c>
      <c r="I1364" s="5"/>
      <c r="J1364" s="5"/>
    </row>
    <row r="1365" spans="1:10" ht="15" customHeight="1" x14ac:dyDescent="0.3">
      <c r="A1365" t="s">
        <v>2085</v>
      </c>
      <c r="B1365">
        <f>I540</f>
        <v>60</v>
      </c>
      <c r="E1365" t="s">
        <v>1225</v>
      </c>
      <c r="F1365" s="49">
        <v>35</v>
      </c>
      <c r="I1365" s="5"/>
      <c r="J1365" s="5"/>
    </row>
    <row r="1366" spans="1:10" ht="15" customHeight="1" x14ac:dyDescent="0.3">
      <c r="A1366" t="s">
        <v>1916</v>
      </c>
      <c r="B1366">
        <f>I541</f>
        <v>65</v>
      </c>
      <c r="E1366" t="s">
        <v>1226</v>
      </c>
      <c r="F1366" s="49">
        <v>30</v>
      </c>
      <c r="I1366" s="5"/>
      <c r="J1366" s="5"/>
    </row>
    <row r="1367" spans="1:10" ht="15" customHeight="1" x14ac:dyDescent="0.3">
      <c r="A1367" t="s">
        <v>2371</v>
      </c>
      <c r="B1367">
        <f>I544</f>
        <v>80</v>
      </c>
      <c r="E1367" t="s">
        <v>1227</v>
      </c>
      <c r="F1367" s="49">
        <v>40</v>
      </c>
      <c r="I1367" s="5"/>
      <c r="J1367" s="5"/>
    </row>
    <row r="1368" spans="1:10" ht="15" customHeight="1" x14ac:dyDescent="0.3">
      <c r="A1368" t="s">
        <v>2533</v>
      </c>
      <c r="B1368">
        <f>I544</f>
        <v>80</v>
      </c>
      <c r="E1368" t="s">
        <v>1228</v>
      </c>
      <c r="I1368" s="5"/>
      <c r="J1368" s="5"/>
    </row>
    <row r="1369" spans="1:10" ht="15" customHeight="1" x14ac:dyDescent="0.3">
      <c r="A1369" t="s">
        <v>11895</v>
      </c>
      <c r="B1369">
        <f>I545</f>
        <v>90</v>
      </c>
      <c r="E1369" t="s">
        <v>1229</v>
      </c>
      <c r="F1369" s="49">
        <v>40</v>
      </c>
      <c r="I1369" s="5"/>
      <c r="J1369" s="5"/>
    </row>
    <row r="1370" spans="1:10" ht="15" customHeight="1" x14ac:dyDescent="0.3">
      <c r="A1370" t="s">
        <v>11896</v>
      </c>
      <c r="B1370">
        <f>I545</f>
        <v>90</v>
      </c>
      <c r="E1370" t="s">
        <v>1230</v>
      </c>
      <c r="F1370" s="49">
        <v>40</v>
      </c>
      <c r="I1370" s="5"/>
      <c r="J1370" s="5"/>
    </row>
    <row r="1371" spans="1:10" ht="15" customHeight="1" x14ac:dyDescent="0.3">
      <c r="A1371" t="s">
        <v>3520</v>
      </c>
      <c r="B1371">
        <f>I574</f>
        <v>65</v>
      </c>
      <c r="E1371" t="s">
        <v>1231</v>
      </c>
      <c r="F1371" s="49">
        <v>80</v>
      </c>
      <c r="I1371" s="5"/>
      <c r="J1371" s="5"/>
    </row>
    <row r="1372" spans="1:10" ht="15" customHeight="1" x14ac:dyDescent="0.3">
      <c r="A1372" t="s">
        <v>3521</v>
      </c>
      <c r="B1372">
        <f>I574</f>
        <v>65</v>
      </c>
      <c r="E1372" t="s">
        <v>1232</v>
      </c>
      <c r="F1372" s="49">
        <v>50</v>
      </c>
      <c r="I1372" s="5"/>
      <c r="J1372" s="5"/>
    </row>
    <row r="1373" spans="1:10" ht="15" customHeight="1" x14ac:dyDescent="0.3">
      <c r="A1373" t="s">
        <v>1917</v>
      </c>
      <c r="B1373">
        <f>I577</f>
        <v>165</v>
      </c>
      <c r="E1373" t="s">
        <v>1233</v>
      </c>
      <c r="F1373" s="49">
        <v>50</v>
      </c>
      <c r="I1373" s="5"/>
      <c r="J1373" s="5"/>
    </row>
    <row r="1374" spans="1:10" ht="15" customHeight="1" x14ac:dyDescent="0.3">
      <c r="A1374" t="s">
        <v>3371</v>
      </c>
      <c r="B1374">
        <f>I577</f>
        <v>165</v>
      </c>
      <c r="E1374" t="s">
        <v>1234</v>
      </c>
      <c r="F1374" s="49">
        <v>65</v>
      </c>
      <c r="I1374" s="5"/>
      <c r="J1374" s="5"/>
    </row>
    <row r="1375" spans="1:10" ht="15" customHeight="1" x14ac:dyDescent="0.3">
      <c r="A1375" t="s">
        <v>3372</v>
      </c>
      <c r="B1375">
        <f>I577</f>
        <v>165</v>
      </c>
      <c r="E1375" t="s">
        <v>1235</v>
      </c>
      <c r="F1375" s="49">
        <v>70</v>
      </c>
      <c r="I1375" s="5"/>
      <c r="J1375" s="5"/>
    </row>
    <row r="1376" spans="1:10" ht="15" customHeight="1" x14ac:dyDescent="0.3">
      <c r="A1376" t="s">
        <v>2372</v>
      </c>
      <c r="B1376">
        <f>I578</f>
        <v>185</v>
      </c>
      <c r="E1376" t="s">
        <v>1236</v>
      </c>
      <c r="F1376" s="49">
        <v>70</v>
      </c>
      <c r="I1376" s="5"/>
      <c r="J1376" s="5"/>
    </row>
    <row r="1377" spans="1:10" ht="15" customHeight="1" x14ac:dyDescent="0.3">
      <c r="A1377" t="s">
        <v>2534</v>
      </c>
      <c r="B1377">
        <f>I578</f>
        <v>185</v>
      </c>
      <c r="E1377" t="s">
        <v>1237</v>
      </c>
      <c r="I1377" s="5"/>
      <c r="J1377" s="5"/>
    </row>
    <row r="1378" spans="1:10" ht="15" customHeight="1" x14ac:dyDescent="0.3">
      <c r="A1378" t="s">
        <v>11897</v>
      </c>
      <c r="B1378">
        <f>I579</f>
        <v>195</v>
      </c>
      <c r="E1378" t="s">
        <v>10954</v>
      </c>
      <c r="F1378" s="49">
        <v>15</v>
      </c>
      <c r="I1378" s="5"/>
      <c r="J1378" s="5"/>
    </row>
    <row r="1379" spans="1:10" ht="15" customHeight="1" x14ac:dyDescent="0.3">
      <c r="A1379" t="s">
        <v>11898</v>
      </c>
      <c r="B1379">
        <f>I579</f>
        <v>195</v>
      </c>
      <c r="E1379" t="s">
        <v>12374</v>
      </c>
      <c r="F1379" s="49">
        <v>20</v>
      </c>
      <c r="I1379" s="5"/>
      <c r="J1379" s="5"/>
    </row>
    <row r="1380" spans="1:10" ht="15" customHeight="1" x14ac:dyDescent="0.3">
      <c r="A1380" t="s">
        <v>2315</v>
      </c>
      <c r="B1380">
        <f>I575</f>
        <v>80</v>
      </c>
      <c r="E1380" t="s">
        <v>12379</v>
      </c>
      <c r="F1380" s="49">
        <v>20</v>
      </c>
      <c r="I1380" s="5"/>
      <c r="J1380" s="5"/>
    </row>
    <row r="1381" spans="1:10" ht="15" customHeight="1" x14ac:dyDescent="0.3">
      <c r="A1381" t="s">
        <v>2086</v>
      </c>
      <c r="B1381">
        <f>I576</f>
        <v>155</v>
      </c>
      <c r="E1381" t="s">
        <v>1277</v>
      </c>
      <c r="F1381" s="49">
        <v>20</v>
      </c>
      <c r="I1381" s="5"/>
      <c r="J1381" s="5"/>
    </row>
    <row r="1382" spans="1:10" ht="15" customHeight="1" x14ac:dyDescent="0.3">
      <c r="A1382" t="s">
        <v>3373</v>
      </c>
      <c r="B1382">
        <f>I576</f>
        <v>155</v>
      </c>
      <c r="E1382" t="s">
        <v>1278</v>
      </c>
      <c r="F1382" s="49">
        <v>20</v>
      </c>
      <c r="I1382" s="5"/>
      <c r="J1382" s="5"/>
    </row>
    <row r="1383" spans="1:10" ht="15" customHeight="1" x14ac:dyDescent="0.3">
      <c r="A1383" t="s">
        <v>3374</v>
      </c>
      <c r="B1383">
        <f>I576</f>
        <v>155</v>
      </c>
      <c r="E1383" t="s">
        <v>12593</v>
      </c>
      <c r="F1383" s="49">
        <v>10</v>
      </c>
      <c r="I1383" s="5"/>
      <c r="J1383" s="5"/>
    </row>
    <row r="1384" spans="1:10" ht="15" customHeight="1" x14ac:dyDescent="0.3">
      <c r="A1384" t="s">
        <v>2087</v>
      </c>
      <c r="B1384">
        <f>I580</f>
        <v>75</v>
      </c>
      <c r="E1384" t="s">
        <v>12594</v>
      </c>
      <c r="F1384" s="49">
        <v>10</v>
      </c>
      <c r="I1384" s="5"/>
      <c r="J1384" s="5"/>
    </row>
    <row r="1385" spans="1:10" ht="15" customHeight="1" x14ac:dyDescent="0.3">
      <c r="A1385" t="s">
        <v>1918</v>
      </c>
      <c r="B1385">
        <f>I581</f>
        <v>85</v>
      </c>
      <c r="E1385" t="s">
        <v>1279</v>
      </c>
      <c r="F1385" s="49">
        <v>4</v>
      </c>
      <c r="I1385" s="5"/>
      <c r="J1385" s="5"/>
    </row>
    <row r="1386" spans="1:10" ht="15" customHeight="1" x14ac:dyDescent="0.3">
      <c r="A1386" t="s">
        <v>2373</v>
      </c>
      <c r="B1386">
        <f>I582</f>
        <v>95</v>
      </c>
      <c r="E1386" t="s">
        <v>1280</v>
      </c>
      <c r="F1386" s="49">
        <v>4</v>
      </c>
      <c r="I1386" s="5"/>
      <c r="J1386" s="5"/>
    </row>
    <row r="1387" spans="1:10" ht="15" customHeight="1" x14ac:dyDescent="0.3">
      <c r="A1387" t="s">
        <v>2535</v>
      </c>
      <c r="B1387">
        <f>I582</f>
        <v>95</v>
      </c>
      <c r="E1387" t="s">
        <v>1281</v>
      </c>
      <c r="F1387" s="49">
        <v>4</v>
      </c>
      <c r="I1387" s="5"/>
      <c r="J1387" s="5"/>
    </row>
    <row r="1388" spans="1:10" ht="15" customHeight="1" x14ac:dyDescent="0.3">
      <c r="A1388" t="s">
        <v>11899</v>
      </c>
      <c r="B1388">
        <f>I583</f>
        <v>105</v>
      </c>
      <c r="E1388" t="s">
        <v>6633</v>
      </c>
      <c r="F1388" s="49">
        <v>4</v>
      </c>
      <c r="I1388" s="5"/>
      <c r="J1388" s="5"/>
    </row>
    <row r="1389" spans="1:10" ht="15" customHeight="1" x14ac:dyDescent="0.3">
      <c r="A1389" t="s">
        <v>11900</v>
      </c>
      <c r="B1389">
        <f>I583</f>
        <v>105</v>
      </c>
      <c r="E1389" t="s">
        <v>1282</v>
      </c>
      <c r="F1389" s="49">
        <v>4</v>
      </c>
      <c r="I1389" s="5"/>
      <c r="J1389" s="5"/>
    </row>
    <row r="1390" spans="1:10" ht="15" customHeight="1" x14ac:dyDescent="0.3">
      <c r="A1390" t="s">
        <v>2088</v>
      </c>
      <c r="B1390">
        <f>I584</f>
        <v>65</v>
      </c>
      <c r="E1390" t="s">
        <v>1283</v>
      </c>
      <c r="F1390" s="49">
        <v>5</v>
      </c>
      <c r="I1390" s="5"/>
      <c r="J1390" s="5"/>
    </row>
    <row r="1391" spans="1:10" ht="15" customHeight="1" x14ac:dyDescent="0.3">
      <c r="A1391" t="s">
        <v>1919</v>
      </c>
      <c r="B1391">
        <f>I585</f>
        <v>80</v>
      </c>
      <c r="E1391" t="s">
        <v>1284</v>
      </c>
      <c r="F1391" s="49">
        <v>4</v>
      </c>
      <c r="I1391" s="5"/>
      <c r="J1391" s="5"/>
    </row>
    <row r="1392" spans="1:10" ht="15" customHeight="1" x14ac:dyDescent="0.3">
      <c r="A1392" t="s">
        <v>2374</v>
      </c>
      <c r="B1392">
        <f>I586</f>
        <v>90</v>
      </c>
      <c r="E1392" t="s">
        <v>10657</v>
      </c>
      <c r="F1392" s="49">
        <v>4</v>
      </c>
      <c r="I1392" s="5"/>
      <c r="J1392" s="5"/>
    </row>
    <row r="1393" spans="1:10" ht="15" customHeight="1" x14ac:dyDescent="0.3">
      <c r="A1393" t="s">
        <v>2536</v>
      </c>
      <c r="B1393">
        <f>I586</f>
        <v>90</v>
      </c>
      <c r="E1393" t="s">
        <v>1285</v>
      </c>
      <c r="F1393" s="49">
        <v>4</v>
      </c>
      <c r="I1393" s="5"/>
      <c r="J1393" s="5"/>
    </row>
    <row r="1394" spans="1:10" ht="15" customHeight="1" x14ac:dyDescent="0.3">
      <c r="A1394" t="s">
        <v>11901</v>
      </c>
      <c r="B1394">
        <f>I587</f>
        <v>100</v>
      </c>
      <c r="E1394" t="s">
        <v>1286</v>
      </c>
      <c r="F1394" s="49">
        <v>4</v>
      </c>
      <c r="I1394" s="5"/>
      <c r="J1394" s="5"/>
    </row>
    <row r="1395" spans="1:10" ht="15" customHeight="1" x14ac:dyDescent="0.3">
      <c r="A1395" t="s">
        <v>11902</v>
      </c>
      <c r="B1395">
        <f>I587</f>
        <v>100</v>
      </c>
      <c r="E1395" t="s">
        <v>1287</v>
      </c>
      <c r="F1395" s="49">
        <v>3</v>
      </c>
      <c r="I1395" s="5"/>
      <c r="J1395" s="5"/>
    </row>
    <row r="1396" spans="1:10" ht="15" customHeight="1" x14ac:dyDescent="0.3">
      <c r="A1396" s="31" t="s">
        <v>6948</v>
      </c>
      <c r="B1396">
        <f>I588</f>
        <v>70</v>
      </c>
      <c r="E1396" t="s">
        <v>1288</v>
      </c>
      <c r="F1396" s="49">
        <v>3</v>
      </c>
      <c r="I1396" s="5"/>
      <c r="J1396" s="5"/>
    </row>
    <row r="1397" spans="1:10" ht="15" customHeight="1" x14ac:dyDescent="0.3">
      <c r="A1397" s="31" t="s">
        <v>6949</v>
      </c>
      <c r="B1397">
        <f>I589</f>
        <v>85</v>
      </c>
      <c r="E1397" t="s">
        <v>1289</v>
      </c>
      <c r="F1397" s="49">
        <v>4</v>
      </c>
      <c r="I1397" s="5"/>
      <c r="J1397" s="5"/>
    </row>
    <row r="1398" spans="1:10" ht="15" customHeight="1" x14ac:dyDescent="0.3">
      <c r="A1398" s="31" t="s">
        <v>6950</v>
      </c>
      <c r="B1398">
        <f>I588</f>
        <v>70</v>
      </c>
      <c r="E1398" t="s">
        <v>1290</v>
      </c>
      <c r="F1398" s="49">
        <v>7</v>
      </c>
      <c r="I1398" s="5"/>
      <c r="J1398" s="5"/>
    </row>
    <row r="1399" spans="1:10" ht="15" customHeight="1" x14ac:dyDescent="0.3">
      <c r="A1399" s="31" t="s">
        <v>6951</v>
      </c>
      <c r="B1399">
        <f>I589</f>
        <v>85</v>
      </c>
      <c r="E1399" t="s">
        <v>1291</v>
      </c>
      <c r="F1399" s="49">
        <v>8</v>
      </c>
      <c r="I1399" s="5"/>
      <c r="J1399" s="5"/>
    </row>
    <row r="1400" spans="1:10" ht="15" customHeight="1" x14ac:dyDescent="0.3">
      <c r="A1400" t="s">
        <v>12489</v>
      </c>
      <c r="B1400">
        <f>I590</f>
        <v>100</v>
      </c>
      <c r="E1400" t="s">
        <v>1292</v>
      </c>
      <c r="F1400" s="49">
        <v>8</v>
      </c>
      <c r="I1400" s="5"/>
      <c r="J1400" s="5"/>
    </row>
    <row r="1401" spans="1:10" ht="15" customHeight="1" x14ac:dyDescent="0.3">
      <c r="A1401" t="s">
        <v>12490</v>
      </c>
      <c r="B1401">
        <f>I590</f>
        <v>100</v>
      </c>
      <c r="E1401" t="s">
        <v>1293</v>
      </c>
      <c r="F1401" s="49">
        <v>7</v>
      </c>
      <c r="I1401" s="5"/>
      <c r="J1401" s="5"/>
    </row>
    <row r="1402" spans="1:10" ht="15" customHeight="1" x14ac:dyDescent="0.3">
      <c r="A1402" t="s">
        <v>12491</v>
      </c>
      <c r="B1402">
        <f>I591</f>
        <v>130</v>
      </c>
      <c r="E1402" t="s">
        <v>1295</v>
      </c>
      <c r="F1402" s="49">
        <v>8</v>
      </c>
      <c r="I1402" s="5"/>
      <c r="J1402" s="5"/>
    </row>
    <row r="1403" spans="1:10" ht="15" customHeight="1" x14ac:dyDescent="0.3">
      <c r="A1403" t="s">
        <v>12492</v>
      </c>
      <c r="B1403">
        <f>I591</f>
        <v>130</v>
      </c>
      <c r="E1403" t="s">
        <v>1296</v>
      </c>
      <c r="I1403" s="5"/>
      <c r="J1403" s="5"/>
    </row>
    <row r="1404" spans="1:10" ht="15" customHeight="1" x14ac:dyDescent="0.3">
      <c r="A1404" t="s">
        <v>1920</v>
      </c>
      <c r="B1404">
        <f>I471</f>
        <v>90</v>
      </c>
      <c r="E1404" t="s">
        <v>12302</v>
      </c>
      <c r="F1404" s="49">
        <v>4</v>
      </c>
      <c r="I1404" s="5"/>
      <c r="J1404" s="5"/>
    </row>
    <row r="1405" spans="1:10" ht="15" customHeight="1" x14ac:dyDescent="0.3">
      <c r="A1405" t="s">
        <v>2263</v>
      </c>
      <c r="B1405">
        <f>I592</f>
        <v>65</v>
      </c>
      <c r="E1405" t="s">
        <v>1297</v>
      </c>
      <c r="I1405" s="5"/>
    </row>
    <row r="1406" spans="1:10" ht="15" customHeight="1" x14ac:dyDescent="0.3">
      <c r="A1406" t="s">
        <v>2316</v>
      </c>
      <c r="B1406">
        <f>I594</f>
        <v>80</v>
      </c>
      <c r="E1406" t="s">
        <v>1298</v>
      </c>
      <c r="F1406" s="49">
        <v>4</v>
      </c>
      <c r="I1406" s="5"/>
    </row>
    <row r="1407" spans="1:10" ht="15" customHeight="1" x14ac:dyDescent="0.3">
      <c r="A1407" t="s">
        <v>1921</v>
      </c>
      <c r="B1407">
        <f>I595</f>
        <v>165</v>
      </c>
      <c r="E1407" t="s">
        <v>1299</v>
      </c>
    </row>
    <row r="1408" spans="1:10" ht="15" customHeight="1" x14ac:dyDescent="0.3">
      <c r="A1408" t="s">
        <v>3375</v>
      </c>
      <c r="B1408">
        <f>I595</f>
        <v>165</v>
      </c>
      <c r="E1408" t="s">
        <v>1300</v>
      </c>
      <c r="F1408" s="49">
        <v>8</v>
      </c>
    </row>
    <row r="1409" spans="1:6" ht="15" customHeight="1" x14ac:dyDescent="0.3">
      <c r="A1409" t="s">
        <v>3376</v>
      </c>
      <c r="B1409">
        <f>I595</f>
        <v>165</v>
      </c>
      <c r="E1409" t="s">
        <v>1301</v>
      </c>
      <c r="F1409" s="49">
        <v>3</v>
      </c>
    </row>
    <row r="1410" spans="1:6" ht="15" customHeight="1" x14ac:dyDescent="0.3">
      <c r="A1410" t="s">
        <v>2375</v>
      </c>
      <c r="B1410">
        <f>I596</f>
        <v>185</v>
      </c>
      <c r="E1410" t="s">
        <v>1302</v>
      </c>
      <c r="F1410" s="49">
        <v>4</v>
      </c>
    </row>
    <row r="1411" spans="1:6" ht="15" customHeight="1" x14ac:dyDescent="0.3">
      <c r="A1411" t="s">
        <v>2537</v>
      </c>
      <c r="B1411">
        <f>I596</f>
        <v>185</v>
      </c>
      <c r="E1411" t="s">
        <v>12603</v>
      </c>
      <c r="F1411" s="49">
        <v>15</v>
      </c>
    </row>
    <row r="1412" spans="1:6" ht="15" customHeight="1" x14ac:dyDescent="0.3">
      <c r="A1412" t="s">
        <v>11903</v>
      </c>
      <c r="B1412">
        <f>I597</f>
        <v>195</v>
      </c>
      <c r="E1412" t="s">
        <v>12605</v>
      </c>
      <c r="F1412" s="49">
        <v>20</v>
      </c>
    </row>
    <row r="1413" spans="1:6" ht="15" customHeight="1" x14ac:dyDescent="0.3">
      <c r="A1413" t="s">
        <v>11904</v>
      </c>
      <c r="B1413">
        <f>I597</f>
        <v>195</v>
      </c>
      <c r="E1413" t="s">
        <v>1303</v>
      </c>
      <c r="F1413" s="49">
        <v>10</v>
      </c>
    </row>
    <row r="1414" spans="1:6" ht="15" customHeight="1" x14ac:dyDescent="0.3">
      <c r="A1414" t="s">
        <v>2089</v>
      </c>
      <c r="B1414">
        <f>I593</f>
        <v>155</v>
      </c>
      <c r="E1414" t="s">
        <v>1304</v>
      </c>
      <c r="F1414" s="49">
        <v>40</v>
      </c>
    </row>
    <row r="1415" spans="1:6" ht="15" customHeight="1" x14ac:dyDescent="0.3">
      <c r="A1415" t="s">
        <v>3377</v>
      </c>
      <c r="B1415">
        <f>I593</f>
        <v>155</v>
      </c>
      <c r="E1415" t="s">
        <v>1305</v>
      </c>
      <c r="F1415" s="49">
        <v>40</v>
      </c>
    </row>
    <row r="1416" spans="1:6" ht="15" customHeight="1" x14ac:dyDescent="0.3">
      <c r="A1416" t="s">
        <v>3378</v>
      </c>
      <c r="B1416">
        <f>I593</f>
        <v>155</v>
      </c>
      <c r="E1416" t="s">
        <v>1306</v>
      </c>
      <c r="F1416" s="49">
        <v>40</v>
      </c>
    </row>
    <row r="1417" spans="1:6" ht="15" customHeight="1" x14ac:dyDescent="0.3">
      <c r="A1417" t="s">
        <v>2264</v>
      </c>
      <c r="B1417">
        <f>I598</f>
        <v>65</v>
      </c>
      <c r="E1417" t="s">
        <v>1307</v>
      </c>
      <c r="F1417" s="49">
        <v>30</v>
      </c>
    </row>
    <row r="1418" spans="1:6" ht="15" customHeight="1" x14ac:dyDescent="0.3">
      <c r="A1418" t="s">
        <v>2317</v>
      </c>
      <c r="B1418">
        <f>I599</f>
        <v>80</v>
      </c>
      <c r="E1418" t="s">
        <v>1308</v>
      </c>
      <c r="F1418" s="49">
        <v>30</v>
      </c>
    </row>
    <row r="1419" spans="1:6" ht="15" customHeight="1" x14ac:dyDescent="0.3">
      <c r="A1419" t="s">
        <v>1922</v>
      </c>
      <c r="B1419">
        <f>I601</f>
        <v>165</v>
      </c>
      <c r="E1419" t="s">
        <v>1309</v>
      </c>
      <c r="F1419" s="49">
        <v>30</v>
      </c>
    </row>
    <row r="1420" spans="1:6" ht="15" customHeight="1" x14ac:dyDescent="0.3">
      <c r="A1420" t="s">
        <v>3379</v>
      </c>
      <c r="B1420">
        <f>I601</f>
        <v>165</v>
      </c>
      <c r="E1420" t="s">
        <v>1310</v>
      </c>
      <c r="F1420" s="49">
        <v>30</v>
      </c>
    </row>
    <row r="1421" spans="1:6" ht="15" customHeight="1" x14ac:dyDescent="0.3">
      <c r="A1421" t="s">
        <v>3380</v>
      </c>
      <c r="B1421">
        <f>I601</f>
        <v>165</v>
      </c>
      <c r="E1421" t="s">
        <v>1311</v>
      </c>
      <c r="F1421" s="49">
        <v>30</v>
      </c>
    </row>
    <row r="1422" spans="1:6" ht="15" customHeight="1" x14ac:dyDescent="0.3">
      <c r="A1422" t="s">
        <v>2376</v>
      </c>
      <c r="B1422">
        <f>I602</f>
        <v>190</v>
      </c>
      <c r="E1422" t="s">
        <v>1312</v>
      </c>
      <c r="F1422" s="49">
        <v>40</v>
      </c>
    </row>
    <row r="1423" spans="1:6" ht="15" customHeight="1" x14ac:dyDescent="0.3">
      <c r="A1423" t="s">
        <v>2538</v>
      </c>
      <c r="B1423">
        <f>I602</f>
        <v>190</v>
      </c>
      <c r="E1423" t="s">
        <v>1313</v>
      </c>
      <c r="F1423" s="49">
        <v>40</v>
      </c>
    </row>
    <row r="1424" spans="1:6" ht="15" customHeight="1" x14ac:dyDescent="0.3">
      <c r="A1424" t="s">
        <v>11905</v>
      </c>
      <c r="B1424">
        <f>I603</f>
        <v>200</v>
      </c>
      <c r="E1424" t="s">
        <v>1314</v>
      </c>
      <c r="F1424" s="49">
        <v>30</v>
      </c>
    </row>
    <row r="1425" spans="1:6" ht="15" customHeight="1" x14ac:dyDescent="0.3">
      <c r="A1425" t="s">
        <v>11906</v>
      </c>
      <c r="B1425">
        <f>I603</f>
        <v>200</v>
      </c>
      <c r="E1425" t="s">
        <v>1315</v>
      </c>
      <c r="F1425" s="49">
        <v>30</v>
      </c>
    </row>
    <row r="1426" spans="1:6" ht="15" customHeight="1" x14ac:dyDescent="0.3">
      <c r="A1426" t="s">
        <v>2090</v>
      </c>
      <c r="B1426">
        <f>I600</f>
        <v>160</v>
      </c>
      <c r="E1426" t="s">
        <v>1316</v>
      </c>
      <c r="F1426" s="49">
        <v>35</v>
      </c>
    </row>
    <row r="1427" spans="1:6" ht="15" customHeight="1" x14ac:dyDescent="0.3">
      <c r="A1427" t="s">
        <v>3381</v>
      </c>
      <c r="B1427">
        <f>I600</f>
        <v>160</v>
      </c>
      <c r="E1427" t="s">
        <v>1317</v>
      </c>
      <c r="F1427" s="49">
        <v>35</v>
      </c>
    </row>
    <row r="1428" spans="1:6" ht="15" customHeight="1" x14ac:dyDescent="0.3">
      <c r="A1428" t="s">
        <v>3382</v>
      </c>
      <c r="B1428">
        <f>I600</f>
        <v>160</v>
      </c>
      <c r="E1428" t="s">
        <v>1318</v>
      </c>
      <c r="F1428" s="49">
        <v>35</v>
      </c>
    </row>
    <row r="1429" spans="1:6" ht="15" customHeight="1" x14ac:dyDescent="0.3">
      <c r="A1429" t="s">
        <v>3112</v>
      </c>
      <c r="B1429">
        <f>I480</f>
        <v>60</v>
      </c>
      <c r="E1429" t="s">
        <v>1319</v>
      </c>
      <c r="F1429" s="49">
        <v>35</v>
      </c>
    </row>
    <row r="1430" spans="1:6" ht="15" customHeight="1" x14ac:dyDescent="0.3">
      <c r="A1430" t="s">
        <v>2092</v>
      </c>
      <c r="B1430">
        <f>I486</f>
        <v>60</v>
      </c>
      <c r="E1430" t="s">
        <v>1320</v>
      </c>
      <c r="F1430" s="49">
        <v>35</v>
      </c>
    </row>
    <row r="1431" spans="1:6" ht="15" customHeight="1" x14ac:dyDescent="0.3">
      <c r="A1431" t="s">
        <v>5078</v>
      </c>
      <c r="B1431">
        <f>I604</f>
        <v>75</v>
      </c>
      <c r="E1431" t="s">
        <v>1321</v>
      </c>
      <c r="F1431" s="49">
        <v>35</v>
      </c>
    </row>
    <row r="1432" spans="1:6" ht="15" customHeight="1" x14ac:dyDescent="0.3">
      <c r="A1432" t="s">
        <v>2093</v>
      </c>
      <c r="B1432">
        <f>I604</f>
        <v>75</v>
      </c>
      <c r="E1432" t="s">
        <v>1322</v>
      </c>
      <c r="F1432" s="49">
        <v>35</v>
      </c>
    </row>
    <row r="1433" spans="1:6" ht="15" customHeight="1" x14ac:dyDescent="0.3">
      <c r="A1433" t="s">
        <v>1923</v>
      </c>
      <c r="B1433">
        <f>I605</f>
        <v>90</v>
      </c>
      <c r="E1433" t="s">
        <v>1323</v>
      </c>
    </row>
    <row r="1434" spans="1:6" ht="15" customHeight="1" x14ac:dyDescent="0.3">
      <c r="A1434" t="s">
        <v>5079</v>
      </c>
      <c r="B1434">
        <f>I606</f>
        <v>65</v>
      </c>
      <c r="E1434" t="s">
        <v>1324</v>
      </c>
      <c r="F1434" s="49">
        <v>35</v>
      </c>
    </row>
    <row r="1435" spans="1:6" ht="15" customHeight="1" x14ac:dyDescent="0.3">
      <c r="A1435" t="s">
        <v>2094</v>
      </c>
      <c r="B1435">
        <f>I606</f>
        <v>65</v>
      </c>
      <c r="E1435" t="s">
        <v>1325</v>
      </c>
      <c r="F1435" s="49">
        <v>35</v>
      </c>
    </row>
    <row r="1436" spans="1:6" ht="15" customHeight="1" x14ac:dyDescent="0.3">
      <c r="A1436" t="s">
        <v>1924</v>
      </c>
      <c r="B1436">
        <f>I607</f>
        <v>80</v>
      </c>
      <c r="E1436" t="s">
        <v>1326</v>
      </c>
      <c r="F1436" s="49">
        <v>35</v>
      </c>
    </row>
    <row r="1437" spans="1:6" ht="15" customHeight="1" x14ac:dyDescent="0.3">
      <c r="A1437" t="s">
        <v>2095</v>
      </c>
      <c r="B1437">
        <f>I608</f>
        <v>70</v>
      </c>
      <c r="E1437" t="s">
        <v>1327</v>
      </c>
      <c r="F1437" s="49">
        <v>35</v>
      </c>
    </row>
    <row r="1438" spans="1:6" ht="15" customHeight="1" x14ac:dyDescent="0.3">
      <c r="A1438" t="s">
        <v>2265</v>
      </c>
      <c r="B1438">
        <f>I609</f>
        <v>75</v>
      </c>
      <c r="E1438" t="s">
        <v>1328</v>
      </c>
      <c r="F1438" s="49">
        <v>30</v>
      </c>
    </row>
    <row r="1439" spans="1:6" ht="15" customHeight="1" x14ac:dyDescent="0.3">
      <c r="A1439" t="s">
        <v>1925</v>
      </c>
      <c r="B1439">
        <f>I612</f>
        <v>205</v>
      </c>
      <c r="E1439" t="s">
        <v>1329</v>
      </c>
      <c r="F1439" s="49">
        <v>30</v>
      </c>
    </row>
    <row r="1440" spans="1:6" ht="15" customHeight="1" x14ac:dyDescent="0.3">
      <c r="A1440" t="s">
        <v>3383</v>
      </c>
      <c r="B1440">
        <f>I612</f>
        <v>205</v>
      </c>
      <c r="E1440" t="s">
        <v>1330</v>
      </c>
      <c r="F1440" s="49">
        <v>30</v>
      </c>
    </row>
    <row r="1441" spans="1:6" ht="15" customHeight="1" x14ac:dyDescent="0.3">
      <c r="A1441" t="s">
        <v>3384</v>
      </c>
      <c r="B1441">
        <f>I612</f>
        <v>205</v>
      </c>
      <c r="E1441" t="s">
        <v>1331</v>
      </c>
      <c r="F1441" s="49">
        <v>30</v>
      </c>
    </row>
    <row r="1442" spans="1:6" ht="15" customHeight="1" x14ac:dyDescent="0.3">
      <c r="A1442" t="s">
        <v>2377</v>
      </c>
      <c r="B1442">
        <f>I613</f>
        <v>215</v>
      </c>
      <c r="E1442" t="s">
        <v>13428</v>
      </c>
      <c r="F1442" s="49">
        <v>30</v>
      </c>
    </row>
    <row r="1443" spans="1:6" ht="15" customHeight="1" x14ac:dyDescent="0.3">
      <c r="A1443" t="s">
        <v>2539</v>
      </c>
      <c r="B1443">
        <f>I613</f>
        <v>215</v>
      </c>
      <c r="E1443" t="s">
        <v>13429</v>
      </c>
      <c r="F1443" s="49">
        <v>30</v>
      </c>
    </row>
    <row r="1444" spans="1:6" ht="15" customHeight="1" x14ac:dyDescent="0.3">
      <c r="A1444" t="s">
        <v>11907</v>
      </c>
      <c r="B1444">
        <f>I614</f>
        <v>225</v>
      </c>
      <c r="E1444" t="s">
        <v>1332</v>
      </c>
      <c r="F1444" s="49">
        <v>30</v>
      </c>
    </row>
    <row r="1445" spans="1:6" ht="15" customHeight="1" x14ac:dyDescent="0.3">
      <c r="A1445" t="s">
        <v>11908</v>
      </c>
      <c r="B1445">
        <f>I614</f>
        <v>225</v>
      </c>
      <c r="E1445" t="s">
        <v>1333</v>
      </c>
      <c r="F1445" s="49">
        <v>30</v>
      </c>
    </row>
    <row r="1446" spans="1:6" ht="15" customHeight="1" x14ac:dyDescent="0.3">
      <c r="A1446" t="s">
        <v>2318</v>
      </c>
      <c r="B1446">
        <f>I610</f>
        <v>85</v>
      </c>
      <c r="E1446" t="s">
        <v>1334</v>
      </c>
    </row>
    <row r="1447" spans="1:6" ht="15" customHeight="1" x14ac:dyDescent="0.3">
      <c r="A1447" t="s">
        <v>2096</v>
      </c>
      <c r="B1447">
        <f>I611</f>
        <v>180</v>
      </c>
      <c r="E1447" t="s">
        <v>13427</v>
      </c>
      <c r="F1447" s="49">
        <v>25</v>
      </c>
    </row>
    <row r="1448" spans="1:6" ht="15" customHeight="1" x14ac:dyDescent="0.3">
      <c r="A1448" t="s">
        <v>3385</v>
      </c>
      <c r="B1448">
        <f>I611</f>
        <v>180</v>
      </c>
      <c r="E1448" t="s">
        <v>5406</v>
      </c>
      <c r="F1448" s="49">
        <v>35</v>
      </c>
    </row>
    <row r="1449" spans="1:6" ht="15" customHeight="1" x14ac:dyDescent="0.3">
      <c r="A1449" t="s">
        <v>3386</v>
      </c>
      <c r="B1449">
        <f>I611</f>
        <v>180</v>
      </c>
      <c r="E1449" t="s">
        <v>5407</v>
      </c>
      <c r="F1449" s="49">
        <v>25</v>
      </c>
    </row>
    <row r="1450" spans="1:6" ht="15" customHeight="1" x14ac:dyDescent="0.3">
      <c r="A1450" t="s">
        <v>2097</v>
      </c>
      <c r="B1450">
        <f>I615</f>
        <v>65</v>
      </c>
      <c r="E1450" t="s">
        <v>10862</v>
      </c>
      <c r="F1450" s="49">
        <v>30</v>
      </c>
    </row>
    <row r="1451" spans="1:6" ht="15" customHeight="1" x14ac:dyDescent="0.3">
      <c r="A1451" t="s">
        <v>1926</v>
      </c>
      <c r="B1451">
        <f>I616</f>
        <v>80</v>
      </c>
      <c r="E1451" t="s">
        <v>10861</v>
      </c>
      <c r="F1451" s="49">
        <v>25</v>
      </c>
    </row>
    <row r="1452" spans="1:6" ht="15" customHeight="1" x14ac:dyDescent="0.3">
      <c r="A1452" t="s">
        <v>2378</v>
      </c>
      <c r="B1452">
        <f>I617</f>
        <v>90</v>
      </c>
      <c r="E1452" t="s">
        <v>13426</v>
      </c>
      <c r="F1452" s="49">
        <v>35</v>
      </c>
    </row>
    <row r="1453" spans="1:6" ht="15" customHeight="1" x14ac:dyDescent="0.3">
      <c r="A1453" t="s">
        <v>2540</v>
      </c>
      <c r="B1453">
        <f>I617</f>
        <v>90</v>
      </c>
      <c r="E1453" t="s">
        <v>13425</v>
      </c>
      <c r="F1453" s="49">
        <v>35</v>
      </c>
    </row>
    <row r="1454" spans="1:6" ht="15" customHeight="1" x14ac:dyDescent="0.3">
      <c r="A1454" t="s">
        <v>11909</v>
      </c>
      <c r="B1454">
        <f>I618</f>
        <v>100</v>
      </c>
      <c r="E1454" t="s">
        <v>5881</v>
      </c>
      <c r="F1454" s="49">
        <v>35</v>
      </c>
    </row>
    <row r="1455" spans="1:6" ht="15" customHeight="1" x14ac:dyDescent="0.3">
      <c r="A1455" t="s">
        <v>11910</v>
      </c>
      <c r="B1455">
        <f>I618</f>
        <v>100</v>
      </c>
      <c r="E1455" t="s">
        <v>5258</v>
      </c>
      <c r="F1455" s="49">
        <v>35</v>
      </c>
    </row>
    <row r="1456" spans="1:6" ht="15" customHeight="1" x14ac:dyDescent="0.3">
      <c r="A1456" t="s">
        <v>2098</v>
      </c>
      <c r="B1456">
        <f>I619</f>
        <v>65</v>
      </c>
      <c r="E1456" t="s">
        <v>5259</v>
      </c>
      <c r="F1456" s="49">
        <v>35</v>
      </c>
    </row>
    <row r="1457" spans="1:6" ht="15" customHeight="1" x14ac:dyDescent="0.3">
      <c r="A1457" t="s">
        <v>3119</v>
      </c>
      <c r="B1457">
        <f>I619</f>
        <v>65</v>
      </c>
      <c r="E1457" t="s">
        <v>5409</v>
      </c>
      <c r="F1457" s="49">
        <v>30</v>
      </c>
    </row>
    <row r="1458" spans="1:6" ht="15" customHeight="1" x14ac:dyDescent="0.3">
      <c r="A1458" t="s">
        <v>1927</v>
      </c>
      <c r="B1458">
        <f>I620</f>
        <v>80</v>
      </c>
      <c r="E1458" t="s">
        <v>13424</v>
      </c>
      <c r="F1458" s="49">
        <v>35</v>
      </c>
    </row>
    <row r="1459" spans="1:6" ht="15" customHeight="1" x14ac:dyDescent="0.3">
      <c r="A1459" t="s">
        <v>2379</v>
      </c>
      <c r="B1459">
        <f>I621</f>
        <v>90</v>
      </c>
      <c r="E1459" t="s">
        <v>5119</v>
      </c>
      <c r="F1459" s="49">
        <v>35</v>
      </c>
    </row>
    <row r="1460" spans="1:6" ht="15" customHeight="1" x14ac:dyDescent="0.3">
      <c r="A1460" t="s">
        <v>2541</v>
      </c>
      <c r="B1460">
        <f>I621</f>
        <v>90</v>
      </c>
      <c r="E1460" t="s">
        <v>5410</v>
      </c>
      <c r="F1460" s="49">
        <v>35</v>
      </c>
    </row>
    <row r="1461" spans="1:6" ht="15" customHeight="1" x14ac:dyDescent="0.3">
      <c r="A1461" t="s">
        <v>11911</v>
      </c>
      <c r="B1461">
        <f>I622</f>
        <v>100</v>
      </c>
      <c r="E1461" t="s">
        <v>5120</v>
      </c>
      <c r="F1461" s="49">
        <v>30</v>
      </c>
    </row>
    <row r="1462" spans="1:6" ht="15" customHeight="1" x14ac:dyDescent="0.3">
      <c r="A1462" t="s">
        <v>11912</v>
      </c>
      <c r="B1462">
        <f>I622</f>
        <v>100</v>
      </c>
      <c r="E1462" t="s">
        <v>1335</v>
      </c>
      <c r="F1462" s="49">
        <v>35</v>
      </c>
    </row>
    <row r="1463" spans="1:6" ht="15" customHeight="1" x14ac:dyDescent="0.3">
      <c r="A1463" t="s">
        <v>11078</v>
      </c>
      <c r="B1463">
        <f>I623</f>
        <v>65</v>
      </c>
      <c r="E1463" t="s">
        <v>1336</v>
      </c>
      <c r="F1463" s="49">
        <v>35</v>
      </c>
    </row>
    <row r="1464" spans="1:6" ht="15" customHeight="1" x14ac:dyDescent="0.3">
      <c r="A1464" t="s">
        <v>11079</v>
      </c>
      <c r="B1464">
        <f>I623</f>
        <v>65</v>
      </c>
      <c r="E1464" t="s">
        <v>5882</v>
      </c>
      <c r="F1464" s="49">
        <v>35</v>
      </c>
    </row>
    <row r="1465" spans="1:6" ht="15" customHeight="1" x14ac:dyDescent="0.3">
      <c r="A1465" t="s">
        <v>11080</v>
      </c>
      <c r="B1465">
        <f>I624</f>
        <v>85</v>
      </c>
      <c r="E1465" t="s">
        <v>5121</v>
      </c>
      <c r="F1465" s="49">
        <v>30</v>
      </c>
    </row>
    <row r="1466" spans="1:6" ht="15" customHeight="1" x14ac:dyDescent="0.3">
      <c r="A1466" t="s">
        <v>11081</v>
      </c>
      <c r="B1466">
        <f>I624</f>
        <v>85</v>
      </c>
      <c r="E1466" t="s">
        <v>5412</v>
      </c>
      <c r="F1466" s="49">
        <v>35</v>
      </c>
    </row>
    <row r="1467" spans="1:6" ht="15" customHeight="1" x14ac:dyDescent="0.3">
      <c r="A1467" t="s">
        <v>11082</v>
      </c>
      <c r="B1467">
        <f>I625</f>
        <v>95</v>
      </c>
      <c r="E1467" t="s">
        <v>1337</v>
      </c>
      <c r="F1467" s="49">
        <v>35</v>
      </c>
    </row>
    <row r="1468" spans="1:6" ht="15" customHeight="1" x14ac:dyDescent="0.3">
      <c r="A1468" t="s">
        <v>11083</v>
      </c>
      <c r="B1468">
        <f>I625</f>
        <v>95</v>
      </c>
      <c r="E1468" t="s">
        <v>1338</v>
      </c>
      <c r="F1468" s="49">
        <v>35</v>
      </c>
    </row>
    <row r="1469" spans="1:6" ht="15" customHeight="1" x14ac:dyDescent="0.3">
      <c r="A1469" t="s">
        <v>11913</v>
      </c>
      <c r="B1469">
        <f>I626</f>
        <v>105</v>
      </c>
      <c r="E1469" t="s">
        <v>1339</v>
      </c>
      <c r="F1469" s="49">
        <v>35</v>
      </c>
    </row>
    <row r="1470" spans="1:6" ht="15" customHeight="1" x14ac:dyDescent="0.3">
      <c r="A1470" t="s">
        <v>11914</v>
      </c>
      <c r="B1470">
        <f>I626</f>
        <v>105</v>
      </c>
      <c r="E1470" t="s">
        <v>1340</v>
      </c>
      <c r="F1470" s="49">
        <v>35</v>
      </c>
    </row>
    <row r="1471" spans="1:6" ht="15" customHeight="1" x14ac:dyDescent="0.3">
      <c r="A1471" t="s">
        <v>3387</v>
      </c>
      <c r="B1471">
        <f>I488</f>
        <v>85</v>
      </c>
      <c r="E1471" t="s">
        <v>1341</v>
      </c>
      <c r="F1471" s="49">
        <v>20</v>
      </c>
    </row>
    <row r="1472" spans="1:6" ht="15" customHeight="1" x14ac:dyDescent="0.3">
      <c r="A1472" t="s">
        <v>2099</v>
      </c>
      <c r="B1472">
        <f>I489</f>
        <v>90</v>
      </c>
      <c r="E1472" s="106" t="s">
        <v>13423</v>
      </c>
      <c r="F1472" s="49">
        <v>35</v>
      </c>
    </row>
    <row r="1473" spans="1:6" ht="15" customHeight="1" x14ac:dyDescent="0.3">
      <c r="A1473" t="s">
        <v>11364</v>
      </c>
      <c r="B1473">
        <f>I490</f>
        <v>160</v>
      </c>
      <c r="E1473" t="s">
        <v>6082</v>
      </c>
      <c r="F1473" s="49">
        <v>35</v>
      </c>
    </row>
    <row r="1474" spans="1:6" ht="15" customHeight="1" x14ac:dyDescent="0.3">
      <c r="A1474" t="s">
        <v>11365</v>
      </c>
      <c r="B1474">
        <f>I490</f>
        <v>160</v>
      </c>
      <c r="E1474" t="s">
        <v>1342</v>
      </c>
      <c r="F1474" s="49">
        <v>25</v>
      </c>
    </row>
    <row r="1475" spans="1:6" ht="15" customHeight="1" x14ac:dyDescent="0.3">
      <c r="A1475" t="s">
        <v>11366</v>
      </c>
      <c r="B1475">
        <f>I491</f>
        <v>190</v>
      </c>
      <c r="E1475" s="43" t="s">
        <v>10571</v>
      </c>
      <c r="F1475" s="49">
        <v>30</v>
      </c>
    </row>
    <row r="1476" spans="1:6" ht="15" customHeight="1" x14ac:dyDescent="0.3">
      <c r="A1476" t="s">
        <v>11367</v>
      </c>
      <c r="B1476">
        <f>I491</f>
        <v>190</v>
      </c>
      <c r="E1476" t="s">
        <v>5414</v>
      </c>
      <c r="F1476" s="49">
        <v>30</v>
      </c>
    </row>
    <row r="1477" spans="1:6" ht="15" customHeight="1" x14ac:dyDescent="0.3">
      <c r="A1477" t="s">
        <v>11368</v>
      </c>
      <c r="B1477">
        <f>I492</f>
        <v>200</v>
      </c>
      <c r="E1477" t="s">
        <v>5415</v>
      </c>
      <c r="F1477" s="49">
        <v>30</v>
      </c>
    </row>
    <row r="1478" spans="1:6" ht="15" customHeight="1" x14ac:dyDescent="0.3">
      <c r="A1478" t="s">
        <v>11369</v>
      </c>
      <c r="B1478">
        <f>I492</f>
        <v>200</v>
      </c>
      <c r="E1478" t="s">
        <v>5416</v>
      </c>
      <c r="F1478" s="49">
        <v>30</v>
      </c>
    </row>
    <row r="1479" spans="1:6" ht="15" customHeight="1" x14ac:dyDescent="0.3">
      <c r="A1479" t="s">
        <v>2100</v>
      </c>
      <c r="B1479">
        <f>I485</f>
        <v>60</v>
      </c>
      <c r="E1479" t="s">
        <v>13421</v>
      </c>
      <c r="F1479" s="49">
        <v>35</v>
      </c>
    </row>
    <row r="1480" spans="1:6" ht="15" customHeight="1" x14ac:dyDescent="0.3">
      <c r="A1480" t="s">
        <v>2101</v>
      </c>
      <c r="B1480">
        <f>I487</f>
        <v>65</v>
      </c>
      <c r="E1480" t="s">
        <v>5122</v>
      </c>
      <c r="F1480" s="49">
        <v>20</v>
      </c>
    </row>
    <row r="1481" spans="1:6" ht="15" customHeight="1" x14ac:dyDescent="0.3">
      <c r="A1481" t="s">
        <v>2102</v>
      </c>
      <c r="B1481">
        <f>I493</f>
        <v>75</v>
      </c>
      <c r="E1481" t="s">
        <v>5123</v>
      </c>
      <c r="F1481" s="49">
        <v>25</v>
      </c>
    </row>
    <row r="1482" spans="1:6" ht="15" customHeight="1" x14ac:dyDescent="0.3">
      <c r="A1482" t="s">
        <v>1928</v>
      </c>
      <c r="B1482">
        <f>I494</f>
        <v>80</v>
      </c>
      <c r="E1482" t="s">
        <v>13422</v>
      </c>
      <c r="F1482" s="49">
        <v>25</v>
      </c>
    </row>
    <row r="1483" spans="1:6" ht="15" customHeight="1" x14ac:dyDescent="0.3">
      <c r="A1483" t="s">
        <v>12998</v>
      </c>
      <c r="B1483">
        <f>I495</f>
        <v>90</v>
      </c>
      <c r="E1483" t="s">
        <v>5124</v>
      </c>
      <c r="F1483" s="49">
        <v>30</v>
      </c>
    </row>
    <row r="1484" spans="1:6" ht="15" customHeight="1" x14ac:dyDescent="0.3">
      <c r="A1484" t="s">
        <v>12999</v>
      </c>
      <c r="B1484">
        <f>I495</f>
        <v>90</v>
      </c>
      <c r="E1484" t="s">
        <v>5417</v>
      </c>
      <c r="F1484" s="49">
        <v>30</v>
      </c>
    </row>
    <row r="1485" spans="1:6" ht="15" customHeight="1" x14ac:dyDescent="0.3">
      <c r="A1485" t="s">
        <v>12997</v>
      </c>
      <c r="B1485">
        <f>I496</f>
        <v>100</v>
      </c>
      <c r="E1485" t="s">
        <v>1343</v>
      </c>
    </row>
    <row r="1486" spans="1:6" ht="15" customHeight="1" x14ac:dyDescent="0.3">
      <c r="A1486" t="s">
        <v>13000</v>
      </c>
      <c r="B1486">
        <f>I496</f>
        <v>100</v>
      </c>
      <c r="E1486" t="s">
        <v>1344</v>
      </c>
    </row>
    <row r="1487" spans="1:6" ht="15" customHeight="1" x14ac:dyDescent="0.3">
      <c r="A1487" t="s">
        <v>13001</v>
      </c>
      <c r="B1487">
        <f>I497</f>
        <v>110</v>
      </c>
      <c r="E1487" t="s">
        <v>1345</v>
      </c>
      <c r="F1487" s="49">
        <v>30</v>
      </c>
    </row>
    <row r="1488" spans="1:6" ht="15" customHeight="1" x14ac:dyDescent="0.3">
      <c r="A1488" t="s">
        <v>13002</v>
      </c>
      <c r="B1488">
        <f>I497</f>
        <v>110</v>
      </c>
      <c r="E1488" t="s">
        <v>1346</v>
      </c>
      <c r="F1488" s="49">
        <v>30</v>
      </c>
    </row>
    <row r="1489" spans="1:6" ht="15" customHeight="1" x14ac:dyDescent="0.3">
      <c r="A1489" t="s">
        <v>2103</v>
      </c>
      <c r="B1489">
        <f>I498</f>
        <v>65</v>
      </c>
      <c r="E1489" t="s">
        <v>1347</v>
      </c>
    </row>
    <row r="1490" spans="1:6" ht="15" customHeight="1" x14ac:dyDescent="0.3">
      <c r="A1490" t="s">
        <v>1929</v>
      </c>
      <c r="B1490">
        <f>I499</f>
        <v>75</v>
      </c>
      <c r="E1490" t="s">
        <v>1348</v>
      </c>
    </row>
    <row r="1491" spans="1:6" ht="15" customHeight="1" x14ac:dyDescent="0.3">
      <c r="A1491" t="s">
        <v>2104</v>
      </c>
      <c r="B1491">
        <f>I500</f>
        <v>70</v>
      </c>
      <c r="E1491" t="s">
        <v>1349</v>
      </c>
      <c r="F1491" s="49">
        <v>25</v>
      </c>
    </row>
    <row r="1492" spans="1:6" ht="15" customHeight="1" x14ac:dyDescent="0.3">
      <c r="A1492" t="s">
        <v>3126</v>
      </c>
      <c r="B1492">
        <f>I627</f>
        <v>70</v>
      </c>
      <c r="E1492" t="s">
        <v>1350</v>
      </c>
      <c r="F1492" s="49">
        <v>35</v>
      </c>
    </row>
    <row r="1493" spans="1:6" ht="15" customHeight="1" x14ac:dyDescent="0.3">
      <c r="A1493" t="s">
        <v>1930</v>
      </c>
      <c r="B1493">
        <f>I628</f>
        <v>85</v>
      </c>
      <c r="E1493" t="s">
        <v>1351</v>
      </c>
      <c r="F1493" s="49">
        <v>20</v>
      </c>
    </row>
    <row r="1494" spans="1:6" ht="15" customHeight="1" x14ac:dyDescent="0.3">
      <c r="A1494" t="s">
        <v>2380</v>
      </c>
      <c r="B1494">
        <f>I629</f>
        <v>100</v>
      </c>
      <c r="E1494" t="s">
        <v>1352</v>
      </c>
      <c r="F1494" s="49">
        <v>20</v>
      </c>
    </row>
    <row r="1495" spans="1:6" ht="15" customHeight="1" x14ac:dyDescent="0.3">
      <c r="A1495" t="s">
        <v>2542</v>
      </c>
      <c r="B1495">
        <f>I629</f>
        <v>100</v>
      </c>
      <c r="E1495" t="s">
        <v>1353</v>
      </c>
      <c r="F1495" s="49">
        <v>20</v>
      </c>
    </row>
    <row r="1496" spans="1:6" ht="15" customHeight="1" x14ac:dyDescent="0.3">
      <c r="A1496" t="s">
        <v>11915</v>
      </c>
      <c r="B1496">
        <f>I630</f>
        <v>110</v>
      </c>
      <c r="E1496" t="s">
        <v>1354</v>
      </c>
      <c r="F1496" s="49">
        <v>20</v>
      </c>
    </row>
    <row r="1497" spans="1:6" ht="15" customHeight="1" x14ac:dyDescent="0.3">
      <c r="A1497" t="s">
        <v>11916</v>
      </c>
      <c r="B1497">
        <f>I630</f>
        <v>110</v>
      </c>
      <c r="E1497" t="s">
        <v>1355</v>
      </c>
      <c r="F1497" s="49">
        <v>20</v>
      </c>
    </row>
    <row r="1498" spans="1:6" ht="15" customHeight="1" x14ac:dyDescent="0.3">
      <c r="A1498" t="s">
        <v>2106</v>
      </c>
      <c r="B1498">
        <f>I627</f>
        <v>70</v>
      </c>
      <c r="E1498" t="s">
        <v>1356</v>
      </c>
      <c r="F1498" s="49">
        <v>30</v>
      </c>
    </row>
    <row r="1499" spans="1:6" ht="15" customHeight="1" x14ac:dyDescent="0.3">
      <c r="A1499" t="s">
        <v>2105</v>
      </c>
      <c r="B1499">
        <f>I627</f>
        <v>70</v>
      </c>
      <c r="E1499" t="s">
        <v>1357</v>
      </c>
      <c r="F1499" s="49">
        <v>30</v>
      </c>
    </row>
    <row r="1500" spans="1:6" ht="15" customHeight="1" x14ac:dyDescent="0.3">
      <c r="A1500" t="s">
        <v>1931</v>
      </c>
      <c r="B1500">
        <f>I631</f>
        <v>85</v>
      </c>
      <c r="E1500" t="s">
        <v>1358</v>
      </c>
    </row>
    <row r="1501" spans="1:6" ht="15" customHeight="1" x14ac:dyDescent="0.3">
      <c r="A1501" t="s">
        <v>2381</v>
      </c>
      <c r="B1501">
        <f>I632</f>
        <v>95</v>
      </c>
      <c r="E1501" t="s">
        <v>12113</v>
      </c>
      <c r="F1501" s="49">
        <v>30</v>
      </c>
    </row>
    <row r="1502" spans="1:6" ht="15" customHeight="1" x14ac:dyDescent="0.3">
      <c r="A1502" t="s">
        <v>2543</v>
      </c>
      <c r="B1502">
        <f>I632</f>
        <v>95</v>
      </c>
      <c r="E1502" t="s">
        <v>1359</v>
      </c>
      <c r="F1502" s="49">
        <v>30</v>
      </c>
    </row>
    <row r="1503" spans="1:6" ht="15" customHeight="1" x14ac:dyDescent="0.3">
      <c r="A1503" t="s">
        <v>11917</v>
      </c>
      <c r="B1503">
        <f>I633</f>
        <v>105</v>
      </c>
      <c r="E1503" s="43" t="s">
        <v>10570</v>
      </c>
      <c r="F1503" s="49">
        <v>30</v>
      </c>
    </row>
    <row r="1504" spans="1:6" ht="15" customHeight="1" x14ac:dyDescent="0.3">
      <c r="A1504" t="s">
        <v>11918</v>
      </c>
      <c r="B1504">
        <f>I633</f>
        <v>105</v>
      </c>
      <c r="E1504" t="s">
        <v>1360</v>
      </c>
      <c r="F1504" s="49">
        <v>15</v>
      </c>
    </row>
    <row r="1505" spans="1:6" ht="15" customHeight="1" x14ac:dyDescent="0.3">
      <c r="A1505" t="s">
        <v>2107</v>
      </c>
      <c r="B1505">
        <f>I634</f>
        <v>70</v>
      </c>
      <c r="E1505" t="s">
        <v>1361</v>
      </c>
      <c r="F1505" s="49">
        <v>15</v>
      </c>
    </row>
    <row r="1506" spans="1:6" ht="15" customHeight="1" x14ac:dyDescent="0.3">
      <c r="A1506" t="s">
        <v>1932</v>
      </c>
      <c r="B1506">
        <f>I635</f>
        <v>85</v>
      </c>
      <c r="E1506" t="s">
        <v>1362</v>
      </c>
      <c r="F1506" s="49">
        <v>20</v>
      </c>
    </row>
    <row r="1507" spans="1:6" ht="15" customHeight="1" x14ac:dyDescent="0.3">
      <c r="A1507" t="s">
        <v>2108</v>
      </c>
      <c r="B1507">
        <f>I509</f>
        <v>70</v>
      </c>
      <c r="E1507" t="s">
        <v>1363</v>
      </c>
      <c r="F1507" s="49">
        <v>20</v>
      </c>
    </row>
    <row r="1508" spans="1:6" ht="15" customHeight="1" x14ac:dyDescent="0.3">
      <c r="A1508" t="s">
        <v>2109</v>
      </c>
      <c r="B1508">
        <f>I501</f>
        <v>60</v>
      </c>
      <c r="E1508" t="s">
        <v>1364</v>
      </c>
      <c r="F1508" s="49">
        <v>35</v>
      </c>
    </row>
    <row r="1509" spans="1:6" ht="15" customHeight="1" x14ac:dyDescent="0.3">
      <c r="A1509" t="s">
        <v>1933</v>
      </c>
      <c r="B1509">
        <f>I502</f>
        <v>80</v>
      </c>
      <c r="E1509" t="s">
        <v>1365</v>
      </c>
      <c r="F1509" s="49">
        <v>35</v>
      </c>
    </row>
    <row r="1510" spans="1:6" ht="15" customHeight="1" x14ac:dyDescent="0.3">
      <c r="A1510" t="s">
        <v>2382</v>
      </c>
      <c r="B1510">
        <f>I503</f>
        <v>90</v>
      </c>
      <c r="E1510" t="s">
        <v>1366</v>
      </c>
      <c r="F1510" s="49">
        <v>20</v>
      </c>
    </row>
    <row r="1511" spans="1:6" ht="15" customHeight="1" x14ac:dyDescent="0.3">
      <c r="A1511" t="s">
        <v>2544</v>
      </c>
      <c r="B1511">
        <f>I503</f>
        <v>90</v>
      </c>
      <c r="E1511" t="s">
        <v>1367</v>
      </c>
      <c r="F1511" s="49">
        <v>15</v>
      </c>
    </row>
    <row r="1512" spans="1:6" ht="15" customHeight="1" x14ac:dyDescent="0.3">
      <c r="A1512" t="s">
        <v>11919</v>
      </c>
      <c r="B1512">
        <f>I504</f>
        <v>100</v>
      </c>
      <c r="E1512" t="s">
        <v>1368</v>
      </c>
      <c r="F1512" s="49">
        <v>25</v>
      </c>
    </row>
    <row r="1513" spans="1:6" ht="15" customHeight="1" x14ac:dyDescent="0.3">
      <c r="A1513" t="s">
        <v>11920</v>
      </c>
      <c r="B1513">
        <f>I504</f>
        <v>100</v>
      </c>
      <c r="E1513" t="s">
        <v>1369</v>
      </c>
      <c r="F1513" s="49">
        <v>20</v>
      </c>
    </row>
    <row r="1514" spans="1:6" ht="15" customHeight="1" x14ac:dyDescent="0.3">
      <c r="A1514" t="s">
        <v>2110</v>
      </c>
      <c r="B1514">
        <f>I509</f>
        <v>70</v>
      </c>
      <c r="E1514" t="s">
        <v>1370</v>
      </c>
      <c r="F1514" s="49">
        <v>15</v>
      </c>
    </row>
    <row r="1515" spans="1:6" ht="15" customHeight="1" x14ac:dyDescent="0.3">
      <c r="A1515" t="s">
        <v>2111</v>
      </c>
      <c r="B1515">
        <f>I505</f>
        <v>65</v>
      </c>
      <c r="E1515" t="s">
        <v>1371</v>
      </c>
      <c r="F1515" s="49">
        <v>20</v>
      </c>
    </row>
    <row r="1516" spans="1:6" ht="15" customHeight="1" x14ac:dyDescent="0.3">
      <c r="A1516" t="s">
        <v>1934</v>
      </c>
      <c r="B1516">
        <f>I506</f>
        <v>90</v>
      </c>
      <c r="E1516" t="s">
        <v>1372</v>
      </c>
      <c r="F1516" s="49">
        <v>10</v>
      </c>
    </row>
    <row r="1517" spans="1:6" ht="15" customHeight="1" x14ac:dyDescent="0.3">
      <c r="A1517" t="s">
        <v>12360</v>
      </c>
      <c r="B1517">
        <f>I507</f>
        <v>95</v>
      </c>
      <c r="E1517" t="s">
        <v>13501</v>
      </c>
      <c r="F1517" s="49">
        <v>20</v>
      </c>
    </row>
    <row r="1518" spans="1:6" ht="15" customHeight="1" x14ac:dyDescent="0.3">
      <c r="A1518" t="s">
        <v>12361</v>
      </c>
      <c r="B1518">
        <f>I507</f>
        <v>95</v>
      </c>
      <c r="E1518" t="s">
        <v>13502</v>
      </c>
      <c r="F1518" s="49">
        <v>20</v>
      </c>
    </row>
    <row r="1519" spans="1:6" ht="15" customHeight="1" x14ac:dyDescent="0.3">
      <c r="A1519" t="s">
        <v>12362</v>
      </c>
      <c r="B1519">
        <f>I508</f>
        <v>105</v>
      </c>
      <c r="E1519" t="s">
        <v>13503</v>
      </c>
      <c r="F1519" s="49">
        <v>20</v>
      </c>
    </row>
    <row r="1520" spans="1:6" ht="15" customHeight="1" x14ac:dyDescent="0.3">
      <c r="A1520" t="s">
        <v>12363</v>
      </c>
      <c r="B1520">
        <f>I508</f>
        <v>105</v>
      </c>
      <c r="E1520" t="s">
        <v>13504</v>
      </c>
      <c r="F1520" s="49">
        <v>20</v>
      </c>
    </row>
    <row r="1521" spans="1:6" ht="15" customHeight="1" x14ac:dyDescent="0.3">
      <c r="A1521" t="s">
        <v>2266</v>
      </c>
      <c r="B1521">
        <f>I638</f>
        <v>65</v>
      </c>
      <c r="E1521" t="s">
        <v>13508</v>
      </c>
      <c r="F1521" s="49">
        <v>20</v>
      </c>
    </row>
    <row r="1522" spans="1:6" ht="15" customHeight="1" x14ac:dyDescent="0.3">
      <c r="A1522" t="s">
        <v>12520</v>
      </c>
      <c r="B1522">
        <f>I640</f>
        <v>80</v>
      </c>
      <c r="E1522" t="s">
        <v>13509</v>
      </c>
      <c r="F1522" s="49">
        <v>20</v>
      </c>
    </row>
    <row r="1523" spans="1:6" ht="15" customHeight="1" x14ac:dyDescent="0.3">
      <c r="A1523" t="s">
        <v>12521</v>
      </c>
      <c r="B1523">
        <f>I640</f>
        <v>80</v>
      </c>
      <c r="E1523" t="s">
        <v>13510</v>
      </c>
      <c r="F1523" s="49">
        <v>20</v>
      </c>
    </row>
    <row r="1524" spans="1:6" ht="15" customHeight="1" x14ac:dyDescent="0.3">
      <c r="A1524" t="s">
        <v>2112</v>
      </c>
      <c r="B1524">
        <f>I639</f>
        <v>155</v>
      </c>
      <c r="E1524" t="s">
        <v>1421</v>
      </c>
      <c r="F1524" s="49">
        <v>15</v>
      </c>
    </row>
    <row r="1525" spans="1:6" ht="15" customHeight="1" x14ac:dyDescent="0.3">
      <c r="A1525" t="s">
        <v>3389</v>
      </c>
      <c r="B1525">
        <f>I639</f>
        <v>155</v>
      </c>
      <c r="E1525" t="s">
        <v>1425</v>
      </c>
      <c r="F1525" s="49">
        <v>20</v>
      </c>
    </row>
    <row r="1526" spans="1:6" ht="15" customHeight="1" x14ac:dyDescent="0.3">
      <c r="A1526" t="s">
        <v>3390</v>
      </c>
      <c r="B1526">
        <f>I639</f>
        <v>155</v>
      </c>
      <c r="E1526" t="s">
        <v>1426</v>
      </c>
      <c r="F1526" s="49">
        <v>20</v>
      </c>
    </row>
    <row r="1527" spans="1:6" ht="15" customHeight="1" x14ac:dyDescent="0.3">
      <c r="A1527" t="s">
        <v>12560</v>
      </c>
      <c r="B1527">
        <f>I641</f>
        <v>165</v>
      </c>
      <c r="E1527" t="s">
        <v>1427</v>
      </c>
      <c r="F1527" s="49">
        <v>20</v>
      </c>
    </row>
    <row r="1528" spans="1:6" ht="15" customHeight="1" x14ac:dyDescent="0.3">
      <c r="A1528" t="s">
        <v>12561</v>
      </c>
      <c r="B1528">
        <f>I641</f>
        <v>165</v>
      </c>
      <c r="E1528" t="s">
        <v>1428</v>
      </c>
      <c r="F1528" s="49">
        <v>15</v>
      </c>
    </row>
    <row r="1529" spans="1:6" ht="15" customHeight="1" x14ac:dyDescent="0.3">
      <c r="A1529" t="s">
        <v>12562</v>
      </c>
      <c r="B1529">
        <f>I641</f>
        <v>165</v>
      </c>
      <c r="E1529" t="s">
        <v>1429</v>
      </c>
      <c r="F1529" s="49">
        <v>20</v>
      </c>
    </row>
    <row r="1530" spans="1:6" ht="15" customHeight="1" x14ac:dyDescent="0.3">
      <c r="A1530" t="s">
        <v>12563</v>
      </c>
      <c r="B1530">
        <f>I641</f>
        <v>165</v>
      </c>
      <c r="E1530" t="s">
        <v>13511</v>
      </c>
      <c r="F1530" s="49">
        <v>20</v>
      </c>
    </row>
    <row r="1531" spans="1:6" ht="15" customHeight="1" x14ac:dyDescent="0.3">
      <c r="A1531" t="s">
        <v>12890</v>
      </c>
      <c r="B1531">
        <f>I642</f>
        <v>185</v>
      </c>
      <c r="E1531" t="s">
        <v>13512</v>
      </c>
      <c r="F1531" s="49">
        <v>20</v>
      </c>
    </row>
    <row r="1532" spans="1:6" ht="15" customHeight="1" x14ac:dyDescent="0.3">
      <c r="A1532" t="s">
        <v>12891</v>
      </c>
      <c r="B1532">
        <f>I642</f>
        <v>185</v>
      </c>
      <c r="E1532" s="37" t="s">
        <v>7825</v>
      </c>
      <c r="F1532" s="49">
        <v>15</v>
      </c>
    </row>
    <row r="1533" spans="1:6" ht="15" customHeight="1" x14ac:dyDescent="0.3">
      <c r="A1533" t="s">
        <v>2267</v>
      </c>
      <c r="B1533">
        <f>I644</f>
        <v>75</v>
      </c>
      <c r="E1533" s="37" t="s">
        <v>7826</v>
      </c>
      <c r="F1533" s="49">
        <v>15</v>
      </c>
    </row>
    <row r="1534" spans="1:6" ht="15" customHeight="1" x14ac:dyDescent="0.3">
      <c r="A1534" t="s">
        <v>1935</v>
      </c>
      <c r="B1534">
        <f>I647</f>
        <v>215</v>
      </c>
      <c r="E1534" t="s">
        <v>1422</v>
      </c>
      <c r="F1534" s="49">
        <v>15</v>
      </c>
    </row>
    <row r="1535" spans="1:6" ht="15" customHeight="1" x14ac:dyDescent="0.3">
      <c r="A1535" t="s">
        <v>3391</v>
      </c>
      <c r="B1535">
        <f>I647</f>
        <v>215</v>
      </c>
      <c r="E1535" t="s">
        <v>1423</v>
      </c>
      <c r="F1535" s="49">
        <v>15</v>
      </c>
    </row>
    <row r="1536" spans="1:6" ht="15" customHeight="1" x14ac:dyDescent="0.3">
      <c r="A1536" t="s">
        <v>3392</v>
      </c>
      <c r="B1536">
        <f>I647</f>
        <v>215</v>
      </c>
      <c r="E1536" t="s">
        <v>1424</v>
      </c>
      <c r="F1536" s="49">
        <v>20</v>
      </c>
    </row>
    <row r="1537" spans="1:6" ht="15" customHeight="1" x14ac:dyDescent="0.3">
      <c r="A1537" t="s">
        <v>2383</v>
      </c>
      <c r="B1537">
        <f>I648</f>
        <v>275</v>
      </c>
      <c r="E1537" t="s">
        <v>13513</v>
      </c>
      <c r="F1537" s="49">
        <v>20</v>
      </c>
    </row>
    <row r="1538" spans="1:6" ht="15" customHeight="1" x14ac:dyDescent="0.3">
      <c r="A1538" t="s">
        <v>2545</v>
      </c>
      <c r="B1538">
        <f>I648</f>
        <v>275</v>
      </c>
      <c r="E1538" t="s">
        <v>13514</v>
      </c>
      <c r="F1538" s="49">
        <v>20</v>
      </c>
    </row>
    <row r="1539" spans="1:6" ht="15" customHeight="1" x14ac:dyDescent="0.3">
      <c r="A1539" t="s">
        <v>11921</v>
      </c>
      <c r="B1539">
        <f>I649</f>
        <v>285</v>
      </c>
      <c r="E1539" t="s">
        <v>13515</v>
      </c>
      <c r="F1539" s="49">
        <v>20</v>
      </c>
    </row>
    <row r="1540" spans="1:6" ht="15" customHeight="1" x14ac:dyDescent="0.3">
      <c r="A1540" t="s">
        <v>11922</v>
      </c>
      <c r="B1540">
        <f>I649</f>
        <v>285</v>
      </c>
      <c r="E1540" t="s">
        <v>13516</v>
      </c>
      <c r="F1540" s="49">
        <v>15</v>
      </c>
    </row>
    <row r="1541" spans="1:6" ht="15" customHeight="1" x14ac:dyDescent="0.3">
      <c r="A1541" t="s">
        <v>2319</v>
      </c>
      <c r="B1541">
        <f>I645</f>
        <v>100</v>
      </c>
      <c r="E1541" t="s">
        <v>13517</v>
      </c>
      <c r="F1541" s="49">
        <v>20</v>
      </c>
    </row>
    <row r="1542" spans="1:6" ht="15" customHeight="1" x14ac:dyDescent="0.3">
      <c r="A1542" t="s">
        <v>2113</v>
      </c>
      <c r="B1542">
        <f>I646</f>
        <v>180</v>
      </c>
      <c r="E1542" t="s">
        <v>13518</v>
      </c>
      <c r="F1542" s="49">
        <v>20</v>
      </c>
    </row>
    <row r="1543" spans="1:6" ht="15" customHeight="1" x14ac:dyDescent="0.3">
      <c r="A1543" t="s">
        <v>3393</v>
      </c>
      <c r="B1543">
        <f>I646</f>
        <v>180</v>
      </c>
      <c r="E1543" t="s">
        <v>13519</v>
      </c>
      <c r="F1543" s="49">
        <v>20</v>
      </c>
    </row>
    <row r="1544" spans="1:6" ht="15" customHeight="1" x14ac:dyDescent="0.3">
      <c r="A1544" t="s">
        <v>3394</v>
      </c>
      <c r="B1544">
        <f>I646</f>
        <v>180</v>
      </c>
      <c r="E1544" t="s">
        <v>13520</v>
      </c>
      <c r="F1544" s="49">
        <v>20</v>
      </c>
    </row>
    <row r="1545" spans="1:6" ht="15" customHeight="1" x14ac:dyDescent="0.3">
      <c r="A1545" t="s">
        <v>2114</v>
      </c>
      <c r="B1545">
        <f>I650</f>
        <v>75</v>
      </c>
      <c r="E1545" t="s">
        <v>13521</v>
      </c>
      <c r="F1545" s="49">
        <v>20</v>
      </c>
    </row>
    <row r="1546" spans="1:6" ht="15" customHeight="1" x14ac:dyDescent="0.3">
      <c r="A1546" t="s">
        <v>1936</v>
      </c>
      <c r="B1546">
        <f>I651</f>
        <v>95</v>
      </c>
      <c r="E1546" t="s">
        <v>13522</v>
      </c>
      <c r="F1546" s="49">
        <v>20</v>
      </c>
    </row>
    <row r="1547" spans="1:6" ht="15" customHeight="1" x14ac:dyDescent="0.3">
      <c r="A1547" t="s">
        <v>2384</v>
      </c>
      <c r="B1547">
        <f>I652</f>
        <v>110</v>
      </c>
      <c r="E1547" t="s">
        <v>13523</v>
      </c>
      <c r="F1547" s="49">
        <v>20</v>
      </c>
    </row>
    <row r="1548" spans="1:6" ht="15" customHeight="1" x14ac:dyDescent="0.3">
      <c r="A1548" t="s">
        <v>2546</v>
      </c>
      <c r="B1548">
        <f>I652</f>
        <v>110</v>
      </c>
      <c r="E1548" t="s">
        <v>13524</v>
      </c>
      <c r="F1548" s="49">
        <v>20</v>
      </c>
    </row>
    <row r="1549" spans="1:6" ht="15" customHeight="1" x14ac:dyDescent="0.3">
      <c r="A1549" t="s">
        <v>11923</v>
      </c>
      <c r="B1549">
        <f>I653</f>
        <v>120</v>
      </c>
      <c r="E1549" t="s">
        <v>13525</v>
      </c>
      <c r="F1549" s="49">
        <v>20</v>
      </c>
    </row>
    <row r="1550" spans="1:6" ht="15" customHeight="1" x14ac:dyDescent="0.3">
      <c r="A1550" t="s">
        <v>11924</v>
      </c>
      <c r="B1550">
        <f>I653</f>
        <v>120</v>
      </c>
      <c r="E1550" t="s">
        <v>13526</v>
      </c>
      <c r="F1550" s="49">
        <v>20</v>
      </c>
    </row>
    <row r="1551" spans="1:6" ht="15" customHeight="1" x14ac:dyDescent="0.3">
      <c r="A1551" s="54" t="s">
        <v>11119</v>
      </c>
      <c r="B1551">
        <f>I654</f>
        <v>85</v>
      </c>
      <c r="E1551" t="s">
        <v>13527</v>
      </c>
      <c r="F1551" s="49">
        <v>15</v>
      </c>
    </row>
    <row r="1552" spans="1:6" ht="15" customHeight="1" x14ac:dyDescent="0.3">
      <c r="A1552" s="54" t="s">
        <v>11120</v>
      </c>
      <c r="B1552">
        <f>I654</f>
        <v>85</v>
      </c>
      <c r="E1552" t="s">
        <v>13528</v>
      </c>
      <c r="F1552" s="49">
        <v>20</v>
      </c>
    </row>
    <row r="1553" spans="1:6" ht="15" customHeight="1" x14ac:dyDescent="0.3">
      <c r="A1553" t="s">
        <v>2115</v>
      </c>
      <c r="B1553">
        <f>I510</f>
        <v>65</v>
      </c>
      <c r="E1553" t="s">
        <v>13529</v>
      </c>
      <c r="F1553" s="49">
        <v>20</v>
      </c>
    </row>
    <row r="1554" spans="1:6" ht="15" customHeight="1" x14ac:dyDescent="0.3">
      <c r="A1554" t="s">
        <v>1937</v>
      </c>
      <c r="B1554">
        <f>I511</f>
        <v>80</v>
      </c>
      <c r="E1554" t="s">
        <v>13530</v>
      </c>
      <c r="F1554" s="49">
        <v>20</v>
      </c>
    </row>
    <row r="1555" spans="1:6" ht="15" customHeight="1" x14ac:dyDescent="0.3">
      <c r="A1555" t="s">
        <v>2116</v>
      </c>
      <c r="B1555">
        <f>I512</f>
        <v>60</v>
      </c>
      <c r="E1555" t="s">
        <v>13531</v>
      </c>
      <c r="F1555" s="49">
        <v>20</v>
      </c>
    </row>
    <row r="1556" spans="1:6" ht="15" customHeight="1" x14ac:dyDescent="0.3">
      <c r="A1556" t="s">
        <v>1938</v>
      </c>
      <c r="B1556">
        <f>I513</f>
        <v>90</v>
      </c>
      <c r="E1556" t="s">
        <v>13532</v>
      </c>
      <c r="F1556" s="49">
        <v>15</v>
      </c>
    </row>
    <row r="1557" spans="1:6" ht="15" customHeight="1" x14ac:dyDescent="0.3">
      <c r="A1557" t="s">
        <v>2385</v>
      </c>
      <c r="B1557">
        <f>I514</f>
        <v>100</v>
      </c>
      <c r="E1557" s="22" t="s">
        <v>13533</v>
      </c>
      <c r="F1557" s="49">
        <v>15</v>
      </c>
    </row>
    <row r="1558" spans="1:6" ht="15" customHeight="1" x14ac:dyDescent="0.3">
      <c r="A1558" t="s">
        <v>2547</v>
      </c>
      <c r="B1558">
        <f>I514</f>
        <v>100</v>
      </c>
      <c r="E1558" t="s">
        <v>13534</v>
      </c>
      <c r="F1558" s="49">
        <v>15</v>
      </c>
    </row>
    <row r="1559" spans="1:6" ht="15" customHeight="1" x14ac:dyDescent="0.3">
      <c r="A1559" t="s">
        <v>11925</v>
      </c>
      <c r="B1559">
        <f>I515</f>
        <v>110</v>
      </c>
      <c r="E1559" t="s">
        <v>13535</v>
      </c>
      <c r="F1559" s="49">
        <v>20</v>
      </c>
    </row>
    <row r="1560" spans="1:6" ht="15" customHeight="1" x14ac:dyDescent="0.3">
      <c r="A1560" t="s">
        <v>11926</v>
      </c>
      <c r="B1560">
        <f t="shared" ref="B1560:B1561" si="1106">I515</f>
        <v>110</v>
      </c>
      <c r="E1560" t="s">
        <v>13536</v>
      </c>
      <c r="F1560" s="49">
        <v>25</v>
      </c>
    </row>
    <row r="1561" spans="1:6" ht="15" customHeight="1" x14ac:dyDescent="0.3">
      <c r="A1561" t="s">
        <v>2117</v>
      </c>
      <c r="B1561">
        <f t="shared" si="1106"/>
        <v>65</v>
      </c>
      <c r="E1561" t="s">
        <v>13540</v>
      </c>
      <c r="F1561" s="49">
        <v>15</v>
      </c>
    </row>
    <row r="1562" spans="1:6" ht="15" customHeight="1" x14ac:dyDescent="0.3">
      <c r="A1562" t="s">
        <v>1939</v>
      </c>
      <c r="B1562">
        <f>I517</f>
        <v>90</v>
      </c>
      <c r="E1562" t="s">
        <v>13541</v>
      </c>
      <c r="F1562" s="49">
        <v>15</v>
      </c>
    </row>
    <row r="1563" spans="1:6" ht="15" customHeight="1" x14ac:dyDescent="0.3">
      <c r="A1563" s="77" t="s">
        <v>12896</v>
      </c>
      <c r="B1563">
        <f>I518</f>
        <v>95</v>
      </c>
      <c r="E1563" t="s">
        <v>1436</v>
      </c>
      <c r="F1563" s="49">
        <v>12</v>
      </c>
    </row>
    <row r="1564" spans="1:6" ht="15" customHeight="1" x14ac:dyDescent="0.3">
      <c r="A1564" s="77" t="s">
        <v>12897</v>
      </c>
      <c r="B1564">
        <f>I518</f>
        <v>95</v>
      </c>
      <c r="E1564" t="s">
        <v>1437</v>
      </c>
      <c r="F1564" s="49">
        <v>15</v>
      </c>
    </row>
    <row r="1565" spans="1:6" ht="15" customHeight="1" x14ac:dyDescent="0.3">
      <c r="A1565" s="77" t="s">
        <v>12898</v>
      </c>
      <c r="B1565">
        <f>I519</f>
        <v>105</v>
      </c>
      <c r="E1565" t="s">
        <v>1438</v>
      </c>
      <c r="F1565" s="49">
        <v>12</v>
      </c>
    </row>
    <row r="1566" spans="1:6" ht="15" customHeight="1" x14ac:dyDescent="0.3">
      <c r="A1566" s="77" t="s">
        <v>12899</v>
      </c>
      <c r="B1566">
        <f>I519</f>
        <v>105</v>
      </c>
      <c r="E1566" t="s">
        <v>13542</v>
      </c>
      <c r="F1566" s="49">
        <v>20</v>
      </c>
    </row>
    <row r="1567" spans="1:6" ht="15" customHeight="1" x14ac:dyDescent="0.3">
      <c r="A1567" t="s">
        <v>2119</v>
      </c>
      <c r="B1567">
        <f>I520</f>
        <v>70</v>
      </c>
      <c r="E1567" t="s">
        <v>13543</v>
      </c>
      <c r="F1567" s="49">
        <v>15</v>
      </c>
    </row>
    <row r="1568" spans="1:6" ht="15" customHeight="1" x14ac:dyDescent="0.3">
      <c r="A1568" t="s">
        <v>1941</v>
      </c>
      <c r="B1568">
        <f>I521</f>
        <v>100</v>
      </c>
      <c r="E1568" t="s">
        <v>13544</v>
      </c>
      <c r="F1568" s="49">
        <v>15</v>
      </c>
    </row>
    <row r="1569" spans="1:6" ht="15" customHeight="1" x14ac:dyDescent="0.3">
      <c r="A1569" s="74" t="s">
        <v>12699</v>
      </c>
      <c r="B1569">
        <f>I522</f>
        <v>105</v>
      </c>
      <c r="E1569" t="s">
        <v>13545</v>
      </c>
      <c r="F1569" s="49">
        <v>20</v>
      </c>
    </row>
    <row r="1570" spans="1:6" ht="15" customHeight="1" x14ac:dyDescent="0.3">
      <c r="A1570" s="74" t="s">
        <v>12700</v>
      </c>
      <c r="B1570">
        <f>I522</f>
        <v>105</v>
      </c>
      <c r="E1570" t="s">
        <v>13546</v>
      </c>
      <c r="F1570" s="49">
        <v>15</v>
      </c>
    </row>
    <row r="1571" spans="1:6" ht="15" customHeight="1" x14ac:dyDescent="0.3">
      <c r="A1571" s="74" t="s">
        <v>12701</v>
      </c>
      <c r="B1571">
        <f>I523</f>
        <v>115</v>
      </c>
      <c r="E1571" t="s">
        <v>13547</v>
      </c>
      <c r="F1571" s="49">
        <v>20</v>
      </c>
    </row>
    <row r="1572" spans="1:6" ht="15" customHeight="1" x14ac:dyDescent="0.3">
      <c r="A1572" s="74" t="s">
        <v>12702</v>
      </c>
      <c r="B1572">
        <f>I523</f>
        <v>115</v>
      </c>
      <c r="E1572" t="s">
        <v>13548</v>
      </c>
      <c r="F1572" s="49">
        <v>15</v>
      </c>
    </row>
    <row r="1573" spans="1:6" ht="15" customHeight="1" x14ac:dyDescent="0.3">
      <c r="A1573" t="s">
        <v>2118</v>
      </c>
      <c r="B1573">
        <f>I524</f>
        <v>60</v>
      </c>
      <c r="E1573" t="s">
        <v>1439</v>
      </c>
      <c r="F1573" s="49">
        <v>15</v>
      </c>
    </row>
    <row r="1574" spans="1:6" ht="15" customHeight="1" x14ac:dyDescent="0.3">
      <c r="A1574" t="s">
        <v>1940</v>
      </c>
      <c r="B1574">
        <f>I525</f>
        <v>65</v>
      </c>
      <c r="E1574" t="s">
        <v>1443</v>
      </c>
      <c r="F1574" s="49">
        <v>20</v>
      </c>
    </row>
    <row r="1575" spans="1:6" ht="15" customHeight="1" x14ac:dyDescent="0.3">
      <c r="A1575" t="s">
        <v>2386</v>
      </c>
      <c r="B1575">
        <f>I526</f>
        <v>85</v>
      </c>
      <c r="E1575" t="s">
        <v>13549</v>
      </c>
      <c r="F1575" s="49">
        <v>15</v>
      </c>
    </row>
    <row r="1576" spans="1:6" ht="15" customHeight="1" x14ac:dyDescent="0.3">
      <c r="A1576" t="s">
        <v>2548</v>
      </c>
      <c r="B1576">
        <f>I526</f>
        <v>85</v>
      </c>
      <c r="E1576" t="s">
        <v>13564</v>
      </c>
      <c r="F1576" s="49">
        <v>15</v>
      </c>
    </row>
    <row r="1577" spans="1:6" ht="15" customHeight="1" x14ac:dyDescent="0.3">
      <c r="A1577" t="s">
        <v>11927</v>
      </c>
      <c r="B1577">
        <f>I527</f>
        <v>95</v>
      </c>
      <c r="E1577" t="s">
        <v>13550</v>
      </c>
      <c r="F1577" s="49">
        <v>15</v>
      </c>
    </row>
    <row r="1578" spans="1:6" ht="15" customHeight="1" x14ac:dyDescent="0.3">
      <c r="A1578" t="s">
        <v>11928</v>
      </c>
      <c r="B1578">
        <f>I527</f>
        <v>95</v>
      </c>
      <c r="E1578" s="78" t="s">
        <v>12953</v>
      </c>
      <c r="F1578" s="49">
        <v>15</v>
      </c>
    </row>
    <row r="1579" spans="1:6" ht="15" customHeight="1" x14ac:dyDescent="0.3">
      <c r="A1579" t="s">
        <v>2268</v>
      </c>
      <c r="B1579">
        <f>I656</f>
        <v>75</v>
      </c>
      <c r="E1579" t="s">
        <v>1440</v>
      </c>
      <c r="F1579" s="49">
        <v>15</v>
      </c>
    </row>
    <row r="1580" spans="1:6" ht="15" customHeight="1" x14ac:dyDescent="0.3">
      <c r="A1580" t="s">
        <v>1942</v>
      </c>
      <c r="B1580">
        <f>I659</f>
        <v>205</v>
      </c>
      <c r="E1580" t="s">
        <v>13551</v>
      </c>
      <c r="F1580" s="49">
        <v>20</v>
      </c>
    </row>
    <row r="1581" spans="1:6" ht="15" customHeight="1" x14ac:dyDescent="0.3">
      <c r="A1581" t="s">
        <v>3395</v>
      </c>
      <c r="B1581">
        <f>I659</f>
        <v>205</v>
      </c>
      <c r="E1581" t="s">
        <v>1441</v>
      </c>
      <c r="F1581" s="49">
        <v>20</v>
      </c>
    </row>
    <row r="1582" spans="1:6" ht="15" customHeight="1" x14ac:dyDescent="0.3">
      <c r="A1582" t="s">
        <v>3396</v>
      </c>
      <c r="B1582">
        <f>I659</f>
        <v>205</v>
      </c>
      <c r="E1582" t="s">
        <v>1442</v>
      </c>
      <c r="F1582" s="49">
        <v>15</v>
      </c>
    </row>
    <row r="1583" spans="1:6" ht="15" customHeight="1" x14ac:dyDescent="0.3">
      <c r="A1583" t="s">
        <v>2387</v>
      </c>
      <c r="B1583">
        <f>I660</f>
        <v>215</v>
      </c>
      <c r="E1583" t="s">
        <v>12317</v>
      </c>
      <c r="F1583" s="49">
        <v>35</v>
      </c>
    </row>
    <row r="1584" spans="1:6" ht="15" customHeight="1" x14ac:dyDescent="0.3">
      <c r="A1584" t="s">
        <v>2549</v>
      </c>
      <c r="B1584">
        <f>I660</f>
        <v>215</v>
      </c>
      <c r="E1584" t="s">
        <v>13552</v>
      </c>
      <c r="F1584" s="49">
        <v>15</v>
      </c>
    </row>
    <row r="1585" spans="1:6" ht="15" customHeight="1" x14ac:dyDescent="0.3">
      <c r="A1585" t="s">
        <v>11929</v>
      </c>
      <c r="B1585">
        <f>I661</f>
        <v>225</v>
      </c>
      <c r="E1585" t="s">
        <v>13554</v>
      </c>
      <c r="F1585" s="49">
        <v>20</v>
      </c>
    </row>
    <row r="1586" spans="1:6" ht="15" customHeight="1" x14ac:dyDescent="0.3">
      <c r="A1586" t="s">
        <v>11930</v>
      </c>
      <c r="B1586">
        <f>I661</f>
        <v>225</v>
      </c>
      <c r="E1586" t="s">
        <v>13555</v>
      </c>
      <c r="F1586" s="49">
        <v>20</v>
      </c>
    </row>
    <row r="1587" spans="1:6" ht="15" customHeight="1" x14ac:dyDescent="0.3">
      <c r="A1587" t="s">
        <v>2320</v>
      </c>
      <c r="B1587">
        <f>I657</f>
        <v>85</v>
      </c>
      <c r="E1587" t="s">
        <v>13556</v>
      </c>
      <c r="F1587" s="49">
        <v>20</v>
      </c>
    </row>
    <row r="1588" spans="1:6" ht="15" customHeight="1" x14ac:dyDescent="0.3">
      <c r="A1588" t="s">
        <v>2120</v>
      </c>
      <c r="B1588">
        <f>I658</f>
        <v>180</v>
      </c>
      <c r="E1588" t="s">
        <v>13557</v>
      </c>
      <c r="F1588" s="49">
        <v>25</v>
      </c>
    </row>
    <row r="1589" spans="1:6" ht="15" customHeight="1" x14ac:dyDescent="0.3">
      <c r="A1589" t="s">
        <v>3397</v>
      </c>
      <c r="B1589">
        <f>I658</f>
        <v>180</v>
      </c>
      <c r="E1589" t="s">
        <v>13559</v>
      </c>
      <c r="F1589" s="49">
        <v>15</v>
      </c>
    </row>
    <row r="1590" spans="1:6" ht="15" customHeight="1" x14ac:dyDescent="0.3">
      <c r="A1590" t="s">
        <v>3398</v>
      </c>
      <c r="B1590">
        <f>I658</f>
        <v>180</v>
      </c>
      <c r="E1590" t="s">
        <v>1444</v>
      </c>
      <c r="F1590" s="49">
        <v>12</v>
      </c>
    </row>
    <row r="1591" spans="1:6" ht="15" customHeight="1" x14ac:dyDescent="0.3">
      <c r="A1591" t="s">
        <v>2269</v>
      </c>
      <c r="B1591">
        <f>I662</f>
        <v>70</v>
      </c>
      <c r="E1591" t="s">
        <v>13560</v>
      </c>
      <c r="F1591" s="49">
        <v>20</v>
      </c>
    </row>
    <row r="1592" spans="1:6" ht="15" customHeight="1" x14ac:dyDescent="0.3">
      <c r="A1592" t="s">
        <v>10842</v>
      </c>
      <c r="B1592">
        <f>I664</f>
        <v>185</v>
      </c>
      <c r="E1592" t="s">
        <v>13565</v>
      </c>
      <c r="F1592" s="49">
        <v>15</v>
      </c>
    </row>
    <row r="1593" spans="1:6" ht="15" customHeight="1" x14ac:dyDescent="0.3">
      <c r="A1593" t="s">
        <v>10843</v>
      </c>
      <c r="B1593">
        <f>I664</f>
        <v>185</v>
      </c>
      <c r="E1593" t="s">
        <v>13561</v>
      </c>
      <c r="F1593" s="49">
        <v>15</v>
      </c>
    </row>
    <row r="1594" spans="1:6" ht="15" customHeight="1" x14ac:dyDescent="0.3">
      <c r="A1594" t="s">
        <v>10844</v>
      </c>
      <c r="B1594">
        <f>I664</f>
        <v>185</v>
      </c>
      <c r="E1594" t="s">
        <v>10908</v>
      </c>
      <c r="F1594" s="49">
        <v>15</v>
      </c>
    </row>
    <row r="1595" spans="1:6" ht="15" customHeight="1" x14ac:dyDescent="0.3">
      <c r="A1595" t="s">
        <v>10845</v>
      </c>
      <c r="B1595">
        <f>I664</f>
        <v>185</v>
      </c>
      <c r="E1595" t="s">
        <v>13562</v>
      </c>
      <c r="F1595" s="49">
        <v>20</v>
      </c>
    </row>
    <row r="1596" spans="1:6" ht="15" customHeight="1" x14ac:dyDescent="0.3">
      <c r="A1596" t="s">
        <v>1943</v>
      </c>
      <c r="B1596">
        <f>I665</f>
        <v>200</v>
      </c>
      <c r="E1596" t="s">
        <v>13553</v>
      </c>
      <c r="F1596" s="49">
        <v>20</v>
      </c>
    </row>
    <row r="1597" spans="1:6" ht="15" customHeight="1" x14ac:dyDescent="0.3">
      <c r="A1597" t="s">
        <v>3399</v>
      </c>
      <c r="B1597">
        <f>I665</f>
        <v>200</v>
      </c>
      <c r="E1597" t="s">
        <v>13558</v>
      </c>
      <c r="F1597" s="49">
        <v>20</v>
      </c>
    </row>
    <row r="1598" spans="1:6" ht="15" customHeight="1" x14ac:dyDescent="0.3">
      <c r="A1598" t="s">
        <v>3400</v>
      </c>
      <c r="B1598">
        <f>I665</f>
        <v>200</v>
      </c>
      <c r="E1598" t="s">
        <v>13567</v>
      </c>
      <c r="F1598" s="49">
        <v>20</v>
      </c>
    </row>
    <row r="1599" spans="1:6" ht="15" customHeight="1" x14ac:dyDescent="0.3">
      <c r="A1599" t="s">
        <v>2321</v>
      </c>
      <c r="B1599">
        <f>I663</f>
        <v>90</v>
      </c>
      <c r="E1599" t="s">
        <v>13539</v>
      </c>
      <c r="F1599" s="49">
        <v>15</v>
      </c>
    </row>
    <row r="1600" spans="1:6" ht="15" customHeight="1" x14ac:dyDescent="0.3">
      <c r="A1600" t="s">
        <v>5084</v>
      </c>
      <c r="B1600">
        <f>B1591</f>
        <v>70</v>
      </c>
      <c r="E1600" t="s">
        <v>13566</v>
      </c>
      <c r="F1600" s="49">
        <v>20</v>
      </c>
    </row>
    <row r="1601" spans="1:6" ht="15" customHeight="1" x14ac:dyDescent="0.3">
      <c r="A1601" t="s">
        <v>5085</v>
      </c>
      <c r="B1601">
        <f t="shared" ref="B1601:B1604" si="1107">B1596</f>
        <v>200</v>
      </c>
      <c r="E1601" t="s">
        <v>13568</v>
      </c>
      <c r="F1601" s="49">
        <v>15</v>
      </c>
    </row>
    <row r="1602" spans="1:6" ht="15" customHeight="1" x14ac:dyDescent="0.3">
      <c r="A1602" t="s">
        <v>5086</v>
      </c>
      <c r="B1602">
        <f t="shared" si="1107"/>
        <v>200</v>
      </c>
      <c r="E1602" t="s">
        <v>1420</v>
      </c>
      <c r="F1602" s="49">
        <v>15</v>
      </c>
    </row>
    <row r="1603" spans="1:6" ht="15" customHeight="1" x14ac:dyDescent="0.3">
      <c r="A1603" t="s">
        <v>5087</v>
      </c>
      <c r="B1603">
        <f t="shared" si="1107"/>
        <v>200</v>
      </c>
      <c r="E1603" t="s">
        <v>13505</v>
      </c>
      <c r="F1603" s="49">
        <v>20</v>
      </c>
    </row>
    <row r="1604" spans="1:6" ht="15" customHeight="1" x14ac:dyDescent="0.3">
      <c r="A1604" t="s">
        <v>5088</v>
      </c>
      <c r="B1604">
        <f t="shared" si="1107"/>
        <v>90</v>
      </c>
      <c r="E1604" t="s">
        <v>13506</v>
      </c>
      <c r="F1604" s="49">
        <v>25</v>
      </c>
    </row>
    <row r="1605" spans="1:6" ht="15" customHeight="1" x14ac:dyDescent="0.3">
      <c r="A1605" t="s">
        <v>12101</v>
      </c>
      <c r="B1605">
        <f>I666</f>
        <v>235</v>
      </c>
      <c r="E1605" t="s">
        <v>13507</v>
      </c>
      <c r="F1605" s="49">
        <v>20</v>
      </c>
    </row>
    <row r="1606" spans="1:6" ht="15" customHeight="1" x14ac:dyDescent="0.3">
      <c r="A1606" t="s">
        <v>12102</v>
      </c>
      <c r="B1606">
        <f>I666</f>
        <v>235</v>
      </c>
      <c r="E1606" t="s">
        <v>13563</v>
      </c>
      <c r="F1606" s="49">
        <v>25</v>
      </c>
    </row>
    <row r="1607" spans="1:6" ht="15" customHeight="1" x14ac:dyDescent="0.3">
      <c r="A1607" t="s">
        <v>12103</v>
      </c>
      <c r="B1607">
        <f>I667</f>
        <v>245</v>
      </c>
      <c r="E1607" t="s">
        <v>13537</v>
      </c>
      <c r="F1607" s="49">
        <v>20</v>
      </c>
    </row>
    <row r="1608" spans="1:6" ht="15" customHeight="1" x14ac:dyDescent="0.3">
      <c r="A1608" t="s">
        <v>12104</v>
      </c>
      <c r="B1608">
        <f>I667</f>
        <v>245</v>
      </c>
      <c r="E1608" t="s">
        <v>13538</v>
      </c>
      <c r="F1608" s="49">
        <v>20</v>
      </c>
    </row>
    <row r="1609" spans="1:6" ht="15" customHeight="1" x14ac:dyDescent="0.3">
      <c r="A1609" t="s">
        <v>12583</v>
      </c>
      <c r="B1609">
        <f>I668</f>
        <v>160</v>
      </c>
      <c r="E1609" t="s">
        <v>1430</v>
      </c>
      <c r="F1609" s="49">
        <v>15</v>
      </c>
    </row>
    <row r="1610" spans="1:6" ht="15" customHeight="1" x14ac:dyDescent="0.3">
      <c r="A1610" t="s">
        <v>12584</v>
      </c>
      <c r="B1610">
        <f>I668</f>
        <v>160</v>
      </c>
      <c r="E1610" t="s">
        <v>1431</v>
      </c>
      <c r="F1610" s="49">
        <v>15</v>
      </c>
    </row>
    <row r="1611" spans="1:6" ht="15" customHeight="1" x14ac:dyDescent="0.3">
      <c r="A1611" t="s">
        <v>13073</v>
      </c>
      <c r="B1611">
        <f>I669</f>
        <v>170</v>
      </c>
      <c r="E1611" t="s">
        <v>1432</v>
      </c>
      <c r="F1611" s="49">
        <v>20</v>
      </c>
    </row>
    <row r="1612" spans="1:6" ht="15" customHeight="1" x14ac:dyDescent="0.3">
      <c r="A1612" t="s">
        <v>13074</v>
      </c>
      <c r="B1612">
        <f>I669</f>
        <v>170</v>
      </c>
      <c r="E1612" t="s">
        <v>12469</v>
      </c>
      <c r="F1612" s="49">
        <v>15</v>
      </c>
    </row>
    <row r="1613" spans="1:6" ht="15" customHeight="1" x14ac:dyDescent="0.3">
      <c r="A1613" t="s">
        <v>10987</v>
      </c>
      <c r="B1613">
        <f>I670</f>
        <v>290</v>
      </c>
      <c r="E1613" t="s">
        <v>13569</v>
      </c>
      <c r="F1613" s="49">
        <v>15</v>
      </c>
    </row>
    <row r="1614" spans="1:6" ht="15" customHeight="1" x14ac:dyDescent="0.3">
      <c r="A1614" t="s">
        <v>10988</v>
      </c>
      <c r="B1614">
        <f>I670</f>
        <v>290</v>
      </c>
      <c r="E1614" t="s">
        <v>1433</v>
      </c>
      <c r="F1614" s="49">
        <v>15</v>
      </c>
    </row>
    <row r="1615" spans="1:6" ht="15" customHeight="1" x14ac:dyDescent="0.3">
      <c r="A1615" t="s">
        <v>10989</v>
      </c>
      <c r="B1615">
        <f>I670</f>
        <v>290</v>
      </c>
      <c r="E1615" t="s">
        <v>1434</v>
      </c>
      <c r="F1615" s="49">
        <v>15</v>
      </c>
    </row>
    <row r="1616" spans="1:6" ht="15" customHeight="1" x14ac:dyDescent="0.3">
      <c r="A1616" t="s">
        <v>10990</v>
      </c>
      <c r="B1616">
        <f>I670</f>
        <v>290</v>
      </c>
      <c r="E1616" t="s">
        <v>1435</v>
      </c>
      <c r="F1616" s="49">
        <v>15</v>
      </c>
    </row>
    <row r="1617" spans="1:6" ht="15" customHeight="1" x14ac:dyDescent="0.3">
      <c r="A1617" t="s">
        <v>12109</v>
      </c>
      <c r="B1617">
        <f>I671</f>
        <v>310</v>
      </c>
      <c r="E1617" t="s">
        <v>1445</v>
      </c>
      <c r="F1617" s="49">
        <v>15</v>
      </c>
    </row>
    <row r="1618" spans="1:6" ht="15" customHeight="1" x14ac:dyDescent="0.3">
      <c r="A1618" t="s">
        <v>12110</v>
      </c>
      <c r="B1618">
        <f>I671</f>
        <v>310</v>
      </c>
      <c r="E1618" t="s">
        <v>1446</v>
      </c>
      <c r="F1618" s="49">
        <v>15</v>
      </c>
    </row>
    <row r="1619" spans="1:6" ht="15" customHeight="1" x14ac:dyDescent="0.3">
      <c r="A1619" t="s">
        <v>12111</v>
      </c>
      <c r="B1619">
        <f>I671</f>
        <v>310</v>
      </c>
      <c r="E1619" t="s">
        <v>1447</v>
      </c>
      <c r="F1619" s="49">
        <v>20</v>
      </c>
    </row>
    <row r="1620" spans="1:6" ht="15" customHeight="1" x14ac:dyDescent="0.3">
      <c r="A1620" t="s">
        <v>12112</v>
      </c>
      <c r="B1620">
        <f>I671</f>
        <v>310</v>
      </c>
      <c r="E1620" t="s">
        <v>1448</v>
      </c>
    </row>
    <row r="1621" spans="1:6" ht="15" customHeight="1" x14ac:dyDescent="0.3">
      <c r="A1621" t="s">
        <v>12105</v>
      </c>
      <c r="B1621">
        <f>I672</f>
        <v>370</v>
      </c>
      <c r="E1621" t="s">
        <v>1449</v>
      </c>
      <c r="F1621" s="49">
        <v>12</v>
      </c>
    </row>
    <row r="1622" spans="1:6" ht="15" customHeight="1" x14ac:dyDescent="0.3">
      <c r="A1622" t="s">
        <v>12106</v>
      </c>
      <c r="B1622">
        <f>I672</f>
        <v>370</v>
      </c>
      <c r="E1622" t="s">
        <v>1450</v>
      </c>
      <c r="F1622" s="49">
        <v>35</v>
      </c>
    </row>
    <row r="1623" spans="1:6" ht="15" customHeight="1" x14ac:dyDescent="0.3">
      <c r="A1623" t="s">
        <v>12107</v>
      </c>
      <c r="B1623">
        <f>I673</f>
        <v>380</v>
      </c>
      <c r="E1623" t="s">
        <v>1451</v>
      </c>
      <c r="F1623" s="49">
        <v>35</v>
      </c>
    </row>
    <row r="1624" spans="1:6" ht="15" customHeight="1" x14ac:dyDescent="0.3">
      <c r="A1624" t="s">
        <v>12108</v>
      </c>
      <c r="B1624">
        <f>I673</f>
        <v>380</v>
      </c>
      <c r="E1624" t="s">
        <v>1452</v>
      </c>
      <c r="F1624" s="49">
        <v>20</v>
      </c>
    </row>
    <row r="1625" spans="1:6" ht="15" customHeight="1" x14ac:dyDescent="0.3">
      <c r="A1625" t="s">
        <v>13180</v>
      </c>
      <c r="B1625">
        <f>I674</f>
        <v>240</v>
      </c>
      <c r="E1625" t="s">
        <v>1453</v>
      </c>
      <c r="F1625" s="49">
        <v>15</v>
      </c>
    </row>
    <row r="1626" spans="1:6" ht="15" customHeight="1" x14ac:dyDescent="0.3">
      <c r="A1626" t="s">
        <v>13181</v>
      </c>
      <c r="B1626">
        <f>B1625</f>
        <v>240</v>
      </c>
      <c r="E1626" t="s">
        <v>1454</v>
      </c>
      <c r="F1626" s="49">
        <v>15</v>
      </c>
    </row>
    <row r="1627" spans="1:6" ht="15" customHeight="1" x14ac:dyDescent="0.3">
      <c r="A1627" t="s">
        <v>13182</v>
      </c>
      <c r="B1627">
        <f>B1625</f>
        <v>240</v>
      </c>
      <c r="E1627" t="s">
        <v>1455</v>
      </c>
      <c r="F1627" s="49">
        <v>20</v>
      </c>
    </row>
    <row r="1628" spans="1:6" ht="15" customHeight="1" x14ac:dyDescent="0.3">
      <c r="A1628" t="s">
        <v>13183</v>
      </c>
      <c r="B1628">
        <f>B1625</f>
        <v>240</v>
      </c>
      <c r="E1628" t="s">
        <v>1456</v>
      </c>
      <c r="F1628" s="49">
        <v>20</v>
      </c>
    </row>
    <row r="1629" spans="1:6" ht="15" customHeight="1" x14ac:dyDescent="0.3">
      <c r="A1629" t="s">
        <v>13043</v>
      </c>
      <c r="B1629">
        <f>I675</f>
        <v>360</v>
      </c>
      <c r="E1629" t="s">
        <v>1457</v>
      </c>
      <c r="F1629" s="49">
        <v>20</v>
      </c>
    </row>
    <row r="1630" spans="1:6" ht="15" customHeight="1" x14ac:dyDescent="0.3">
      <c r="A1630" t="s">
        <v>13044</v>
      </c>
      <c r="B1630">
        <f>I675</f>
        <v>360</v>
      </c>
      <c r="E1630" t="s">
        <v>1458</v>
      </c>
      <c r="F1630" s="49">
        <v>20</v>
      </c>
    </row>
    <row r="1631" spans="1:6" ht="15" customHeight="1" x14ac:dyDescent="0.3">
      <c r="A1631" t="s">
        <v>13045</v>
      </c>
      <c r="B1631">
        <f>I675</f>
        <v>360</v>
      </c>
      <c r="E1631" t="s">
        <v>1459</v>
      </c>
      <c r="F1631" s="49">
        <v>20</v>
      </c>
    </row>
    <row r="1632" spans="1:6" ht="15" customHeight="1" x14ac:dyDescent="0.3">
      <c r="A1632" t="s">
        <v>13046</v>
      </c>
      <c r="B1632">
        <f>I675</f>
        <v>360</v>
      </c>
      <c r="E1632" t="s">
        <v>1460</v>
      </c>
      <c r="F1632" s="49">
        <v>20</v>
      </c>
    </row>
    <row r="1633" spans="1:6" ht="15" customHeight="1" x14ac:dyDescent="0.3">
      <c r="A1633" t="s">
        <v>2121</v>
      </c>
      <c r="B1633">
        <f>I528</f>
        <v>60</v>
      </c>
      <c r="E1633" t="s">
        <v>1461</v>
      </c>
      <c r="F1633" s="49">
        <v>30</v>
      </c>
    </row>
    <row r="1634" spans="1:6" ht="15" customHeight="1" x14ac:dyDescent="0.3">
      <c r="A1634" t="s">
        <v>1944</v>
      </c>
      <c r="B1634">
        <f>I529</f>
        <v>75</v>
      </c>
      <c r="E1634" t="s">
        <v>1462</v>
      </c>
      <c r="F1634" s="49">
        <v>20</v>
      </c>
    </row>
    <row r="1635" spans="1:6" ht="15" customHeight="1" x14ac:dyDescent="0.3">
      <c r="A1635" t="s">
        <v>2388</v>
      </c>
      <c r="B1635">
        <f>I530</f>
        <v>85</v>
      </c>
      <c r="E1635" t="s">
        <v>1463</v>
      </c>
      <c r="F1635" s="49">
        <v>15</v>
      </c>
    </row>
    <row r="1636" spans="1:6" ht="15" customHeight="1" x14ac:dyDescent="0.3">
      <c r="A1636" t="s">
        <v>2550</v>
      </c>
      <c r="B1636">
        <f>I530</f>
        <v>85</v>
      </c>
      <c r="E1636" t="s">
        <v>1464</v>
      </c>
      <c r="F1636" s="49">
        <v>20</v>
      </c>
    </row>
    <row r="1637" spans="1:6" ht="15" customHeight="1" x14ac:dyDescent="0.3">
      <c r="A1637" t="s">
        <v>11931</v>
      </c>
      <c r="B1637">
        <f>I531</f>
        <v>95</v>
      </c>
      <c r="E1637" t="s">
        <v>1465</v>
      </c>
      <c r="F1637" s="49">
        <v>20</v>
      </c>
    </row>
    <row r="1638" spans="1:6" ht="15" customHeight="1" x14ac:dyDescent="0.3">
      <c r="A1638" t="s">
        <v>11932</v>
      </c>
      <c r="B1638">
        <f>I531</f>
        <v>95</v>
      </c>
      <c r="E1638" t="s">
        <v>1466</v>
      </c>
      <c r="F1638" s="49">
        <v>20</v>
      </c>
    </row>
    <row r="1639" spans="1:6" ht="15" customHeight="1" x14ac:dyDescent="0.3">
      <c r="A1639" t="s">
        <v>2122</v>
      </c>
      <c r="B1639">
        <f>I532</f>
        <v>75</v>
      </c>
      <c r="E1639" t="s">
        <v>1467</v>
      </c>
      <c r="F1639" s="49">
        <v>20</v>
      </c>
    </row>
    <row r="1640" spans="1:6" ht="15" customHeight="1" x14ac:dyDescent="0.3">
      <c r="A1640" t="s">
        <v>1945</v>
      </c>
      <c r="B1640">
        <f>I533</f>
        <v>90</v>
      </c>
      <c r="E1640" t="s">
        <v>1468</v>
      </c>
      <c r="F1640" s="49">
        <v>20</v>
      </c>
    </row>
    <row r="1641" spans="1:6" ht="15" customHeight="1" x14ac:dyDescent="0.3">
      <c r="A1641" t="s">
        <v>2389</v>
      </c>
      <c r="B1641">
        <f>I534</f>
        <v>100</v>
      </c>
      <c r="E1641" t="s">
        <v>1469</v>
      </c>
      <c r="F1641" s="49">
        <v>25</v>
      </c>
    </row>
    <row r="1642" spans="1:6" ht="15" customHeight="1" x14ac:dyDescent="0.3">
      <c r="A1642" t="s">
        <v>2551</v>
      </c>
      <c r="B1642">
        <f>I534</f>
        <v>100</v>
      </c>
      <c r="E1642" t="s">
        <v>1470</v>
      </c>
      <c r="F1642" s="49">
        <v>25</v>
      </c>
    </row>
    <row r="1643" spans="1:6" ht="15" customHeight="1" x14ac:dyDescent="0.3">
      <c r="A1643" t="s">
        <v>11933</v>
      </c>
      <c r="B1643">
        <f>I535</f>
        <v>110</v>
      </c>
      <c r="E1643" t="s">
        <v>10714</v>
      </c>
      <c r="F1643" s="49">
        <v>20</v>
      </c>
    </row>
    <row r="1644" spans="1:6" ht="15" customHeight="1" x14ac:dyDescent="0.3">
      <c r="A1644" t="s">
        <v>11934</v>
      </c>
      <c r="B1644">
        <f>I535</f>
        <v>110</v>
      </c>
      <c r="E1644" t="s">
        <v>11155</v>
      </c>
      <c r="F1644" s="49">
        <v>30</v>
      </c>
    </row>
    <row r="1645" spans="1:6" ht="15" customHeight="1" x14ac:dyDescent="0.3">
      <c r="A1645" t="s">
        <v>2123</v>
      </c>
      <c r="B1645">
        <f>I536</f>
        <v>75</v>
      </c>
      <c r="E1645" t="s">
        <v>11156</v>
      </c>
      <c r="F1645" s="49">
        <v>25</v>
      </c>
    </row>
    <row r="1646" spans="1:6" ht="15" customHeight="1" x14ac:dyDescent="0.3">
      <c r="A1646" t="s">
        <v>1946</v>
      </c>
      <c r="B1646">
        <f>I537</f>
        <v>85</v>
      </c>
      <c r="E1646" t="s">
        <v>1471</v>
      </c>
    </row>
    <row r="1647" spans="1:6" ht="15" customHeight="1" x14ac:dyDescent="0.3">
      <c r="A1647" t="s">
        <v>2390</v>
      </c>
      <c r="B1647">
        <f>I538</f>
        <v>95</v>
      </c>
      <c r="E1647" t="s">
        <v>1472</v>
      </c>
      <c r="F1647" s="49">
        <v>15</v>
      </c>
    </row>
    <row r="1648" spans="1:6" ht="15" customHeight="1" x14ac:dyDescent="0.3">
      <c r="A1648" t="s">
        <v>2552</v>
      </c>
      <c r="B1648">
        <f>I538</f>
        <v>95</v>
      </c>
      <c r="E1648" t="s">
        <v>1473</v>
      </c>
      <c r="F1648" s="49">
        <v>35</v>
      </c>
    </row>
    <row r="1649" spans="1:6" ht="15" customHeight="1" x14ac:dyDescent="0.3">
      <c r="A1649" t="s">
        <v>11935</v>
      </c>
      <c r="B1649">
        <f>I539</f>
        <v>105</v>
      </c>
      <c r="E1649" t="s">
        <v>1474</v>
      </c>
      <c r="F1649" s="49">
        <v>35</v>
      </c>
    </row>
    <row r="1650" spans="1:6" ht="15" customHeight="1" x14ac:dyDescent="0.3">
      <c r="A1650" t="s">
        <v>11936</v>
      </c>
      <c r="B1650">
        <f>I539</f>
        <v>105</v>
      </c>
      <c r="E1650" t="s">
        <v>11057</v>
      </c>
      <c r="F1650" s="49">
        <v>0</v>
      </c>
    </row>
    <row r="1651" spans="1:6" ht="15" customHeight="1" x14ac:dyDescent="0.3">
      <c r="A1651" t="s">
        <v>2128</v>
      </c>
      <c r="B1651">
        <f>I685</f>
        <v>65</v>
      </c>
      <c r="E1651" t="s">
        <v>1475</v>
      </c>
      <c r="F1651" s="49">
        <v>10</v>
      </c>
    </row>
    <row r="1652" spans="1:6" ht="15" customHeight="1" x14ac:dyDescent="0.3">
      <c r="A1652" t="s">
        <v>1949</v>
      </c>
      <c r="B1652">
        <f>I686</f>
        <v>80</v>
      </c>
      <c r="E1652" t="s">
        <v>1476</v>
      </c>
      <c r="F1652" s="49">
        <v>12</v>
      </c>
    </row>
    <row r="1653" spans="1:6" ht="15" customHeight="1" x14ac:dyDescent="0.3">
      <c r="A1653" t="s">
        <v>2682</v>
      </c>
      <c r="B1653">
        <f>I686</f>
        <v>80</v>
      </c>
      <c r="E1653" t="s">
        <v>1477</v>
      </c>
      <c r="F1653" s="49">
        <v>15</v>
      </c>
    </row>
    <row r="1654" spans="1:6" ht="15" customHeight="1" x14ac:dyDescent="0.3">
      <c r="A1654" t="s">
        <v>3145</v>
      </c>
      <c r="B1654">
        <f>I685</f>
        <v>65</v>
      </c>
      <c r="E1654" t="s">
        <v>1478</v>
      </c>
      <c r="F1654" s="49">
        <v>12</v>
      </c>
    </row>
    <row r="1655" spans="1:6" ht="15" customHeight="1" x14ac:dyDescent="0.3">
      <c r="A1655" t="s">
        <v>2124</v>
      </c>
      <c r="B1655">
        <f>I696</f>
        <v>65</v>
      </c>
      <c r="E1655" t="s">
        <v>1479</v>
      </c>
      <c r="F1655" s="49">
        <v>15</v>
      </c>
    </row>
    <row r="1656" spans="1:6" ht="15" customHeight="1" x14ac:dyDescent="0.3">
      <c r="A1656" t="s">
        <v>1947</v>
      </c>
      <c r="B1656">
        <f>I697</f>
        <v>75</v>
      </c>
      <c r="E1656" t="s">
        <v>1480</v>
      </c>
      <c r="F1656" s="49">
        <v>15</v>
      </c>
    </row>
    <row r="1657" spans="1:6" ht="15" customHeight="1" x14ac:dyDescent="0.3">
      <c r="A1657" t="s">
        <v>2391</v>
      </c>
      <c r="B1657">
        <f>I698</f>
        <v>85</v>
      </c>
      <c r="E1657" t="s">
        <v>1481</v>
      </c>
      <c r="F1657" s="49">
        <v>15</v>
      </c>
    </row>
    <row r="1658" spans="1:6" ht="15" customHeight="1" x14ac:dyDescent="0.3">
      <c r="A1658" t="s">
        <v>2553</v>
      </c>
      <c r="B1658">
        <f>I698</f>
        <v>85</v>
      </c>
      <c r="E1658" t="s">
        <v>1482</v>
      </c>
      <c r="F1658" s="49">
        <v>15</v>
      </c>
    </row>
    <row r="1659" spans="1:6" ht="15" customHeight="1" x14ac:dyDescent="0.3">
      <c r="A1659" t="s">
        <v>11937</v>
      </c>
      <c r="B1659">
        <f>I699</f>
        <v>95</v>
      </c>
      <c r="E1659" t="s">
        <v>1483</v>
      </c>
      <c r="F1659" s="49">
        <v>15</v>
      </c>
    </row>
    <row r="1660" spans="1:6" ht="15" customHeight="1" x14ac:dyDescent="0.3">
      <c r="A1660" t="s">
        <v>11938</v>
      </c>
      <c r="B1660">
        <f>I699</f>
        <v>95</v>
      </c>
      <c r="E1660" t="s">
        <v>1484</v>
      </c>
      <c r="F1660" s="49">
        <v>15</v>
      </c>
    </row>
    <row r="1661" spans="1:6" ht="15" customHeight="1" x14ac:dyDescent="0.3">
      <c r="A1661" t="s">
        <v>2125</v>
      </c>
      <c r="B1661">
        <f>I700</f>
        <v>75</v>
      </c>
      <c r="E1661" t="s">
        <v>1485</v>
      </c>
      <c r="F1661" s="49">
        <v>15</v>
      </c>
    </row>
    <row r="1662" spans="1:6" ht="15" customHeight="1" x14ac:dyDescent="0.3">
      <c r="A1662" t="s">
        <v>13328</v>
      </c>
      <c r="B1662">
        <f>I701</f>
        <v>95</v>
      </c>
      <c r="E1662" t="s">
        <v>1486</v>
      </c>
      <c r="F1662" s="49">
        <v>12</v>
      </c>
    </row>
    <row r="1663" spans="1:6" ht="15" customHeight="1" x14ac:dyDescent="0.3">
      <c r="A1663" t="s">
        <v>13329</v>
      </c>
      <c r="B1663">
        <f>B1662</f>
        <v>95</v>
      </c>
      <c r="E1663" t="s">
        <v>1487</v>
      </c>
      <c r="F1663" s="49">
        <v>15</v>
      </c>
    </row>
    <row r="1664" spans="1:6" ht="15" customHeight="1" x14ac:dyDescent="0.3">
      <c r="A1664" t="s">
        <v>2392</v>
      </c>
      <c r="B1664">
        <f>I702</f>
        <v>105</v>
      </c>
      <c r="E1664" t="s">
        <v>1488</v>
      </c>
      <c r="F1664" s="49">
        <v>15</v>
      </c>
    </row>
    <row r="1665" spans="1:6" ht="15" customHeight="1" x14ac:dyDescent="0.3">
      <c r="A1665" t="s">
        <v>2554</v>
      </c>
      <c r="B1665">
        <f>I702</f>
        <v>105</v>
      </c>
      <c r="E1665" t="s">
        <v>1489</v>
      </c>
      <c r="F1665" s="49">
        <v>15</v>
      </c>
    </row>
    <row r="1666" spans="1:6" ht="15" customHeight="1" x14ac:dyDescent="0.3">
      <c r="A1666" t="s">
        <v>11939</v>
      </c>
      <c r="B1666">
        <f>I703</f>
        <v>115</v>
      </c>
      <c r="E1666" t="s">
        <v>1490</v>
      </c>
      <c r="F1666" s="49">
        <v>12</v>
      </c>
    </row>
    <row r="1667" spans="1:6" ht="15" customHeight="1" x14ac:dyDescent="0.3">
      <c r="A1667" t="s">
        <v>11940</v>
      </c>
      <c r="B1667">
        <f>I703</f>
        <v>115</v>
      </c>
      <c r="E1667" t="s">
        <v>1491</v>
      </c>
      <c r="F1667" s="49">
        <v>12</v>
      </c>
    </row>
    <row r="1668" spans="1:6" ht="15" customHeight="1" x14ac:dyDescent="0.3">
      <c r="A1668" t="s">
        <v>2126</v>
      </c>
      <c r="B1668">
        <f>I689</f>
        <v>65</v>
      </c>
      <c r="E1668" t="s">
        <v>1492</v>
      </c>
      <c r="F1668" s="49">
        <v>12</v>
      </c>
    </row>
    <row r="1669" spans="1:6" ht="15" customHeight="1" x14ac:dyDescent="0.3">
      <c r="A1669" t="s">
        <v>2127</v>
      </c>
      <c r="B1669">
        <f>I690</f>
        <v>60</v>
      </c>
      <c r="E1669" t="s">
        <v>1493</v>
      </c>
      <c r="F1669" s="49">
        <v>15</v>
      </c>
    </row>
    <row r="1670" spans="1:6" ht="15" customHeight="1" x14ac:dyDescent="0.3">
      <c r="A1670" t="s">
        <v>1948</v>
      </c>
      <c r="B1670">
        <f>I691</f>
        <v>90</v>
      </c>
      <c r="E1670" t="s">
        <v>1494</v>
      </c>
      <c r="F1670" s="49">
        <v>12</v>
      </c>
    </row>
    <row r="1671" spans="1:6" ht="15" customHeight="1" x14ac:dyDescent="0.3">
      <c r="A1671" t="s">
        <v>2129</v>
      </c>
      <c r="B1671">
        <f>I692</f>
        <v>170</v>
      </c>
      <c r="E1671" t="s">
        <v>1495</v>
      </c>
      <c r="F1671" s="49">
        <v>10</v>
      </c>
    </row>
    <row r="1672" spans="1:6" ht="15" customHeight="1" x14ac:dyDescent="0.3">
      <c r="A1672" t="s">
        <v>12211</v>
      </c>
      <c r="B1672">
        <f>I695</f>
        <v>170</v>
      </c>
      <c r="E1672" t="s">
        <v>1496</v>
      </c>
      <c r="F1672" s="49">
        <v>12</v>
      </c>
    </row>
    <row r="1673" spans="1:6" ht="15" customHeight="1" x14ac:dyDescent="0.3">
      <c r="A1673" t="s">
        <v>1950</v>
      </c>
      <c r="B1673">
        <f>I693</f>
        <v>170</v>
      </c>
      <c r="E1673" t="s">
        <v>6772</v>
      </c>
      <c r="F1673" s="49">
        <v>15</v>
      </c>
    </row>
    <row r="1674" spans="1:6" ht="15" customHeight="1" x14ac:dyDescent="0.3">
      <c r="A1674" t="s">
        <v>12513</v>
      </c>
      <c r="B1674">
        <f>I694</f>
        <v>200</v>
      </c>
      <c r="E1674" t="s">
        <v>1497</v>
      </c>
      <c r="F1674" s="49">
        <v>15</v>
      </c>
    </row>
    <row r="1675" spans="1:6" ht="15" customHeight="1" x14ac:dyDescent="0.3">
      <c r="A1675" t="s">
        <v>12514</v>
      </c>
      <c r="B1675">
        <f>I694</f>
        <v>200</v>
      </c>
      <c r="E1675" t="s">
        <v>1498</v>
      </c>
      <c r="F1675" s="49">
        <v>15</v>
      </c>
    </row>
    <row r="1676" spans="1:6" ht="15" customHeight="1" x14ac:dyDescent="0.3">
      <c r="A1676" t="s">
        <v>2130</v>
      </c>
      <c r="B1676">
        <f>I704</f>
        <v>135</v>
      </c>
      <c r="E1676" t="s">
        <v>1499</v>
      </c>
      <c r="F1676" s="49">
        <v>15</v>
      </c>
    </row>
    <row r="1677" spans="1:6" ht="15" customHeight="1" x14ac:dyDescent="0.3">
      <c r="A1677" t="s">
        <v>3401</v>
      </c>
      <c r="B1677">
        <f>I704</f>
        <v>135</v>
      </c>
      <c r="E1677" t="s">
        <v>1500</v>
      </c>
      <c r="F1677" s="49">
        <v>10</v>
      </c>
    </row>
    <row r="1678" spans="1:6" ht="15" customHeight="1" x14ac:dyDescent="0.3">
      <c r="A1678" t="s">
        <v>3402</v>
      </c>
      <c r="B1678">
        <f>I704</f>
        <v>135</v>
      </c>
      <c r="E1678" t="s">
        <v>1501</v>
      </c>
      <c r="F1678" s="49">
        <v>10</v>
      </c>
    </row>
    <row r="1679" spans="1:6" ht="15" customHeight="1" x14ac:dyDescent="0.3">
      <c r="A1679" s="54" t="s">
        <v>11125</v>
      </c>
      <c r="B1679">
        <f>I788</f>
        <v>80</v>
      </c>
      <c r="E1679" t="s">
        <v>1502</v>
      </c>
      <c r="F1679" s="49">
        <v>15</v>
      </c>
    </row>
    <row r="1680" spans="1:6" ht="15" customHeight="1" x14ac:dyDescent="0.3">
      <c r="A1680" s="54" t="s">
        <v>11126</v>
      </c>
      <c r="B1680">
        <f>I788</f>
        <v>80</v>
      </c>
      <c r="E1680" t="s">
        <v>1503</v>
      </c>
      <c r="F1680" s="49">
        <v>12</v>
      </c>
    </row>
    <row r="1681" spans="1:6" ht="15" customHeight="1" x14ac:dyDescent="0.3">
      <c r="A1681" t="s">
        <v>2131</v>
      </c>
      <c r="B1681">
        <f>I789</f>
        <v>120</v>
      </c>
      <c r="E1681" t="s">
        <v>1504</v>
      </c>
      <c r="F1681" s="49">
        <v>12</v>
      </c>
    </row>
    <row r="1682" spans="1:6" ht="15" customHeight="1" x14ac:dyDescent="0.3">
      <c r="A1682" t="s">
        <v>3403</v>
      </c>
      <c r="B1682">
        <f>I789</f>
        <v>120</v>
      </c>
      <c r="E1682" t="s">
        <v>1505</v>
      </c>
      <c r="F1682" s="49">
        <v>15</v>
      </c>
    </row>
    <row r="1683" spans="1:6" ht="15" customHeight="1" x14ac:dyDescent="0.3">
      <c r="A1683" t="s">
        <v>3404</v>
      </c>
      <c r="B1683">
        <f>I789</f>
        <v>120</v>
      </c>
      <c r="E1683" t="s">
        <v>1506</v>
      </c>
      <c r="F1683" s="49">
        <v>15</v>
      </c>
    </row>
    <row r="1684" spans="1:6" ht="15" customHeight="1" x14ac:dyDescent="0.3">
      <c r="A1684" t="s">
        <v>2132</v>
      </c>
      <c r="B1684">
        <f>I787</f>
        <v>150</v>
      </c>
      <c r="E1684" t="s">
        <v>1507</v>
      </c>
      <c r="F1684" s="49">
        <v>15</v>
      </c>
    </row>
    <row r="1685" spans="1:6" ht="15" customHeight="1" x14ac:dyDescent="0.3">
      <c r="A1685" t="s">
        <v>3405</v>
      </c>
      <c r="B1685">
        <f>I787</f>
        <v>150</v>
      </c>
      <c r="E1685" t="s">
        <v>1508</v>
      </c>
      <c r="F1685" s="49">
        <v>15</v>
      </c>
    </row>
    <row r="1686" spans="1:6" ht="15" customHeight="1" x14ac:dyDescent="0.3">
      <c r="A1686" t="s">
        <v>3406</v>
      </c>
      <c r="B1686">
        <f>I787</f>
        <v>150</v>
      </c>
      <c r="E1686" t="s">
        <v>1509</v>
      </c>
      <c r="F1686" s="49">
        <v>15</v>
      </c>
    </row>
    <row r="1687" spans="1:6" ht="15" customHeight="1" x14ac:dyDescent="0.3">
      <c r="A1687" t="s">
        <v>2133</v>
      </c>
      <c r="B1687">
        <f>I790</f>
        <v>120</v>
      </c>
      <c r="E1687" t="s">
        <v>1510</v>
      </c>
      <c r="F1687" s="49">
        <v>15</v>
      </c>
    </row>
    <row r="1688" spans="1:6" ht="15" customHeight="1" x14ac:dyDescent="0.3">
      <c r="A1688" t="s">
        <v>3407</v>
      </c>
      <c r="B1688">
        <f>I790</f>
        <v>120</v>
      </c>
      <c r="E1688" t="s">
        <v>1511</v>
      </c>
    </row>
    <row r="1689" spans="1:6" ht="15" customHeight="1" x14ac:dyDescent="0.3">
      <c r="A1689" t="s">
        <v>3408</v>
      </c>
      <c r="B1689">
        <f>I790</f>
        <v>120</v>
      </c>
      <c r="E1689" t="s">
        <v>1512</v>
      </c>
      <c r="F1689" s="49">
        <v>15</v>
      </c>
    </row>
    <row r="1690" spans="1:6" ht="15" customHeight="1" x14ac:dyDescent="0.3">
      <c r="A1690" t="s">
        <v>2134</v>
      </c>
      <c r="B1690">
        <f>I791</f>
        <v>165</v>
      </c>
      <c r="E1690" t="s">
        <v>1513</v>
      </c>
      <c r="F1690" s="49">
        <v>15</v>
      </c>
    </row>
    <row r="1691" spans="1:6" ht="15" customHeight="1" x14ac:dyDescent="0.3">
      <c r="A1691" t="s">
        <v>3409</v>
      </c>
      <c r="B1691">
        <f>I791</f>
        <v>165</v>
      </c>
      <c r="E1691" t="s">
        <v>1514</v>
      </c>
      <c r="F1691" s="49">
        <v>15</v>
      </c>
    </row>
    <row r="1692" spans="1:6" ht="15" customHeight="1" x14ac:dyDescent="0.3">
      <c r="A1692" t="s">
        <v>3410</v>
      </c>
      <c r="B1692">
        <f>I791</f>
        <v>165</v>
      </c>
      <c r="E1692" t="s">
        <v>1515</v>
      </c>
      <c r="F1692" s="49">
        <v>15</v>
      </c>
    </row>
    <row r="1693" spans="1:6" ht="15" customHeight="1" x14ac:dyDescent="0.3">
      <c r="A1693" t="s">
        <v>1951</v>
      </c>
      <c r="B1693">
        <f>I732</f>
        <v>75</v>
      </c>
      <c r="E1693" t="s">
        <v>10867</v>
      </c>
      <c r="F1693" s="49">
        <v>12</v>
      </c>
    </row>
    <row r="1694" spans="1:6" ht="15" customHeight="1" x14ac:dyDescent="0.3">
      <c r="A1694" t="s">
        <v>2393</v>
      </c>
      <c r="B1694">
        <f>I733</f>
        <v>85</v>
      </c>
      <c r="E1694" t="s">
        <v>1516</v>
      </c>
      <c r="F1694" s="49">
        <v>15</v>
      </c>
    </row>
    <row r="1695" spans="1:6" ht="15" customHeight="1" x14ac:dyDescent="0.3">
      <c r="A1695" t="s">
        <v>2555</v>
      </c>
      <c r="B1695">
        <f>I733</f>
        <v>85</v>
      </c>
      <c r="E1695" t="s">
        <v>1517</v>
      </c>
      <c r="F1695" s="49">
        <v>15</v>
      </c>
    </row>
    <row r="1696" spans="1:6" ht="15" customHeight="1" x14ac:dyDescent="0.3">
      <c r="A1696" t="s">
        <v>11941</v>
      </c>
      <c r="B1696">
        <f>I734</f>
        <v>95</v>
      </c>
      <c r="E1696" t="s">
        <v>1518</v>
      </c>
      <c r="F1696" s="49">
        <v>15</v>
      </c>
    </row>
    <row r="1697" spans="1:6" ht="15" customHeight="1" x14ac:dyDescent="0.3">
      <c r="A1697" t="s">
        <v>11942</v>
      </c>
      <c r="B1697">
        <f>I734</f>
        <v>95</v>
      </c>
      <c r="E1697" t="s">
        <v>1519</v>
      </c>
      <c r="F1697" s="49">
        <v>15</v>
      </c>
    </row>
    <row r="1698" spans="1:6" ht="15" customHeight="1" x14ac:dyDescent="0.3">
      <c r="A1698" t="s">
        <v>1952</v>
      </c>
      <c r="B1698">
        <f>I740</f>
        <v>70</v>
      </c>
      <c r="E1698" t="s">
        <v>1520</v>
      </c>
      <c r="F1698" s="49">
        <v>12</v>
      </c>
    </row>
    <row r="1699" spans="1:6" ht="15" customHeight="1" x14ac:dyDescent="0.3">
      <c r="A1699" t="s">
        <v>2394</v>
      </c>
      <c r="B1699">
        <f>I741</f>
        <v>85</v>
      </c>
      <c r="E1699" t="s">
        <v>1521</v>
      </c>
      <c r="F1699" s="49">
        <v>15</v>
      </c>
    </row>
    <row r="1700" spans="1:6" ht="15" customHeight="1" x14ac:dyDescent="0.3">
      <c r="A1700" t="s">
        <v>2556</v>
      </c>
      <c r="B1700">
        <f>I741</f>
        <v>85</v>
      </c>
      <c r="E1700" t="s">
        <v>1522</v>
      </c>
      <c r="F1700" s="49">
        <v>12</v>
      </c>
    </row>
    <row r="1701" spans="1:6" ht="15" customHeight="1" x14ac:dyDescent="0.3">
      <c r="A1701" t="s">
        <v>11943</v>
      </c>
      <c r="B1701">
        <f>I742</f>
        <v>95</v>
      </c>
      <c r="E1701" t="s">
        <v>1523</v>
      </c>
      <c r="F1701" s="49">
        <v>15</v>
      </c>
    </row>
    <row r="1702" spans="1:6" ht="15" customHeight="1" x14ac:dyDescent="0.3">
      <c r="A1702" t="s">
        <v>11944</v>
      </c>
      <c r="B1702">
        <f>I742</f>
        <v>95</v>
      </c>
      <c r="E1702" t="s">
        <v>1524</v>
      </c>
      <c r="F1702" s="49">
        <v>15</v>
      </c>
    </row>
    <row r="1703" spans="1:6" ht="15" customHeight="1" x14ac:dyDescent="0.3">
      <c r="A1703" t="s">
        <v>2137</v>
      </c>
      <c r="B1703">
        <f>I743</f>
        <v>60</v>
      </c>
      <c r="E1703" t="s">
        <v>1525</v>
      </c>
      <c r="F1703" s="49">
        <v>12</v>
      </c>
    </row>
    <row r="1704" spans="1:6" ht="15" customHeight="1" x14ac:dyDescent="0.3">
      <c r="A1704" t="s">
        <v>1953</v>
      </c>
      <c r="B1704">
        <f>I744</f>
        <v>75</v>
      </c>
      <c r="E1704" t="s">
        <v>1526</v>
      </c>
      <c r="F1704" s="49">
        <v>12</v>
      </c>
    </row>
    <row r="1705" spans="1:6" ht="15" customHeight="1" x14ac:dyDescent="0.3">
      <c r="A1705" t="s">
        <v>2395</v>
      </c>
      <c r="B1705">
        <f>I745</f>
        <v>85</v>
      </c>
      <c r="E1705" s="78" t="s">
        <v>12949</v>
      </c>
      <c r="F1705" s="49">
        <v>12</v>
      </c>
    </row>
    <row r="1706" spans="1:6" ht="15" customHeight="1" x14ac:dyDescent="0.3">
      <c r="A1706" t="s">
        <v>2557</v>
      </c>
      <c r="B1706">
        <f>I745</f>
        <v>85</v>
      </c>
      <c r="E1706" t="s">
        <v>1527</v>
      </c>
      <c r="F1706" s="49">
        <v>12</v>
      </c>
    </row>
    <row r="1707" spans="1:6" ht="15" customHeight="1" x14ac:dyDescent="0.3">
      <c r="A1707" t="s">
        <v>11945</v>
      </c>
      <c r="B1707">
        <f>I746</f>
        <v>95</v>
      </c>
      <c r="E1707" t="s">
        <v>13577</v>
      </c>
      <c r="F1707" s="49">
        <v>12</v>
      </c>
    </row>
    <row r="1708" spans="1:6" ht="15" customHeight="1" x14ac:dyDescent="0.3">
      <c r="A1708" t="s">
        <v>11946</v>
      </c>
      <c r="B1708">
        <f>I746</f>
        <v>95</v>
      </c>
      <c r="E1708" t="s">
        <v>1528</v>
      </c>
      <c r="F1708" s="49">
        <v>12</v>
      </c>
    </row>
    <row r="1709" spans="1:6" ht="15" customHeight="1" x14ac:dyDescent="0.3">
      <c r="A1709" t="s">
        <v>2138</v>
      </c>
      <c r="B1709">
        <f>I747</f>
        <v>65</v>
      </c>
      <c r="E1709" t="s">
        <v>1529</v>
      </c>
      <c r="F1709" s="49">
        <v>15</v>
      </c>
    </row>
    <row r="1710" spans="1:6" ht="15" customHeight="1" x14ac:dyDescent="0.3">
      <c r="A1710" t="s">
        <v>1954</v>
      </c>
      <c r="B1710">
        <f>I748</f>
        <v>75</v>
      </c>
      <c r="E1710" t="s">
        <v>1530</v>
      </c>
      <c r="F1710" s="49">
        <v>12</v>
      </c>
    </row>
    <row r="1711" spans="1:6" ht="15" customHeight="1" x14ac:dyDescent="0.3">
      <c r="A1711" t="s">
        <v>2396</v>
      </c>
      <c r="B1711">
        <f>I749</f>
        <v>85</v>
      </c>
      <c r="E1711" t="s">
        <v>1531</v>
      </c>
      <c r="F1711" s="49">
        <v>12</v>
      </c>
    </row>
    <row r="1712" spans="1:6" ht="15" customHeight="1" x14ac:dyDescent="0.3">
      <c r="A1712" t="s">
        <v>2558</v>
      </c>
      <c r="B1712">
        <f>I749</f>
        <v>85</v>
      </c>
      <c r="E1712" t="s">
        <v>1532</v>
      </c>
      <c r="F1712" s="49">
        <v>12</v>
      </c>
    </row>
    <row r="1713" spans="1:6" ht="15" customHeight="1" x14ac:dyDescent="0.3">
      <c r="A1713" t="s">
        <v>11947</v>
      </c>
      <c r="B1713">
        <f>I750</f>
        <v>95</v>
      </c>
      <c r="E1713" t="s">
        <v>10865</v>
      </c>
      <c r="F1713" s="49">
        <v>12</v>
      </c>
    </row>
    <row r="1714" spans="1:6" ht="15" customHeight="1" x14ac:dyDescent="0.3">
      <c r="A1714" t="s">
        <v>11948</v>
      </c>
      <c r="B1714">
        <f>I750</f>
        <v>95</v>
      </c>
      <c r="E1714" t="s">
        <v>1533</v>
      </c>
      <c r="F1714" s="49">
        <v>15</v>
      </c>
    </row>
    <row r="1715" spans="1:6" ht="15" customHeight="1" x14ac:dyDescent="0.3">
      <c r="A1715" t="s">
        <v>2139</v>
      </c>
      <c r="B1715">
        <f>I751</f>
        <v>65</v>
      </c>
      <c r="E1715" t="s">
        <v>1534</v>
      </c>
      <c r="F1715" s="49">
        <v>15</v>
      </c>
    </row>
    <row r="1716" spans="1:6" ht="15" customHeight="1" x14ac:dyDescent="0.3">
      <c r="A1716" t="s">
        <v>1955</v>
      </c>
      <c r="B1716">
        <f>I752</f>
        <v>80</v>
      </c>
      <c r="E1716" t="s">
        <v>1535</v>
      </c>
      <c r="F1716" s="49">
        <v>12</v>
      </c>
    </row>
    <row r="1717" spans="1:6" ht="15" customHeight="1" x14ac:dyDescent="0.3">
      <c r="A1717" t="s">
        <v>2397</v>
      </c>
      <c r="B1717">
        <f>I753</f>
        <v>85</v>
      </c>
      <c r="E1717" t="s">
        <v>1536</v>
      </c>
      <c r="F1717" s="49">
        <v>15</v>
      </c>
    </row>
    <row r="1718" spans="1:6" ht="15" customHeight="1" x14ac:dyDescent="0.3">
      <c r="A1718" t="s">
        <v>2559</v>
      </c>
      <c r="B1718">
        <f>I753</f>
        <v>85</v>
      </c>
      <c r="E1718" t="s">
        <v>1537</v>
      </c>
      <c r="F1718" s="49">
        <v>10</v>
      </c>
    </row>
    <row r="1719" spans="1:6" ht="15" customHeight="1" x14ac:dyDescent="0.3">
      <c r="A1719" t="s">
        <v>11949</v>
      </c>
      <c r="B1719">
        <f>I754</f>
        <v>95</v>
      </c>
      <c r="E1719" t="s">
        <v>1538</v>
      </c>
      <c r="F1719" s="49">
        <v>12</v>
      </c>
    </row>
    <row r="1720" spans="1:6" ht="15" customHeight="1" x14ac:dyDescent="0.3">
      <c r="A1720" t="s">
        <v>11950</v>
      </c>
      <c r="B1720">
        <f>I754</f>
        <v>95</v>
      </c>
      <c r="E1720" t="s">
        <v>1539</v>
      </c>
      <c r="F1720" s="49">
        <v>12</v>
      </c>
    </row>
    <row r="1721" spans="1:6" ht="15" customHeight="1" x14ac:dyDescent="0.3">
      <c r="A1721" t="s">
        <v>2140</v>
      </c>
      <c r="B1721">
        <f>I706</f>
        <v>40</v>
      </c>
      <c r="E1721" t="s">
        <v>1540</v>
      </c>
      <c r="F1721" s="49">
        <v>12</v>
      </c>
    </row>
    <row r="1722" spans="1:6" ht="15" customHeight="1" x14ac:dyDescent="0.3">
      <c r="A1722" t="s">
        <v>2141</v>
      </c>
      <c r="B1722">
        <f>I707</f>
        <v>55</v>
      </c>
      <c r="E1722" t="s">
        <v>1541</v>
      </c>
      <c r="F1722" s="49">
        <v>15</v>
      </c>
    </row>
    <row r="1723" spans="1:6" ht="15" customHeight="1" x14ac:dyDescent="0.3">
      <c r="A1723" t="s">
        <v>2142</v>
      </c>
      <c r="B1723">
        <f>I747</f>
        <v>65</v>
      </c>
      <c r="E1723" t="s">
        <v>1542</v>
      </c>
      <c r="F1723" s="49">
        <v>12</v>
      </c>
    </row>
    <row r="1724" spans="1:6" ht="15" customHeight="1" x14ac:dyDescent="0.3">
      <c r="A1724" t="s">
        <v>1956</v>
      </c>
      <c r="B1724">
        <f>I748</f>
        <v>75</v>
      </c>
      <c r="E1724" t="s">
        <v>10866</v>
      </c>
      <c r="F1724" s="49">
        <v>12</v>
      </c>
    </row>
    <row r="1725" spans="1:6" ht="15" customHeight="1" x14ac:dyDescent="0.3">
      <c r="A1725" t="s">
        <v>2398</v>
      </c>
      <c r="B1725">
        <f>I749</f>
        <v>85</v>
      </c>
      <c r="E1725" t="s">
        <v>1543</v>
      </c>
      <c r="F1725" s="49">
        <v>12</v>
      </c>
    </row>
    <row r="1726" spans="1:6" ht="15" customHeight="1" x14ac:dyDescent="0.3">
      <c r="A1726" t="s">
        <v>2560</v>
      </c>
      <c r="B1726">
        <f>I749</f>
        <v>85</v>
      </c>
      <c r="E1726" t="s">
        <v>1544</v>
      </c>
      <c r="F1726" s="49">
        <v>12</v>
      </c>
    </row>
    <row r="1727" spans="1:6" ht="15" customHeight="1" x14ac:dyDescent="0.3">
      <c r="A1727" t="s">
        <v>11953</v>
      </c>
      <c r="B1727">
        <f>I750</f>
        <v>95</v>
      </c>
      <c r="E1727" t="s">
        <v>1545</v>
      </c>
      <c r="F1727" s="49">
        <v>12</v>
      </c>
    </row>
    <row r="1728" spans="1:6" ht="15" customHeight="1" x14ac:dyDescent="0.3">
      <c r="A1728" t="s">
        <v>11954</v>
      </c>
      <c r="B1728">
        <f>I750</f>
        <v>95</v>
      </c>
      <c r="E1728" t="s">
        <v>1546</v>
      </c>
      <c r="F1728" s="49">
        <v>12</v>
      </c>
    </row>
    <row r="1729" spans="1:6" ht="15" customHeight="1" x14ac:dyDescent="0.3">
      <c r="A1729" t="s">
        <v>2143</v>
      </c>
      <c r="B1729">
        <f>I708</f>
        <v>65</v>
      </c>
      <c r="E1729" t="s">
        <v>1547</v>
      </c>
      <c r="F1729" s="49">
        <v>12</v>
      </c>
    </row>
    <row r="1730" spans="1:6" ht="15" customHeight="1" x14ac:dyDescent="0.3">
      <c r="A1730" t="s">
        <v>2144</v>
      </c>
      <c r="B1730">
        <f>I709</f>
        <v>55</v>
      </c>
      <c r="E1730" t="s">
        <v>1548</v>
      </c>
      <c r="F1730" s="49">
        <v>12</v>
      </c>
    </row>
    <row r="1731" spans="1:6" ht="15" customHeight="1" x14ac:dyDescent="0.3">
      <c r="A1731" t="s">
        <v>2145</v>
      </c>
      <c r="B1731">
        <f t="shared" ref="B1731:B1736" si="1108">I711</f>
        <v>60</v>
      </c>
      <c r="E1731" t="s">
        <v>1549</v>
      </c>
      <c r="F1731" s="49">
        <v>12</v>
      </c>
    </row>
    <row r="1732" spans="1:6" ht="15" customHeight="1" x14ac:dyDescent="0.3">
      <c r="A1732" t="s">
        <v>2146</v>
      </c>
      <c r="B1732">
        <f t="shared" si="1108"/>
        <v>65</v>
      </c>
      <c r="E1732" t="s">
        <v>1550</v>
      </c>
      <c r="F1732" s="49">
        <v>12</v>
      </c>
    </row>
    <row r="1733" spans="1:6" ht="15" customHeight="1" x14ac:dyDescent="0.3">
      <c r="A1733" t="s">
        <v>1957</v>
      </c>
      <c r="B1733">
        <f t="shared" si="1108"/>
        <v>70</v>
      </c>
      <c r="E1733" t="s">
        <v>1551</v>
      </c>
      <c r="F1733" s="49">
        <v>12</v>
      </c>
    </row>
    <row r="1734" spans="1:6" ht="15" customHeight="1" x14ac:dyDescent="0.3">
      <c r="A1734" t="s">
        <v>2147</v>
      </c>
      <c r="B1734">
        <f t="shared" si="1108"/>
        <v>60</v>
      </c>
      <c r="E1734" t="s">
        <v>1552</v>
      </c>
      <c r="F1734" s="49">
        <v>12</v>
      </c>
    </row>
    <row r="1735" spans="1:6" ht="15" customHeight="1" x14ac:dyDescent="0.3">
      <c r="A1735" t="s">
        <v>1958</v>
      </c>
      <c r="B1735">
        <f t="shared" si="1108"/>
        <v>75</v>
      </c>
      <c r="E1735" t="s">
        <v>1553</v>
      </c>
      <c r="F1735" s="49">
        <v>12</v>
      </c>
    </row>
    <row r="1736" spans="1:6" ht="15" customHeight="1" x14ac:dyDescent="0.3">
      <c r="A1736" t="s">
        <v>2148</v>
      </c>
      <c r="B1736">
        <f t="shared" si="1108"/>
        <v>65</v>
      </c>
      <c r="C1736" t="s">
        <v>12918</v>
      </c>
      <c r="E1736" t="s">
        <v>1554</v>
      </c>
      <c r="F1736" s="49">
        <v>10</v>
      </c>
    </row>
    <row r="1737" spans="1:6" ht="15" customHeight="1" x14ac:dyDescent="0.3">
      <c r="A1737" t="s">
        <v>1959</v>
      </c>
      <c r="B1737">
        <f>I718</f>
        <v>75</v>
      </c>
      <c r="E1737" t="s">
        <v>1555</v>
      </c>
      <c r="F1737" s="49">
        <v>15</v>
      </c>
    </row>
    <row r="1738" spans="1:6" ht="15" customHeight="1" x14ac:dyDescent="0.3">
      <c r="A1738" s="66" t="s">
        <v>12208</v>
      </c>
      <c r="B1738">
        <f>I719</f>
        <v>85</v>
      </c>
      <c r="E1738" t="s">
        <v>1556</v>
      </c>
      <c r="F1738" s="49">
        <v>10</v>
      </c>
    </row>
    <row r="1739" spans="1:6" ht="15" customHeight="1" x14ac:dyDescent="0.3">
      <c r="A1739" s="66" t="s">
        <v>12209</v>
      </c>
      <c r="B1739">
        <f>I719</f>
        <v>85</v>
      </c>
      <c r="E1739" t="s">
        <v>1557</v>
      </c>
      <c r="F1739" s="49">
        <v>10</v>
      </c>
    </row>
    <row r="1740" spans="1:6" ht="15" customHeight="1" x14ac:dyDescent="0.3">
      <c r="A1740" t="s">
        <v>1960</v>
      </c>
      <c r="B1740">
        <f>I717</f>
        <v>75</v>
      </c>
      <c r="E1740" t="s">
        <v>1558</v>
      </c>
      <c r="F1740" s="49">
        <v>15</v>
      </c>
    </row>
    <row r="1741" spans="1:6" ht="15" customHeight="1" x14ac:dyDescent="0.3">
      <c r="A1741" t="s">
        <v>2150</v>
      </c>
      <c r="B1741">
        <f>I720</f>
        <v>60</v>
      </c>
      <c r="E1741" t="s">
        <v>1559</v>
      </c>
      <c r="F1741" s="49">
        <v>10</v>
      </c>
    </row>
    <row r="1742" spans="1:6" ht="15" customHeight="1" x14ac:dyDescent="0.3">
      <c r="A1742" t="s">
        <v>1961</v>
      </c>
      <c r="B1742">
        <f>I721</f>
        <v>65</v>
      </c>
      <c r="E1742" t="s">
        <v>1560</v>
      </c>
      <c r="F1742" s="49">
        <v>10</v>
      </c>
    </row>
    <row r="1743" spans="1:6" ht="15" customHeight="1" x14ac:dyDescent="0.3">
      <c r="A1743" t="s">
        <v>2399</v>
      </c>
      <c r="B1743">
        <f>I722</f>
        <v>85</v>
      </c>
      <c r="E1743" t="s">
        <v>1561</v>
      </c>
      <c r="F1743" s="49">
        <v>10</v>
      </c>
    </row>
    <row r="1744" spans="1:6" ht="15" customHeight="1" x14ac:dyDescent="0.3">
      <c r="A1744" t="s">
        <v>2561</v>
      </c>
      <c r="B1744">
        <f>I722</f>
        <v>85</v>
      </c>
      <c r="E1744" t="s">
        <v>1562</v>
      </c>
      <c r="F1744" s="49">
        <v>10</v>
      </c>
    </row>
    <row r="1745" spans="1:6" ht="15" customHeight="1" x14ac:dyDescent="0.3">
      <c r="A1745" t="s">
        <v>11955</v>
      </c>
      <c r="B1745">
        <f>I723</f>
        <v>95</v>
      </c>
      <c r="E1745" t="s">
        <v>1563</v>
      </c>
      <c r="F1745" s="49">
        <v>15</v>
      </c>
    </row>
    <row r="1746" spans="1:6" ht="15" customHeight="1" x14ac:dyDescent="0.3">
      <c r="A1746" t="s">
        <v>11956</v>
      </c>
      <c r="B1746">
        <f>I723</f>
        <v>95</v>
      </c>
      <c r="E1746" t="s">
        <v>1564</v>
      </c>
      <c r="F1746" s="49">
        <v>10</v>
      </c>
    </row>
    <row r="1747" spans="1:6" ht="15" customHeight="1" x14ac:dyDescent="0.3">
      <c r="A1747" t="s">
        <v>2151</v>
      </c>
      <c r="B1747">
        <f>I727</f>
        <v>60</v>
      </c>
      <c r="E1747" t="s">
        <v>1565</v>
      </c>
      <c r="F1747" s="49">
        <v>10</v>
      </c>
    </row>
    <row r="1748" spans="1:6" ht="15" customHeight="1" x14ac:dyDescent="0.3">
      <c r="A1748" t="s">
        <v>1962</v>
      </c>
      <c r="B1748">
        <f>I728</f>
        <v>75</v>
      </c>
      <c r="E1748" t="s">
        <v>1566</v>
      </c>
      <c r="F1748" s="49">
        <v>10</v>
      </c>
    </row>
    <row r="1749" spans="1:6" ht="15" customHeight="1" x14ac:dyDescent="0.3">
      <c r="A1749" t="s">
        <v>2400</v>
      </c>
      <c r="B1749">
        <f>I729</f>
        <v>85</v>
      </c>
      <c r="E1749" t="s">
        <v>1567</v>
      </c>
      <c r="F1749" s="49">
        <v>10</v>
      </c>
    </row>
    <row r="1750" spans="1:6" ht="15" customHeight="1" x14ac:dyDescent="0.3">
      <c r="A1750" t="s">
        <v>2562</v>
      </c>
      <c r="B1750">
        <f>I729</f>
        <v>85</v>
      </c>
      <c r="E1750" t="s">
        <v>1568</v>
      </c>
      <c r="F1750" s="49">
        <v>10</v>
      </c>
    </row>
    <row r="1751" spans="1:6" ht="15" customHeight="1" x14ac:dyDescent="0.3">
      <c r="A1751" t="s">
        <v>11957</v>
      </c>
      <c r="B1751">
        <f>I730</f>
        <v>95</v>
      </c>
      <c r="E1751" t="s">
        <v>12962</v>
      </c>
      <c r="F1751" s="49">
        <v>10</v>
      </c>
    </row>
    <row r="1752" spans="1:6" ht="15" customHeight="1" x14ac:dyDescent="0.3">
      <c r="A1752" t="s">
        <v>11958</v>
      </c>
      <c r="B1752">
        <f>I730</f>
        <v>95</v>
      </c>
      <c r="E1752" t="s">
        <v>1569</v>
      </c>
      <c r="F1752" s="49">
        <v>10</v>
      </c>
    </row>
    <row r="1753" spans="1:6" ht="15" customHeight="1" x14ac:dyDescent="0.3">
      <c r="A1753" t="s">
        <v>2152</v>
      </c>
      <c r="B1753">
        <f>I720</f>
        <v>60</v>
      </c>
      <c r="E1753" t="s">
        <v>1570</v>
      </c>
      <c r="F1753" s="49">
        <v>25</v>
      </c>
    </row>
    <row r="1754" spans="1:6" ht="15" customHeight="1" x14ac:dyDescent="0.3">
      <c r="A1754" t="s">
        <v>1963</v>
      </c>
      <c r="B1754">
        <f>I724</f>
        <v>65</v>
      </c>
      <c r="E1754" t="s">
        <v>1571</v>
      </c>
      <c r="F1754" s="49">
        <v>25</v>
      </c>
    </row>
    <row r="1755" spans="1:6" ht="15" customHeight="1" x14ac:dyDescent="0.3">
      <c r="A1755" t="s">
        <v>2401</v>
      </c>
      <c r="B1755">
        <f>I725</f>
        <v>85</v>
      </c>
      <c r="E1755" t="s">
        <v>1572</v>
      </c>
      <c r="F1755" s="49">
        <v>15</v>
      </c>
    </row>
    <row r="1756" spans="1:6" ht="15" customHeight="1" x14ac:dyDescent="0.3">
      <c r="A1756" t="s">
        <v>2563</v>
      </c>
      <c r="B1756">
        <f>I725</f>
        <v>85</v>
      </c>
      <c r="E1756" t="s">
        <v>1573</v>
      </c>
      <c r="F1756" s="49">
        <v>30</v>
      </c>
    </row>
    <row r="1757" spans="1:6" ht="15" customHeight="1" x14ac:dyDescent="0.3">
      <c r="A1757" t="s">
        <v>11959</v>
      </c>
      <c r="B1757">
        <f>I726</f>
        <v>95</v>
      </c>
      <c r="E1757" t="s">
        <v>1574</v>
      </c>
      <c r="F1757" s="49">
        <v>25</v>
      </c>
    </row>
    <row r="1758" spans="1:6" ht="15" customHeight="1" x14ac:dyDescent="0.3">
      <c r="A1758" t="s">
        <v>11960</v>
      </c>
      <c r="B1758">
        <f>I726</f>
        <v>95</v>
      </c>
      <c r="E1758" t="s">
        <v>1575</v>
      </c>
      <c r="F1758" s="49">
        <v>15</v>
      </c>
    </row>
    <row r="1759" spans="1:6" ht="15" customHeight="1" x14ac:dyDescent="0.3">
      <c r="A1759" t="s">
        <v>2403</v>
      </c>
      <c r="B1759">
        <f>I755</f>
        <v>320</v>
      </c>
      <c r="E1759" t="s">
        <v>1576</v>
      </c>
    </row>
    <row r="1760" spans="1:6" ht="15" customHeight="1" x14ac:dyDescent="0.3">
      <c r="A1760" t="s">
        <v>2565</v>
      </c>
      <c r="B1760">
        <f>I755</f>
        <v>320</v>
      </c>
      <c r="E1760" t="s">
        <v>10913</v>
      </c>
      <c r="F1760" s="49">
        <v>10</v>
      </c>
    </row>
    <row r="1761" spans="1:6" ht="15" customHeight="1" x14ac:dyDescent="0.3">
      <c r="A1761" t="s">
        <v>11961</v>
      </c>
      <c r="B1761">
        <f>I756</f>
        <v>330</v>
      </c>
      <c r="E1761" t="s">
        <v>5098</v>
      </c>
      <c r="F1761" s="49">
        <v>10</v>
      </c>
    </row>
    <row r="1762" spans="1:6" ht="15" customHeight="1" x14ac:dyDescent="0.3">
      <c r="A1762" t="s">
        <v>11962</v>
      </c>
      <c r="B1762">
        <f>I756</f>
        <v>330</v>
      </c>
      <c r="E1762" t="s">
        <v>1577</v>
      </c>
      <c r="F1762" s="49">
        <v>10</v>
      </c>
    </row>
    <row r="1763" spans="1:6" ht="15" customHeight="1" x14ac:dyDescent="0.3">
      <c r="A1763" t="s">
        <v>2154</v>
      </c>
      <c r="B1763">
        <f>I757</f>
        <v>250</v>
      </c>
      <c r="E1763" t="s">
        <v>1578</v>
      </c>
      <c r="F1763" s="49">
        <v>10</v>
      </c>
    </row>
    <row r="1764" spans="1:6" ht="15" customHeight="1" x14ac:dyDescent="0.3">
      <c r="A1764" t="s">
        <v>3415</v>
      </c>
      <c r="B1764">
        <f>I757</f>
        <v>250</v>
      </c>
      <c r="E1764" t="s">
        <v>1579</v>
      </c>
      <c r="F1764" s="49">
        <v>10</v>
      </c>
    </row>
    <row r="1765" spans="1:6" ht="15" customHeight="1" x14ac:dyDescent="0.3">
      <c r="A1765" t="s">
        <v>3416</v>
      </c>
      <c r="B1765">
        <f>I757</f>
        <v>250</v>
      </c>
      <c r="E1765" t="s">
        <v>1580</v>
      </c>
      <c r="F1765" s="49">
        <v>10</v>
      </c>
    </row>
    <row r="1766" spans="1:6" ht="15" customHeight="1" x14ac:dyDescent="0.3">
      <c r="A1766" t="s">
        <v>12574</v>
      </c>
      <c r="B1766">
        <f>I758</f>
        <v>320</v>
      </c>
      <c r="E1766" t="s">
        <v>1581</v>
      </c>
      <c r="F1766" s="49">
        <v>10</v>
      </c>
    </row>
    <row r="1767" spans="1:6" ht="15" customHeight="1" x14ac:dyDescent="0.3">
      <c r="A1767" t="s">
        <v>12575</v>
      </c>
      <c r="B1767">
        <f>I758</f>
        <v>320</v>
      </c>
      <c r="E1767" t="s">
        <v>1582</v>
      </c>
      <c r="F1767" s="49">
        <v>10</v>
      </c>
    </row>
    <row r="1768" spans="1:6" ht="15" customHeight="1" x14ac:dyDescent="0.3">
      <c r="A1768" t="s">
        <v>2153</v>
      </c>
      <c r="B1768">
        <f>I759</f>
        <v>220</v>
      </c>
      <c r="E1768" t="s">
        <v>10868</v>
      </c>
      <c r="F1768" s="49">
        <v>10</v>
      </c>
    </row>
    <row r="1769" spans="1:6" ht="15" customHeight="1" x14ac:dyDescent="0.3">
      <c r="A1769" t="s">
        <v>1964</v>
      </c>
      <c r="B1769">
        <f>I760</f>
        <v>240</v>
      </c>
      <c r="E1769" t="s">
        <v>1584</v>
      </c>
      <c r="F1769" s="49">
        <v>10</v>
      </c>
    </row>
    <row r="1770" spans="1:6" ht="15" customHeight="1" x14ac:dyDescent="0.3">
      <c r="A1770" t="s">
        <v>3411</v>
      </c>
      <c r="B1770">
        <f>I760</f>
        <v>240</v>
      </c>
      <c r="E1770" t="s">
        <v>6883</v>
      </c>
      <c r="F1770" s="49">
        <v>12</v>
      </c>
    </row>
    <row r="1771" spans="1:6" ht="15" customHeight="1" x14ac:dyDescent="0.3">
      <c r="A1771" t="s">
        <v>3412</v>
      </c>
      <c r="B1771">
        <f>I760</f>
        <v>240</v>
      </c>
      <c r="E1771" t="s">
        <v>1585</v>
      </c>
      <c r="F1771" s="49">
        <v>10</v>
      </c>
    </row>
    <row r="1772" spans="1:6" ht="15" customHeight="1" x14ac:dyDescent="0.3">
      <c r="A1772" t="s">
        <v>2402</v>
      </c>
      <c r="B1772">
        <f>I761</f>
        <v>250</v>
      </c>
      <c r="E1772" t="s">
        <v>1586</v>
      </c>
      <c r="F1772" s="49">
        <v>12</v>
      </c>
    </row>
    <row r="1773" spans="1:6" ht="15" customHeight="1" x14ac:dyDescent="0.3">
      <c r="A1773" t="s">
        <v>2564</v>
      </c>
      <c r="B1773">
        <f>I761</f>
        <v>250</v>
      </c>
      <c r="E1773" t="s">
        <v>12961</v>
      </c>
      <c r="F1773" s="49">
        <v>10</v>
      </c>
    </row>
    <row r="1774" spans="1:6" ht="15" customHeight="1" x14ac:dyDescent="0.3">
      <c r="A1774" t="s">
        <v>11965</v>
      </c>
      <c r="B1774">
        <f>I762</f>
        <v>260</v>
      </c>
      <c r="E1774" t="s">
        <v>4147</v>
      </c>
      <c r="F1774" s="49">
        <v>20</v>
      </c>
    </row>
    <row r="1775" spans="1:6" ht="15" customHeight="1" x14ac:dyDescent="0.3">
      <c r="A1775" t="s">
        <v>11966</v>
      </c>
      <c r="B1775">
        <f>I762</f>
        <v>260</v>
      </c>
      <c r="E1775" t="s">
        <v>4046</v>
      </c>
      <c r="F1775" s="49">
        <v>15</v>
      </c>
    </row>
    <row r="1776" spans="1:6" ht="15" customHeight="1" x14ac:dyDescent="0.3">
      <c r="A1776" t="s">
        <v>3413</v>
      </c>
      <c r="B1776">
        <f>I759</f>
        <v>220</v>
      </c>
      <c r="E1776" t="s">
        <v>4047</v>
      </c>
      <c r="F1776" s="49">
        <v>15</v>
      </c>
    </row>
    <row r="1777" spans="1:6" ht="15" customHeight="1" x14ac:dyDescent="0.3">
      <c r="A1777" t="s">
        <v>3414</v>
      </c>
      <c r="B1777">
        <f>I759</f>
        <v>220</v>
      </c>
      <c r="E1777" t="s">
        <v>4048</v>
      </c>
      <c r="F1777" s="49">
        <v>15</v>
      </c>
    </row>
    <row r="1778" spans="1:6" ht="15" customHeight="1" x14ac:dyDescent="0.3">
      <c r="A1778" t="s">
        <v>10774</v>
      </c>
      <c r="B1778">
        <f>B1763</f>
        <v>250</v>
      </c>
      <c r="E1778" t="s">
        <v>4049</v>
      </c>
      <c r="F1778" s="49">
        <v>15</v>
      </c>
    </row>
    <row r="1779" spans="1:6" ht="15" customHeight="1" x14ac:dyDescent="0.3">
      <c r="A1779" t="s">
        <v>10775</v>
      </c>
      <c r="B1779">
        <f>I759</f>
        <v>220</v>
      </c>
      <c r="E1779" t="s">
        <v>4050</v>
      </c>
      <c r="F1779" s="49">
        <v>15</v>
      </c>
    </row>
    <row r="1780" spans="1:6" ht="15" customHeight="1" x14ac:dyDescent="0.3">
      <c r="A1780" t="s">
        <v>10776</v>
      </c>
      <c r="B1780">
        <f>I757</f>
        <v>250</v>
      </c>
      <c r="E1780" t="s">
        <v>4051</v>
      </c>
      <c r="F1780" s="49">
        <v>12</v>
      </c>
    </row>
    <row r="1781" spans="1:6" ht="15" customHeight="1" x14ac:dyDescent="0.3">
      <c r="A1781" t="s">
        <v>10777</v>
      </c>
      <c r="B1781">
        <f>I759</f>
        <v>220</v>
      </c>
      <c r="E1781" t="s">
        <v>4052</v>
      </c>
      <c r="F1781" s="49">
        <v>12</v>
      </c>
    </row>
    <row r="1782" spans="1:6" ht="15" customHeight="1" x14ac:dyDescent="0.3">
      <c r="A1782" t="s">
        <v>10778</v>
      </c>
      <c r="B1782">
        <f>I757</f>
        <v>250</v>
      </c>
      <c r="E1782" t="s">
        <v>4053</v>
      </c>
      <c r="F1782" s="49">
        <v>12</v>
      </c>
    </row>
    <row r="1783" spans="1:6" ht="15" customHeight="1" x14ac:dyDescent="0.3">
      <c r="A1783" t="s">
        <v>10779</v>
      </c>
      <c r="B1783">
        <f>I759</f>
        <v>220</v>
      </c>
      <c r="E1783" t="s">
        <v>4054</v>
      </c>
      <c r="F1783" s="49">
        <v>15</v>
      </c>
    </row>
    <row r="1784" spans="1:6" ht="15" customHeight="1" x14ac:dyDescent="0.3">
      <c r="A1784" t="s">
        <v>10780</v>
      </c>
      <c r="B1784">
        <f>I757</f>
        <v>250</v>
      </c>
      <c r="E1784" t="s">
        <v>4055</v>
      </c>
      <c r="F1784" s="49">
        <v>15</v>
      </c>
    </row>
    <row r="1785" spans="1:6" ht="15" customHeight="1" x14ac:dyDescent="0.3">
      <c r="A1785" t="s">
        <v>10781</v>
      </c>
      <c r="B1785">
        <f>I759</f>
        <v>220</v>
      </c>
      <c r="E1785" t="s">
        <v>4056</v>
      </c>
      <c r="F1785" s="49">
        <v>15</v>
      </c>
    </row>
    <row r="1786" spans="1:6" ht="15" customHeight="1" x14ac:dyDescent="0.3">
      <c r="A1786" t="s">
        <v>2270</v>
      </c>
      <c r="B1786">
        <f>I765</f>
        <v>75</v>
      </c>
      <c r="E1786" t="s">
        <v>4057</v>
      </c>
      <c r="F1786" s="49">
        <v>15</v>
      </c>
    </row>
    <row r="1787" spans="1:6" ht="15" customHeight="1" x14ac:dyDescent="0.3">
      <c r="A1787" t="s">
        <v>2156</v>
      </c>
      <c r="B1787">
        <f>I766</f>
        <v>180</v>
      </c>
      <c r="E1787" t="s">
        <v>4058</v>
      </c>
      <c r="F1787" s="49">
        <v>15</v>
      </c>
    </row>
    <row r="1788" spans="1:6" ht="15" customHeight="1" x14ac:dyDescent="0.3">
      <c r="A1788" t="s">
        <v>3417</v>
      </c>
      <c r="B1788">
        <f>I766</f>
        <v>180</v>
      </c>
      <c r="E1788" t="s">
        <v>4059</v>
      </c>
      <c r="F1788" s="49">
        <v>15</v>
      </c>
    </row>
    <row r="1789" spans="1:6" ht="15" customHeight="1" x14ac:dyDescent="0.3">
      <c r="A1789" t="s">
        <v>3418</v>
      </c>
      <c r="B1789">
        <f>I766</f>
        <v>180</v>
      </c>
      <c r="E1789" t="s">
        <v>4060</v>
      </c>
      <c r="F1789" s="49">
        <v>15</v>
      </c>
    </row>
    <row r="1790" spans="1:6" ht="15" customHeight="1" x14ac:dyDescent="0.3">
      <c r="A1790" t="s">
        <v>12578</v>
      </c>
      <c r="B1790">
        <f>I767</f>
        <v>330</v>
      </c>
      <c r="E1790" t="s">
        <v>4061</v>
      </c>
    </row>
    <row r="1791" spans="1:6" ht="15" customHeight="1" x14ac:dyDescent="0.3">
      <c r="A1791" t="s">
        <v>12579</v>
      </c>
      <c r="B1791">
        <f>I767</f>
        <v>330</v>
      </c>
      <c r="E1791" t="s">
        <v>4062</v>
      </c>
      <c r="F1791" s="49">
        <v>15</v>
      </c>
    </row>
    <row r="1792" spans="1:6" ht="15" customHeight="1" x14ac:dyDescent="0.3">
      <c r="A1792" t="s">
        <v>2155</v>
      </c>
      <c r="B1792">
        <f>I769</f>
        <v>340</v>
      </c>
      <c r="E1792" t="s">
        <v>4063</v>
      </c>
      <c r="F1792" s="49">
        <v>15</v>
      </c>
    </row>
    <row r="1793" spans="1:6" ht="15" customHeight="1" x14ac:dyDescent="0.3">
      <c r="A1793" t="s">
        <v>3419</v>
      </c>
      <c r="B1793">
        <f>I769</f>
        <v>340</v>
      </c>
      <c r="E1793" t="s">
        <v>4064</v>
      </c>
      <c r="F1793" s="49">
        <v>15</v>
      </c>
    </row>
    <row r="1794" spans="1:6" ht="15" customHeight="1" x14ac:dyDescent="0.3">
      <c r="A1794" t="s">
        <v>3420</v>
      </c>
      <c r="B1794">
        <f>I769</f>
        <v>340</v>
      </c>
      <c r="E1794" t="s">
        <v>4065</v>
      </c>
      <c r="F1794" s="49">
        <v>15</v>
      </c>
    </row>
    <row r="1795" spans="1:6" ht="15" customHeight="1" x14ac:dyDescent="0.3">
      <c r="A1795" t="s">
        <v>10782</v>
      </c>
      <c r="B1795">
        <f>I757</f>
        <v>250</v>
      </c>
      <c r="E1795" t="s">
        <v>4066</v>
      </c>
      <c r="F1795" s="49">
        <v>15</v>
      </c>
    </row>
    <row r="1796" spans="1:6" ht="15" customHeight="1" x14ac:dyDescent="0.3">
      <c r="A1796" t="s">
        <v>10785</v>
      </c>
      <c r="B1796">
        <f>I757</f>
        <v>250</v>
      </c>
      <c r="E1796" t="s">
        <v>4067</v>
      </c>
      <c r="F1796" s="49">
        <v>15</v>
      </c>
    </row>
    <row r="1797" spans="1:6" ht="15" customHeight="1" x14ac:dyDescent="0.3">
      <c r="A1797" t="s">
        <v>10783</v>
      </c>
      <c r="B1797">
        <f>I757</f>
        <v>250</v>
      </c>
      <c r="E1797" t="s">
        <v>4068</v>
      </c>
      <c r="F1797" s="49">
        <v>15</v>
      </c>
    </row>
    <row r="1798" spans="1:6" ht="15" customHeight="1" x14ac:dyDescent="0.3">
      <c r="A1798" t="s">
        <v>10784</v>
      </c>
      <c r="B1798">
        <f>I757</f>
        <v>250</v>
      </c>
      <c r="E1798" t="s">
        <v>4069</v>
      </c>
      <c r="F1798" s="49">
        <v>15</v>
      </c>
    </row>
    <row r="1799" spans="1:6" ht="15" customHeight="1" x14ac:dyDescent="0.3">
      <c r="A1799" t="s">
        <v>11266</v>
      </c>
      <c r="B1799">
        <f>I773</f>
        <v>240</v>
      </c>
      <c r="E1799" t="s">
        <v>4070</v>
      </c>
      <c r="F1799" s="49">
        <v>15</v>
      </c>
    </row>
    <row r="1800" spans="1:6" ht="15" customHeight="1" x14ac:dyDescent="0.3">
      <c r="A1800" t="s">
        <v>11267</v>
      </c>
      <c r="B1800">
        <f>I773</f>
        <v>240</v>
      </c>
      <c r="E1800" t="s">
        <v>4071</v>
      </c>
      <c r="F1800" s="49">
        <v>15</v>
      </c>
    </row>
    <row r="1801" spans="1:6" ht="15" customHeight="1" x14ac:dyDescent="0.3">
      <c r="A1801" t="s">
        <v>11268</v>
      </c>
      <c r="B1801">
        <f>I773</f>
        <v>240</v>
      </c>
      <c r="E1801" t="s">
        <v>4072</v>
      </c>
      <c r="F1801" s="49">
        <v>15</v>
      </c>
    </row>
    <row r="1802" spans="1:6" ht="15" customHeight="1" x14ac:dyDescent="0.3">
      <c r="A1802" t="s">
        <v>11269</v>
      </c>
      <c r="B1802">
        <f>I773</f>
        <v>240</v>
      </c>
      <c r="E1802" t="s">
        <v>4073</v>
      </c>
      <c r="F1802" s="49">
        <v>15</v>
      </c>
    </row>
    <row r="1803" spans="1:6" ht="15" customHeight="1" x14ac:dyDescent="0.3">
      <c r="A1803" t="s">
        <v>13650</v>
      </c>
      <c r="B1803">
        <f>I775</f>
        <v>260</v>
      </c>
      <c r="E1803" t="s">
        <v>4074</v>
      </c>
      <c r="F1803" s="49">
        <v>12</v>
      </c>
    </row>
    <row r="1804" spans="1:6" ht="15" customHeight="1" x14ac:dyDescent="0.3">
      <c r="A1804" t="s">
        <v>13651</v>
      </c>
      <c r="B1804">
        <f>B1803</f>
        <v>260</v>
      </c>
      <c r="E1804" t="s">
        <v>4075</v>
      </c>
      <c r="F1804" s="49">
        <v>12</v>
      </c>
    </row>
    <row r="1805" spans="1:6" ht="15" customHeight="1" x14ac:dyDescent="0.3">
      <c r="A1805" t="s">
        <v>11270</v>
      </c>
      <c r="B1805">
        <f>I774</f>
        <v>240</v>
      </c>
      <c r="E1805" t="s">
        <v>4076</v>
      </c>
      <c r="F1805" s="49">
        <v>12</v>
      </c>
    </row>
    <row r="1806" spans="1:6" ht="15" customHeight="1" x14ac:dyDescent="0.3">
      <c r="A1806" t="s">
        <v>11271</v>
      </c>
      <c r="B1806">
        <f>I774</f>
        <v>240</v>
      </c>
      <c r="E1806" t="s">
        <v>4077</v>
      </c>
      <c r="F1806" s="49">
        <v>12</v>
      </c>
    </row>
    <row r="1807" spans="1:6" ht="15" customHeight="1" x14ac:dyDescent="0.3">
      <c r="A1807" t="s">
        <v>11272</v>
      </c>
      <c r="B1807">
        <f>I774</f>
        <v>240</v>
      </c>
      <c r="E1807" t="s">
        <v>4078</v>
      </c>
      <c r="F1807" s="49">
        <v>12</v>
      </c>
    </row>
    <row r="1808" spans="1:6" ht="15" customHeight="1" x14ac:dyDescent="0.3">
      <c r="A1808" t="s">
        <v>11273</v>
      </c>
      <c r="B1808">
        <f>I774</f>
        <v>240</v>
      </c>
      <c r="E1808" t="s">
        <v>4079</v>
      </c>
      <c r="F1808" s="49">
        <v>12</v>
      </c>
    </row>
    <row r="1809" spans="1:6" ht="15" customHeight="1" x14ac:dyDescent="0.3">
      <c r="A1809" t="s">
        <v>13652</v>
      </c>
      <c r="B1809">
        <f>I776</f>
        <v>260</v>
      </c>
      <c r="E1809" t="s">
        <v>4080</v>
      </c>
      <c r="F1809" s="49">
        <v>12</v>
      </c>
    </row>
    <row r="1810" spans="1:6" ht="15" customHeight="1" x14ac:dyDescent="0.3">
      <c r="A1810" t="s">
        <v>13653</v>
      </c>
      <c r="B1810">
        <f>B1809</f>
        <v>260</v>
      </c>
      <c r="E1810" t="s">
        <v>4081</v>
      </c>
      <c r="F1810" s="49">
        <v>12</v>
      </c>
    </row>
    <row r="1811" spans="1:6" ht="15" customHeight="1" x14ac:dyDescent="0.3">
      <c r="A1811" s="101" t="s">
        <v>13322</v>
      </c>
      <c r="B1811">
        <f>I777</f>
        <v>330</v>
      </c>
      <c r="E1811" t="s">
        <v>4082</v>
      </c>
      <c r="F1811" s="49">
        <v>12</v>
      </c>
    </row>
    <row r="1812" spans="1:6" ht="15" customHeight="1" x14ac:dyDescent="0.3">
      <c r="A1812" s="101" t="s">
        <v>13323</v>
      </c>
      <c r="B1812">
        <f>B1811</f>
        <v>330</v>
      </c>
      <c r="E1812" t="s">
        <v>4083</v>
      </c>
      <c r="F1812" s="49">
        <v>15</v>
      </c>
    </row>
    <row r="1813" spans="1:6" ht="15" customHeight="1" x14ac:dyDescent="0.3">
      <c r="A1813" s="101" t="s">
        <v>13324</v>
      </c>
      <c r="B1813">
        <f>B1811</f>
        <v>330</v>
      </c>
      <c r="E1813" t="s">
        <v>4084</v>
      </c>
      <c r="F1813" s="49">
        <v>15</v>
      </c>
    </row>
    <row r="1814" spans="1:6" ht="15" customHeight="1" x14ac:dyDescent="0.3">
      <c r="A1814" s="101" t="s">
        <v>13325</v>
      </c>
      <c r="B1814">
        <f>B1811</f>
        <v>330</v>
      </c>
      <c r="E1814" t="s">
        <v>4085</v>
      </c>
      <c r="F1814" s="49">
        <v>15</v>
      </c>
    </row>
    <row r="1815" spans="1:6" ht="15" customHeight="1" x14ac:dyDescent="0.3">
      <c r="A1815" t="s">
        <v>6590</v>
      </c>
      <c r="B1815">
        <f>I778</f>
        <v>350</v>
      </c>
      <c r="E1815" t="s">
        <v>4086</v>
      </c>
      <c r="F1815" s="49">
        <v>15</v>
      </c>
    </row>
    <row r="1816" spans="1:6" ht="15" customHeight="1" x14ac:dyDescent="0.3">
      <c r="A1816" t="s">
        <v>6591</v>
      </c>
      <c r="B1816">
        <f>I778</f>
        <v>350</v>
      </c>
      <c r="E1816" t="s">
        <v>4087</v>
      </c>
      <c r="F1816" s="49">
        <v>15</v>
      </c>
    </row>
    <row r="1817" spans="1:6" ht="15" customHeight="1" x14ac:dyDescent="0.3">
      <c r="A1817" t="s">
        <v>11967</v>
      </c>
      <c r="B1817">
        <f>I779</f>
        <v>380</v>
      </c>
      <c r="E1817" t="s">
        <v>4088</v>
      </c>
      <c r="F1817" s="49">
        <v>15</v>
      </c>
    </row>
    <row r="1818" spans="1:6" ht="15" customHeight="1" x14ac:dyDescent="0.3">
      <c r="A1818" t="s">
        <v>11968</v>
      </c>
      <c r="B1818">
        <f>I779</f>
        <v>380</v>
      </c>
      <c r="E1818" t="s">
        <v>4089</v>
      </c>
      <c r="F1818" s="49">
        <v>15</v>
      </c>
    </row>
    <row r="1819" spans="1:6" ht="15" customHeight="1" x14ac:dyDescent="0.3">
      <c r="A1819" t="s">
        <v>12585</v>
      </c>
      <c r="B1819">
        <f>I780</f>
        <v>160</v>
      </c>
      <c r="E1819" t="s">
        <v>4090</v>
      </c>
      <c r="F1819" s="49">
        <v>15</v>
      </c>
    </row>
    <row r="1820" spans="1:6" ht="15" customHeight="1" x14ac:dyDescent="0.3">
      <c r="A1820" t="s">
        <v>12586</v>
      </c>
      <c r="B1820">
        <f>I780</f>
        <v>160</v>
      </c>
      <c r="E1820" t="s">
        <v>4091</v>
      </c>
      <c r="F1820" s="49">
        <v>15</v>
      </c>
    </row>
    <row r="1821" spans="1:6" ht="15" customHeight="1" x14ac:dyDescent="0.3">
      <c r="A1821" t="s">
        <v>10991</v>
      </c>
      <c r="B1821">
        <f>I781</f>
        <v>290</v>
      </c>
      <c r="E1821" t="s">
        <v>4092</v>
      </c>
      <c r="F1821" s="49">
        <v>15</v>
      </c>
    </row>
    <row r="1822" spans="1:6" ht="15" customHeight="1" x14ac:dyDescent="0.3">
      <c r="A1822" t="s">
        <v>10992</v>
      </c>
      <c r="B1822">
        <f>B1821</f>
        <v>290</v>
      </c>
      <c r="E1822" t="s">
        <v>4093</v>
      </c>
      <c r="F1822" s="49">
        <v>12</v>
      </c>
    </row>
    <row r="1823" spans="1:6" ht="15" customHeight="1" x14ac:dyDescent="0.3">
      <c r="A1823" t="s">
        <v>10993</v>
      </c>
      <c r="B1823">
        <f>B1821</f>
        <v>290</v>
      </c>
      <c r="E1823" t="s">
        <v>4094</v>
      </c>
      <c r="F1823" s="49">
        <v>12</v>
      </c>
    </row>
    <row r="1824" spans="1:6" ht="15" customHeight="1" x14ac:dyDescent="0.3">
      <c r="A1824" t="s">
        <v>10994</v>
      </c>
      <c r="B1824">
        <f>B1821</f>
        <v>290</v>
      </c>
      <c r="E1824" t="s">
        <v>4095</v>
      </c>
      <c r="F1824" s="49">
        <v>12</v>
      </c>
    </row>
    <row r="1825" spans="1:6" ht="15" customHeight="1" x14ac:dyDescent="0.3">
      <c r="A1825" t="s">
        <v>13654</v>
      </c>
      <c r="B1825">
        <f>I782</f>
        <v>400</v>
      </c>
      <c r="E1825" t="s">
        <v>4096</v>
      </c>
      <c r="F1825" s="49">
        <v>15</v>
      </c>
    </row>
    <row r="1826" spans="1:6" ht="15" customHeight="1" x14ac:dyDescent="0.3">
      <c r="A1826" t="s">
        <v>13655</v>
      </c>
      <c r="B1826">
        <f>B1825</f>
        <v>400</v>
      </c>
      <c r="E1826" t="s">
        <v>4097</v>
      </c>
      <c r="F1826" s="49">
        <v>15</v>
      </c>
    </row>
    <row r="1827" spans="1:6" ht="15" customHeight="1" x14ac:dyDescent="0.3">
      <c r="A1827" t="s">
        <v>13656</v>
      </c>
      <c r="B1827">
        <f>I783</f>
        <v>320</v>
      </c>
      <c r="E1827" t="s">
        <v>4098</v>
      </c>
      <c r="F1827" s="49">
        <v>15</v>
      </c>
    </row>
    <row r="1828" spans="1:6" ht="15" customHeight="1" x14ac:dyDescent="0.3">
      <c r="A1828" t="s">
        <v>13657</v>
      </c>
      <c r="B1828">
        <f>B1827</f>
        <v>320</v>
      </c>
      <c r="E1828" t="s">
        <v>4099</v>
      </c>
      <c r="F1828" s="49">
        <v>15</v>
      </c>
    </row>
    <row r="1829" spans="1:6" ht="15" customHeight="1" x14ac:dyDescent="0.3">
      <c r="A1829" t="s">
        <v>13658</v>
      </c>
      <c r="B1829">
        <f>I784</f>
        <v>300</v>
      </c>
      <c r="E1829" t="s">
        <v>4100</v>
      </c>
      <c r="F1829" s="49">
        <v>15</v>
      </c>
    </row>
    <row r="1830" spans="1:6" ht="15" customHeight="1" x14ac:dyDescent="0.3">
      <c r="A1830" t="s">
        <v>13659</v>
      </c>
      <c r="B1830">
        <f>B1829</f>
        <v>300</v>
      </c>
      <c r="E1830" t="s">
        <v>4101</v>
      </c>
      <c r="F1830" s="49">
        <v>15</v>
      </c>
    </row>
    <row r="1831" spans="1:6" ht="15" customHeight="1" x14ac:dyDescent="0.3">
      <c r="A1831" t="s">
        <v>13660</v>
      </c>
      <c r="B1831">
        <f>I785</f>
        <v>370</v>
      </c>
      <c r="E1831" t="s">
        <v>4102</v>
      </c>
      <c r="F1831" s="49">
        <v>15</v>
      </c>
    </row>
    <row r="1832" spans="1:6" ht="15" customHeight="1" x14ac:dyDescent="0.3">
      <c r="A1832" t="s">
        <v>13661</v>
      </c>
      <c r="B1832">
        <f>B1831</f>
        <v>370</v>
      </c>
      <c r="E1832" t="s">
        <v>4103</v>
      </c>
      <c r="F1832" s="49">
        <v>15</v>
      </c>
    </row>
    <row r="1833" spans="1:6" ht="15" customHeight="1" x14ac:dyDescent="0.3">
      <c r="A1833" t="s">
        <v>1965</v>
      </c>
      <c r="B1833">
        <f>I799</f>
        <v>65</v>
      </c>
      <c r="E1833" t="s">
        <v>4104</v>
      </c>
      <c r="F1833" s="49">
        <v>15</v>
      </c>
    </row>
    <row r="1834" spans="1:6" ht="15" customHeight="1" x14ac:dyDescent="0.3">
      <c r="A1834" t="s">
        <v>1966</v>
      </c>
      <c r="B1834">
        <f>I802</f>
        <v>70</v>
      </c>
      <c r="E1834" t="s">
        <v>4105</v>
      </c>
      <c r="F1834" s="49">
        <v>15</v>
      </c>
    </row>
    <row r="1835" spans="1:6" ht="15" customHeight="1" x14ac:dyDescent="0.3">
      <c r="A1835" t="s">
        <v>3522</v>
      </c>
      <c r="B1835">
        <f>I802</f>
        <v>70</v>
      </c>
      <c r="E1835" t="s">
        <v>4106</v>
      </c>
      <c r="F1835" s="49">
        <v>12</v>
      </c>
    </row>
    <row r="1836" spans="1:6" ht="15" customHeight="1" x14ac:dyDescent="0.3">
      <c r="A1836" t="s">
        <v>2158</v>
      </c>
      <c r="B1836">
        <f>I803</f>
        <v>75</v>
      </c>
      <c r="E1836" t="s">
        <v>4107</v>
      </c>
      <c r="F1836" s="49">
        <v>12</v>
      </c>
    </row>
    <row r="1837" spans="1:6" ht="15" customHeight="1" x14ac:dyDescent="0.3">
      <c r="A1837" t="s">
        <v>2157</v>
      </c>
      <c r="B1837">
        <f>I805</f>
        <v>75</v>
      </c>
      <c r="E1837" t="s">
        <v>4108</v>
      </c>
      <c r="F1837" s="49">
        <v>12</v>
      </c>
    </row>
    <row r="1838" spans="1:6" ht="15" customHeight="1" x14ac:dyDescent="0.3">
      <c r="A1838" t="s">
        <v>1967</v>
      </c>
      <c r="B1838">
        <f>I806</f>
        <v>95</v>
      </c>
      <c r="E1838" t="s">
        <v>4109</v>
      </c>
      <c r="F1838" s="49">
        <v>15</v>
      </c>
    </row>
    <row r="1839" spans="1:6" ht="15" customHeight="1" x14ac:dyDescent="0.3">
      <c r="A1839" t="s">
        <v>1968</v>
      </c>
      <c r="B1839">
        <f>I804</f>
        <v>85</v>
      </c>
      <c r="E1839" t="s">
        <v>4110</v>
      </c>
      <c r="F1839" s="49">
        <v>15</v>
      </c>
    </row>
    <row r="1840" spans="1:6" ht="15" customHeight="1" x14ac:dyDescent="0.3">
      <c r="A1840" t="s">
        <v>3523</v>
      </c>
      <c r="B1840">
        <f>I803</f>
        <v>75</v>
      </c>
      <c r="E1840" t="s">
        <v>4111</v>
      </c>
      <c r="F1840" s="49">
        <v>15</v>
      </c>
    </row>
    <row r="1841" spans="1:6" ht="15" customHeight="1" x14ac:dyDescent="0.3">
      <c r="A1841" t="s">
        <v>3525</v>
      </c>
      <c r="B1841">
        <f>I803</f>
        <v>75</v>
      </c>
      <c r="E1841" t="s">
        <v>4112</v>
      </c>
      <c r="F1841" s="49">
        <v>15</v>
      </c>
    </row>
    <row r="1842" spans="1:6" ht="15" customHeight="1" x14ac:dyDescent="0.3">
      <c r="A1842" t="s">
        <v>3527</v>
      </c>
      <c r="B1842">
        <f>I803</f>
        <v>75</v>
      </c>
      <c r="E1842" t="s">
        <v>4113</v>
      </c>
      <c r="F1842" s="49">
        <v>15</v>
      </c>
    </row>
    <row r="1843" spans="1:6" ht="15" customHeight="1" x14ac:dyDescent="0.3">
      <c r="A1843" t="s">
        <v>3524</v>
      </c>
      <c r="B1843">
        <f>I804</f>
        <v>85</v>
      </c>
      <c r="E1843" t="s">
        <v>4114</v>
      </c>
      <c r="F1843" s="49">
        <v>15</v>
      </c>
    </row>
    <row r="1844" spans="1:6" ht="15" customHeight="1" x14ac:dyDescent="0.3">
      <c r="A1844" t="s">
        <v>3526</v>
      </c>
      <c r="B1844">
        <f>I804</f>
        <v>85</v>
      </c>
      <c r="E1844" t="s">
        <v>4115</v>
      </c>
      <c r="F1844" s="49">
        <v>12</v>
      </c>
    </row>
    <row r="1845" spans="1:6" ht="15" customHeight="1" x14ac:dyDescent="0.3">
      <c r="A1845" t="s">
        <v>3528</v>
      </c>
      <c r="B1845">
        <f>I804</f>
        <v>85</v>
      </c>
      <c r="E1845" t="s">
        <v>4116</v>
      </c>
      <c r="F1845" s="49">
        <v>12</v>
      </c>
    </row>
    <row r="1846" spans="1:6" ht="15" customHeight="1" x14ac:dyDescent="0.3">
      <c r="A1846" t="s">
        <v>2159</v>
      </c>
      <c r="B1846">
        <f>I805</f>
        <v>75</v>
      </c>
      <c r="E1846" t="s">
        <v>4117</v>
      </c>
      <c r="F1846" s="49">
        <v>12</v>
      </c>
    </row>
    <row r="1847" spans="1:6" ht="15" customHeight="1" x14ac:dyDescent="0.3">
      <c r="A1847" t="s">
        <v>1969</v>
      </c>
      <c r="B1847">
        <f>I806</f>
        <v>95</v>
      </c>
      <c r="E1847" t="s">
        <v>4118</v>
      </c>
      <c r="F1847" s="49">
        <v>12</v>
      </c>
    </row>
    <row r="1848" spans="1:6" ht="15" customHeight="1" x14ac:dyDescent="0.3">
      <c r="A1848" t="s">
        <v>2160</v>
      </c>
      <c r="B1848">
        <f>I807</f>
        <v>65</v>
      </c>
      <c r="E1848" t="s">
        <v>4119</v>
      </c>
      <c r="F1848" s="49">
        <v>12</v>
      </c>
    </row>
    <row r="1849" spans="1:6" ht="15" customHeight="1" x14ac:dyDescent="0.3">
      <c r="A1849" t="s">
        <v>1970</v>
      </c>
      <c r="B1849">
        <f>I808</f>
        <v>80</v>
      </c>
      <c r="E1849" t="s">
        <v>4120</v>
      </c>
      <c r="F1849" s="49">
        <v>12</v>
      </c>
    </row>
    <row r="1850" spans="1:6" ht="15" customHeight="1" x14ac:dyDescent="0.3">
      <c r="A1850" t="s">
        <v>3530</v>
      </c>
      <c r="B1850">
        <f>I807</f>
        <v>65</v>
      </c>
      <c r="E1850" t="s">
        <v>4121</v>
      </c>
      <c r="F1850" s="49">
        <v>15</v>
      </c>
    </row>
    <row r="1851" spans="1:6" ht="15" customHeight="1" x14ac:dyDescent="0.3">
      <c r="A1851" t="s">
        <v>3533</v>
      </c>
      <c r="B1851">
        <f>I807</f>
        <v>65</v>
      </c>
      <c r="E1851" t="s">
        <v>4122</v>
      </c>
      <c r="F1851" s="49">
        <v>15</v>
      </c>
    </row>
    <row r="1852" spans="1:6" ht="15" customHeight="1" x14ac:dyDescent="0.3">
      <c r="A1852" t="s">
        <v>3534</v>
      </c>
      <c r="B1852">
        <f>I807</f>
        <v>65</v>
      </c>
      <c r="E1852" t="s">
        <v>4123</v>
      </c>
      <c r="F1852" s="49">
        <v>15</v>
      </c>
    </row>
    <row r="1853" spans="1:6" ht="15" customHeight="1" x14ac:dyDescent="0.3">
      <c r="A1853" t="s">
        <v>3529</v>
      </c>
      <c r="B1853">
        <f>I808</f>
        <v>80</v>
      </c>
      <c r="E1853" t="s">
        <v>4124</v>
      </c>
      <c r="F1853" s="49">
        <v>15</v>
      </c>
    </row>
    <row r="1854" spans="1:6" ht="15" customHeight="1" x14ac:dyDescent="0.3">
      <c r="A1854" t="s">
        <v>3531</v>
      </c>
      <c r="B1854">
        <f>I808</f>
        <v>80</v>
      </c>
      <c r="E1854" t="s">
        <v>4125</v>
      </c>
      <c r="F1854" s="49">
        <v>15</v>
      </c>
    </row>
    <row r="1855" spans="1:6" ht="15" customHeight="1" x14ac:dyDescent="0.3">
      <c r="A1855" t="s">
        <v>3532</v>
      </c>
      <c r="B1855">
        <f t="shared" ref="B1855" si="1109">I808</f>
        <v>80</v>
      </c>
      <c r="E1855" t="s">
        <v>4126</v>
      </c>
      <c r="F1855" s="49">
        <v>15</v>
      </c>
    </row>
    <row r="1856" spans="1:6" ht="15" customHeight="1" x14ac:dyDescent="0.3">
      <c r="A1856" t="s">
        <v>10854</v>
      </c>
      <c r="B1856">
        <f>I809</f>
        <v>85</v>
      </c>
      <c r="E1856" t="s">
        <v>4127</v>
      </c>
      <c r="F1856" s="49">
        <v>15</v>
      </c>
    </row>
    <row r="1857" spans="1:6" ht="15" customHeight="1" x14ac:dyDescent="0.3">
      <c r="A1857" t="s">
        <v>10855</v>
      </c>
      <c r="B1857">
        <f>I809</f>
        <v>85</v>
      </c>
      <c r="E1857" t="s">
        <v>4128</v>
      </c>
      <c r="F1857" s="49">
        <v>12</v>
      </c>
    </row>
    <row r="1858" spans="1:6" ht="15" customHeight="1" x14ac:dyDescent="0.3">
      <c r="A1858" t="s">
        <v>11969</v>
      </c>
      <c r="B1858">
        <f>I811</f>
        <v>95</v>
      </c>
      <c r="E1858" t="s">
        <v>4129</v>
      </c>
      <c r="F1858" s="49">
        <v>12</v>
      </c>
    </row>
    <row r="1859" spans="1:6" ht="15" customHeight="1" x14ac:dyDescent="0.3">
      <c r="A1859" t="s">
        <v>11970</v>
      </c>
      <c r="B1859">
        <f>I811</f>
        <v>95</v>
      </c>
      <c r="E1859" t="s">
        <v>4130</v>
      </c>
      <c r="F1859" s="49">
        <v>12</v>
      </c>
    </row>
    <row r="1860" spans="1:6" ht="15" customHeight="1" x14ac:dyDescent="0.3">
      <c r="A1860" t="s">
        <v>10856</v>
      </c>
      <c r="B1860">
        <f>I810</f>
        <v>85</v>
      </c>
      <c r="E1860" t="s">
        <v>4131</v>
      </c>
      <c r="F1860" s="49">
        <v>15</v>
      </c>
    </row>
    <row r="1861" spans="1:6" ht="15" customHeight="1" x14ac:dyDescent="0.3">
      <c r="A1861" t="s">
        <v>10857</v>
      </c>
      <c r="B1861">
        <f>I810</f>
        <v>85</v>
      </c>
      <c r="E1861" t="s">
        <v>4132</v>
      </c>
      <c r="F1861" s="49">
        <v>15</v>
      </c>
    </row>
    <row r="1862" spans="1:6" ht="15" customHeight="1" x14ac:dyDescent="0.3">
      <c r="A1862" t="s">
        <v>11971</v>
      </c>
      <c r="B1862">
        <f>I812</f>
        <v>95</v>
      </c>
      <c r="E1862" t="s">
        <v>4133</v>
      </c>
      <c r="F1862" s="49">
        <v>15</v>
      </c>
    </row>
    <row r="1863" spans="1:6" ht="15" customHeight="1" x14ac:dyDescent="0.3">
      <c r="A1863" t="s">
        <v>11972</v>
      </c>
      <c r="B1863">
        <f>I812</f>
        <v>95</v>
      </c>
      <c r="E1863" t="s">
        <v>4134</v>
      </c>
      <c r="F1863" s="49">
        <v>15</v>
      </c>
    </row>
    <row r="1864" spans="1:6" ht="15" customHeight="1" x14ac:dyDescent="0.3">
      <c r="A1864" t="s">
        <v>10858</v>
      </c>
      <c r="B1864">
        <f>I810</f>
        <v>85</v>
      </c>
      <c r="E1864" t="s">
        <v>4135</v>
      </c>
      <c r="F1864" s="49">
        <v>12</v>
      </c>
    </row>
    <row r="1865" spans="1:6" ht="15" customHeight="1" x14ac:dyDescent="0.3">
      <c r="A1865" t="s">
        <v>10859</v>
      </c>
      <c r="B1865">
        <f t="shared" ref="B1865" si="1110">I810</f>
        <v>85</v>
      </c>
      <c r="E1865" t="s">
        <v>4136</v>
      </c>
      <c r="F1865" s="49">
        <v>12</v>
      </c>
    </row>
    <row r="1866" spans="1:6" ht="15" customHeight="1" x14ac:dyDescent="0.3">
      <c r="A1866" t="s">
        <v>11973</v>
      </c>
      <c r="B1866">
        <f>I812</f>
        <v>95</v>
      </c>
      <c r="E1866" t="s">
        <v>4137</v>
      </c>
      <c r="F1866" s="49">
        <v>15</v>
      </c>
    </row>
    <row r="1867" spans="1:6" ht="15" customHeight="1" x14ac:dyDescent="0.3">
      <c r="A1867" t="s">
        <v>11974</v>
      </c>
      <c r="B1867">
        <f t="shared" ref="B1867:B1872" si="1111">I812</f>
        <v>95</v>
      </c>
      <c r="E1867" t="s">
        <v>4138</v>
      </c>
      <c r="F1867" s="49">
        <v>15</v>
      </c>
    </row>
    <row r="1868" spans="1:6" ht="15" customHeight="1" x14ac:dyDescent="0.3">
      <c r="A1868" t="s">
        <v>2161</v>
      </c>
      <c r="B1868">
        <f t="shared" si="1111"/>
        <v>65</v>
      </c>
      <c r="E1868" t="s">
        <v>10860</v>
      </c>
      <c r="F1868" s="49">
        <v>15</v>
      </c>
    </row>
    <row r="1869" spans="1:6" ht="15" customHeight="1" x14ac:dyDescent="0.3">
      <c r="A1869" t="s">
        <v>1971</v>
      </c>
      <c r="B1869">
        <f t="shared" si="1111"/>
        <v>80</v>
      </c>
      <c r="E1869" t="s">
        <v>4139</v>
      </c>
      <c r="F1869" s="49">
        <v>15</v>
      </c>
    </row>
    <row r="1870" spans="1:6" ht="15" customHeight="1" x14ac:dyDescent="0.3">
      <c r="A1870" t="s">
        <v>2162</v>
      </c>
      <c r="B1870">
        <f t="shared" si="1111"/>
        <v>65</v>
      </c>
      <c r="E1870" t="s">
        <v>4140</v>
      </c>
      <c r="F1870" s="49">
        <v>15</v>
      </c>
    </row>
    <row r="1871" spans="1:6" ht="15" customHeight="1" x14ac:dyDescent="0.3">
      <c r="A1871" t="s">
        <v>1972</v>
      </c>
      <c r="B1871">
        <f t="shared" si="1111"/>
        <v>80</v>
      </c>
      <c r="E1871" t="s">
        <v>4141</v>
      </c>
      <c r="F1871" s="49">
        <v>15</v>
      </c>
    </row>
    <row r="1872" spans="1:6" ht="15" customHeight="1" x14ac:dyDescent="0.3">
      <c r="A1872" t="s">
        <v>2404</v>
      </c>
      <c r="B1872">
        <f t="shared" si="1111"/>
        <v>85</v>
      </c>
      <c r="E1872" t="s">
        <v>4142</v>
      </c>
      <c r="F1872" s="49">
        <v>15</v>
      </c>
    </row>
    <row r="1873" spans="1:6" ht="15" customHeight="1" x14ac:dyDescent="0.3">
      <c r="A1873" t="s">
        <v>2566</v>
      </c>
      <c r="B1873">
        <f>I817</f>
        <v>85</v>
      </c>
      <c r="E1873" t="s">
        <v>4143</v>
      </c>
      <c r="F1873" s="49">
        <v>15</v>
      </c>
    </row>
    <row r="1874" spans="1:6" ht="15" customHeight="1" x14ac:dyDescent="0.3">
      <c r="A1874" t="s">
        <v>11975</v>
      </c>
      <c r="B1874">
        <f>I818</f>
        <v>95</v>
      </c>
      <c r="E1874" t="s">
        <v>4144</v>
      </c>
      <c r="F1874" s="49">
        <v>12</v>
      </c>
    </row>
    <row r="1875" spans="1:6" ht="15" customHeight="1" x14ac:dyDescent="0.3">
      <c r="A1875" t="s">
        <v>11976</v>
      </c>
      <c r="B1875">
        <f>I818</f>
        <v>95</v>
      </c>
      <c r="E1875" t="s">
        <v>4145</v>
      </c>
      <c r="F1875" s="49">
        <v>12</v>
      </c>
    </row>
    <row r="1876" spans="1:6" ht="15" customHeight="1" x14ac:dyDescent="0.3">
      <c r="A1876" t="s">
        <v>2163</v>
      </c>
      <c r="B1876">
        <f>I819</f>
        <v>65</v>
      </c>
      <c r="E1876" t="s">
        <v>4146</v>
      </c>
      <c r="F1876" s="49">
        <v>12</v>
      </c>
    </row>
    <row r="1877" spans="1:6" ht="15" customHeight="1" x14ac:dyDescent="0.3">
      <c r="A1877" t="s">
        <v>1973</v>
      </c>
      <c r="B1877">
        <f>I820</f>
        <v>80</v>
      </c>
      <c r="E1877" t="s">
        <v>13500</v>
      </c>
      <c r="F1877" s="49">
        <v>15</v>
      </c>
    </row>
    <row r="1878" spans="1:6" ht="15" customHeight="1" x14ac:dyDescent="0.3">
      <c r="A1878" t="s">
        <v>10848</v>
      </c>
      <c r="B1878">
        <f>I821</f>
        <v>90</v>
      </c>
      <c r="E1878" t="s">
        <v>13499</v>
      </c>
      <c r="F1878" s="49">
        <v>12</v>
      </c>
    </row>
    <row r="1879" spans="1:6" ht="15" customHeight="1" x14ac:dyDescent="0.3">
      <c r="A1879" t="s">
        <v>10849</v>
      </c>
      <c r="B1879">
        <f>I821</f>
        <v>90</v>
      </c>
      <c r="E1879" t="s">
        <v>13498</v>
      </c>
      <c r="F1879" s="49">
        <v>15</v>
      </c>
    </row>
    <row r="1880" spans="1:6" ht="15" customHeight="1" x14ac:dyDescent="0.3">
      <c r="A1880" t="s">
        <v>11977</v>
      </c>
      <c r="B1880">
        <f>I822</f>
        <v>100</v>
      </c>
      <c r="E1880" t="s">
        <v>13497</v>
      </c>
      <c r="F1880" s="49">
        <v>15</v>
      </c>
    </row>
    <row r="1881" spans="1:6" ht="15" customHeight="1" x14ac:dyDescent="0.3">
      <c r="A1881" t="s">
        <v>11978</v>
      </c>
      <c r="B1881">
        <f t="shared" ref="B1881:B1882" si="1112">I822</f>
        <v>100</v>
      </c>
      <c r="E1881" t="s">
        <v>13496</v>
      </c>
      <c r="F1881" s="49">
        <v>15</v>
      </c>
    </row>
    <row r="1882" spans="1:6" ht="15" customHeight="1" x14ac:dyDescent="0.3">
      <c r="A1882" t="s">
        <v>2164</v>
      </c>
      <c r="B1882">
        <f t="shared" si="1112"/>
        <v>70</v>
      </c>
      <c r="E1882" t="s">
        <v>13495</v>
      </c>
      <c r="F1882" s="49">
        <v>15</v>
      </c>
    </row>
    <row r="1883" spans="1:6" ht="15" customHeight="1" x14ac:dyDescent="0.3">
      <c r="A1883" t="s">
        <v>1974</v>
      </c>
      <c r="B1883">
        <f>I824</f>
        <v>85</v>
      </c>
      <c r="E1883" t="s">
        <v>13494</v>
      </c>
      <c r="F1883" s="49">
        <v>12</v>
      </c>
    </row>
    <row r="1884" spans="1:6" ht="15" customHeight="1" x14ac:dyDescent="0.3">
      <c r="A1884" t="s">
        <v>12817</v>
      </c>
      <c r="B1884">
        <f>I825</f>
        <v>95</v>
      </c>
      <c r="E1884" t="s">
        <v>13493</v>
      </c>
      <c r="F1884" s="49">
        <v>12</v>
      </c>
    </row>
    <row r="1885" spans="1:6" ht="15" customHeight="1" x14ac:dyDescent="0.3">
      <c r="A1885" t="s">
        <v>12818</v>
      </c>
      <c r="B1885">
        <f>I825</f>
        <v>95</v>
      </c>
      <c r="E1885" t="s">
        <v>13492</v>
      </c>
      <c r="F1885" s="49">
        <v>12</v>
      </c>
    </row>
    <row r="1886" spans="1:6" ht="15" customHeight="1" x14ac:dyDescent="0.3">
      <c r="A1886" t="s">
        <v>2165</v>
      </c>
      <c r="B1886">
        <f>I826</f>
        <v>75</v>
      </c>
      <c r="E1886" t="s">
        <v>13491</v>
      </c>
      <c r="F1886" s="49">
        <v>15</v>
      </c>
    </row>
    <row r="1887" spans="1:6" ht="15" customHeight="1" x14ac:dyDescent="0.3">
      <c r="A1887" t="s">
        <v>2166</v>
      </c>
      <c r="B1887">
        <f>I827</f>
        <v>75</v>
      </c>
      <c r="E1887" t="s">
        <v>4036</v>
      </c>
      <c r="F1887" s="49">
        <v>15</v>
      </c>
    </row>
    <row r="1888" spans="1:6" ht="15" customHeight="1" x14ac:dyDescent="0.3">
      <c r="A1888" t="s">
        <v>1975</v>
      </c>
      <c r="B1888">
        <f>I828</f>
        <v>85</v>
      </c>
      <c r="E1888" t="s">
        <v>13490</v>
      </c>
      <c r="F1888" s="49">
        <v>15</v>
      </c>
    </row>
    <row r="1889" spans="1:6" ht="15" customHeight="1" x14ac:dyDescent="0.3">
      <c r="A1889" t="s">
        <v>12183</v>
      </c>
      <c r="B1889">
        <f>I829</f>
        <v>95</v>
      </c>
      <c r="E1889" t="s">
        <v>13489</v>
      </c>
      <c r="F1889" s="49">
        <v>15</v>
      </c>
    </row>
    <row r="1890" spans="1:6" ht="15" customHeight="1" x14ac:dyDescent="0.3">
      <c r="A1890" t="s">
        <v>12184</v>
      </c>
      <c r="B1890">
        <f>I829</f>
        <v>95</v>
      </c>
      <c r="E1890" t="s">
        <v>13488</v>
      </c>
      <c r="F1890" s="49">
        <v>15</v>
      </c>
    </row>
    <row r="1891" spans="1:6" ht="15" customHeight="1" x14ac:dyDescent="0.3">
      <c r="A1891" t="s">
        <v>12185</v>
      </c>
      <c r="B1891">
        <f>I830</f>
        <v>105</v>
      </c>
      <c r="E1891" t="s">
        <v>13487</v>
      </c>
      <c r="F1891" s="49">
        <v>12</v>
      </c>
    </row>
    <row r="1892" spans="1:6" ht="15" customHeight="1" x14ac:dyDescent="0.3">
      <c r="A1892" t="s">
        <v>12186</v>
      </c>
      <c r="B1892">
        <f>I830</f>
        <v>105</v>
      </c>
      <c r="E1892" t="s">
        <v>13486</v>
      </c>
      <c r="F1892" s="49">
        <v>15</v>
      </c>
    </row>
    <row r="1893" spans="1:6" ht="15" customHeight="1" x14ac:dyDescent="0.3">
      <c r="A1893" t="s">
        <v>2167</v>
      </c>
      <c r="B1893">
        <f>I819</f>
        <v>65</v>
      </c>
      <c r="E1893" t="s">
        <v>13485</v>
      </c>
      <c r="F1893" s="49">
        <v>15</v>
      </c>
    </row>
    <row r="1894" spans="1:6" ht="15" customHeight="1" x14ac:dyDescent="0.3">
      <c r="A1894" t="s">
        <v>1976</v>
      </c>
      <c r="B1894">
        <f>I820</f>
        <v>80</v>
      </c>
      <c r="E1894" t="s">
        <v>13484</v>
      </c>
      <c r="F1894" s="49">
        <v>15</v>
      </c>
    </row>
    <row r="1895" spans="1:6" ht="15" customHeight="1" x14ac:dyDescent="0.3">
      <c r="A1895" t="s">
        <v>10850</v>
      </c>
      <c r="B1895">
        <f>I831</f>
        <v>90</v>
      </c>
      <c r="E1895" t="s">
        <v>10708</v>
      </c>
      <c r="F1895" s="49">
        <v>12</v>
      </c>
    </row>
    <row r="1896" spans="1:6" ht="15" customHeight="1" x14ac:dyDescent="0.3">
      <c r="A1896" t="s">
        <v>10851</v>
      </c>
      <c r="B1896">
        <f>I831</f>
        <v>90</v>
      </c>
      <c r="E1896" t="s">
        <v>13483</v>
      </c>
      <c r="F1896" s="49">
        <v>12</v>
      </c>
    </row>
    <row r="1897" spans="1:6" ht="15" customHeight="1" x14ac:dyDescent="0.3">
      <c r="A1897" t="s">
        <v>11979</v>
      </c>
      <c r="B1897">
        <f>I832</f>
        <v>100</v>
      </c>
      <c r="E1897" t="s">
        <v>13482</v>
      </c>
      <c r="F1897" s="49">
        <v>12</v>
      </c>
    </row>
    <row r="1898" spans="1:6" ht="15" customHeight="1" x14ac:dyDescent="0.3">
      <c r="A1898" t="s">
        <v>11980</v>
      </c>
      <c r="B1898">
        <f>I832</f>
        <v>100</v>
      </c>
      <c r="E1898" t="s">
        <v>13480</v>
      </c>
      <c r="F1898" s="49">
        <v>12</v>
      </c>
    </row>
    <row r="1899" spans="1:6" ht="15" customHeight="1" x14ac:dyDescent="0.3">
      <c r="A1899" t="s">
        <v>2168</v>
      </c>
      <c r="B1899">
        <f>I833</f>
        <v>75</v>
      </c>
      <c r="E1899" t="s">
        <v>13481</v>
      </c>
      <c r="F1899" s="49">
        <v>15</v>
      </c>
    </row>
    <row r="1900" spans="1:6" ht="15" customHeight="1" x14ac:dyDescent="0.3">
      <c r="A1900" t="s">
        <v>1977</v>
      </c>
      <c r="B1900">
        <f>I834</f>
        <v>85</v>
      </c>
      <c r="E1900" t="s">
        <v>13479</v>
      </c>
      <c r="F1900" s="49">
        <v>15</v>
      </c>
    </row>
    <row r="1901" spans="1:6" ht="15" customHeight="1" x14ac:dyDescent="0.3">
      <c r="A1901" s="32" t="s">
        <v>6605</v>
      </c>
      <c r="B1901">
        <f>I835</f>
        <v>95</v>
      </c>
      <c r="E1901" t="s">
        <v>13478</v>
      </c>
      <c r="F1901" s="49">
        <v>15</v>
      </c>
    </row>
    <row r="1902" spans="1:6" ht="15" customHeight="1" x14ac:dyDescent="0.3">
      <c r="A1902" s="32" t="s">
        <v>6606</v>
      </c>
      <c r="B1902">
        <f>I835</f>
        <v>95</v>
      </c>
      <c r="E1902" t="s">
        <v>4041</v>
      </c>
      <c r="F1902" s="49">
        <v>15</v>
      </c>
    </row>
    <row r="1903" spans="1:6" ht="15" customHeight="1" x14ac:dyDescent="0.3">
      <c r="A1903" s="59" t="s">
        <v>11981</v>
      </c>
      <c r="B1903">
        <f>I836</f>
        <v>105</v>
      </c>
      <c r="E1903" t="s">
        <v>13477</v>
      </c>
      <c r="F1903" s="49">
        <v>15</v>
      </c>
    </row>
    <row r="1904" spans="1:6" ht="15" customHeight="1" x14ac:dyDescent="0.3">
      <c r="A1904" s="59" t="s">
        <v>11982</v>
      </c>
      <c r="B1904">
        <f>I836</f>
        <v>105</v>
      </c>
      <c r="E1904" t="s">
        <v>13476</v>
      </c>
      <c r="F1904" s="49">
        <v>12</v>
      </c>
    </row>
    <row r="1905" spans="1:6" ht="15" customHeight="1" x14ac:dyDescent="0.3">
      <c r="A1905" t="s">
        <v>2169</v>
      </c>
      <c r="B1905">
        <f>I819</f>
        <v>65</v>
      </c>
      <c r="E1905" t="s">
        <v>13475</v>
      </c>
      <c r="F1905" s="49">
        <v>15</v>
      </c>
    </row>
    <row r="1906" spans="1:6" ht="15" customHeight="1" x14ac:dyDescent="0.3">
      <c r="A1906" t="s">
        <v>1978</v>
      </c>
      <c r="B1906">
        <f>I838</f>
        <v>80</v>
      </c>
      <c r="E1906" t="s">
        <v>13474</v>
      </c>
      <c r="F1906" s="49">
        <v>12</v>
      </c>
    </row>
    <row r="1907" spans="1:6" ht="15" customHeight="1" x14ac:dyDescent="0.3">
      <c r="A1907" t="s">
        <v>2405</v>
      </c>
      <c r="B1907">
        <f>I839</f>
        <v>90</v>
      </c>
      <c r="E1907" t="s">
        <v>13473</v>
      </c>
      <c r="F1907" s="49">
        <v>15</v>
      </c>
    </row>
    <row r="1908" spans="1:6" ht="15" customHeight="1" x14ac:dyDescent="0.3">
      <c r="A1908" t="s">
        <v>2567</v>
      </c>
      <c r="B1908">
        <f>I839</f>
        <v>90</v>
      </c>
      <c r="E1908" t="s">
        <v>13472</v>
      </c>
      <c r="F1908" s="49">
        <v>12</v>
      </c>
    </row>
    <row r="1909" spans="1:6" ht="15" customHeight="1" x14ac:dyDescent="0.3">
      <c r="A1909" t="s">
        <v>11983</v>
      </c>
      <c r="B1909">
        <f>I840</f>
        <v>100</v>
      </c>
      <c r="E1909" t="s">
        <v>4042</v>
      </c>
      <c r="F1909" s="49">
        <v>15</v>
      </c>
    </row>
    <row r="1910" spans="1:6" ht="15" customHeight="1" x14ac:dyDescent="0.3">
      <c r="A1910" t="s">
        <v>11984</v>
      </c>
      <c r="B1910">
        <f>I840</f>
        <v>100</v>
      </c>
      <c r="E1910" t="s">
        <v>13471</v>
      </c>
      <c r="F1910" s="49">
        <v>15</v>
      </c>
    </row>
    <row r="1911" spans="1:6" ht="15" customHeight="1" x14ac:dyDescent="0.3">
      <c r="A1911" t="s">
        <v>3537</v>
      </c>
      <c r="B1911">
        <f>I837</f>
        <v>65</v>
      </c>
      <c r="E1911" t="s">
        <v>13470</v>
      </c>
      <c r="F1911" s="49">
        <v>12</v>
      </c>
    </row>
    <row r="1912" spans="1:6" ht="15" customHeight="1" x14ac:dyDescent="0.3">
      <c r="A1912" t="s">
        <v>3538</v>
      </c>
      <c r="B1912">
        <f>I837</f>
        <v>65</v>
      </c>
      <c r="E1912" t="s">
        <v>13469</v>
      </c>
      <c r="F1912" s="49">
        <v>12</v>
      </c>
    </row>
    <row r="1913" spans="1:6" ht="15" customHeight="1" x14ac:dyDescent="0.3">
      <c r="A1913" t="s">
        <v>1979</v>
      </c>
      <c r="B1913">
        <f>I838</f>
        <v>80</v>
      </c>
      <c r="E1913" t="s">
        <v>13468</v>
      </c>
      <c r="F1913" s="49">
        <v>15</v>
      </c>
    </row>
    <row r="1914" spans="1:6" ht="15" customHeight="1" x14ac:dyDescent="0.3">
      <c r="A1914" t="s">
        <v>2406</v>
      </c>
      <c r="B1914">
        <f>I839</f>
        <v>90</v>
      </c>
      <c r="E1914" t="s">
        <v>13467</v>
      </c>
      <c r="F1914" s="49">
        <v>15</v>
      </c>
    </row>
    <row r="1915" spans="1:6" ht="15" customHeight="1" x14ac:dyDescent="0.3">
      <c r="A1915" t="s">
        <v>2568</v>
      </c>
      <c r="B1915">
        <f>I839</f>
        <v>90</v>
      </c>
      <c r="E1915" t="s">
        <v>13466</v>
      </c>
      <c r="F1915" s="49">
        <v>12</v>
      </c>
    </row>
    <row r="1916" spans="1:6" ht="15" customHeight="1" x14ac:dyDescent="0.3">
      <c r="A1916" t="s">
        <v>11985</v>
      </c>
      <c r="B1916">
        <f>I840</f>
        <v>100</v>
      </c>
      <c r="E1916" t="s">
        <v>13465</v>
      </c>
      <c r="F1916" s="49">
        <v>15</v>
      </c>
    </row>
    <row r="1917" spans="1:6" ht="15" customHeight="1" x14ac:dyDescent="0.3">
      <c r="A1917" t="s">
        <v>11986</v>
      </c>
      <c r="B1917">
        <f>I840</f>
        <v>100</v>
      </c>
      <c r="E1917" t="s">
        <v>13464</v>
      </c>
      <c r="F1917" s="49">
        <v>15</v>
      </c>
    </row>
    <row r="1918" spans="1:6" ht="15" customHeight="1" x14ac:dyDescent="0.3">
      <c r="A1918" t="s">
        <v>1980</v>
      </c>
      <c r="B1918">
        <f>I794</f>
        <v>70</v>
      </c>
      <c r="E1918" t="s">
        <v>13463</v>
      </c>
      <c r="F1918" s="49">
        <v>15</v>
      </c>
    </row>
    <row r="1919" spans="1:6" ht="15" customHeight="1" x14ac:dyDescent="0.3">
      <c r="A1919" t="s">
        <v>1981</v>
      </c>
      <c r="B1919">
        <f>I795</f>
        <v>70</v>
      </c>
      <c r="E1919" t="s">
        <v>10711</v>
      </c>
      <c r="F1919" s="49">
        <v>15</v>
      </c>
    </row>
    <row r="1920" spans="1:6" ht="15" customHeight="1" x14ac:dyDescent="0.3">
      <c r="A1920" t="s">
        <v>3539</v>
      </c>
      <c r="B1920">
        <f>I795</f>
        <v>70</v>
      </c>
      <c r="E1920" t="s">
        <v>4043</v>
      </c>
      <c r="F1920" s="49">
        <v>15</v>
      </c>
    </row>
    <row r="1921" spans="1:6" ht="15" customHeight="1" x14ac:dyDescent="0.3">
      <c r="A1921" t="s">
        <v>3540</v>
      </c>
      <c r="B1921">
        <f>I795</f>
        <v>70</v>
      </c>
      <c r="E1921" t="s">
        <v>13462</v>
      </c>
      <c r="F1921" s="49">
        <v>15</v>
      </c>
    </row>
    <row r="1922" spans="1:6" ht="15" customHeight="1" x14ac:dyDescent="0.3">
      <c r="A1922" t="s">
        <v>1982</v>
      </c>
      <c r="B1922">
        <f>I796</f>
        <v>70</v>
      </c>
      <c r="E1922" t="s">
        <v>13461</v>
      </c>
      <c r="F1922" s="49">
        <v>15</v>
      </c>
    </row>
    <row r="1923" spans="1:6" ht="15" customHeight="1" x14ac:dyDescent="0.3">
      <c r="A1923" t="s">
        <v>2215</v>
      </c>
      <c r="B1923">
        <f>I1012</f>
        <v>140</v>
      </c>
      <c r="E1923" t="s">
        <v>4044</v>
      </c>
      <c r="F1923" s="49">
        <v>15</v>
      </c>
    </row>
    <row r="1924" spans="1:6" ht="15" customHeight="1" x14ac:dyDescent="0.3">
      <c r="A1924" s="54" t="s">
        <v>11131</v>
      </c>
      <c r="B1924">
        <f>I1013</f>
        <v>140</v>
      </c>
      <c r="E1924" t="s">
        <v>4045</v>
      </c>
      <c r="F1924" s="49">
        <v>15</v>
      </c>
    </row>
    <row r="1925" spans="1:6" ht="15" customHeight="1" x14ac:dyDescent="0.3">
      <c r="A1925" s="54" t="s">
        <v>11130</v>
      </c>
      <c r="B1925">
        <f>I1013</f>
        <v>140</v>
      </c>
      <c r="E1925" t="s">
        <v>13460</v>
      </c>
      <c r="F1925" s="49">
        <v>15</v>
      </c>
    </row>
    <row r="1926" spans="1:6" ht="15" customHeight="1" x14ac:dyDescent="0.3">
      <c r="A1926" t="s">
        <v>2282</v>
      </c>
      <c r="B1926">
        <f>I1014</f>
        <v>100</v>
      </c>
      <c r="E1926" t="s">
        <v>13459</v>
      </c>
      <c r="F1926" s="49">
        <v>15</v>
      </c>
    </row>
    <row r="1927" spans="1:6" ht="15" customHeight="1" x14ac:dyDescent="0.3">
      <c r="A1927" t="s">
        <v>2216</v>
      </c>
      <c r="B1927">
        <f>I1015</f>
        <v>225</v>
      </c>
      <c r="E1927" t="s">
        <v>13458</v>
      </c>
      <c r="F1927" s="49">
        <v>12</v>
      </c>
    </row>
    <row r="1928" spans="1:6" ht="15" customHeight="1" x14ac:dyDescent="0.3">
      <c r="A1928" t="s">
        <v>3421</v>
      </c>
      <c r="B1928">
        <f>I1015</f>
        <v>225</v>
      </c>
      <c r="E1928" t="s">
        <v>13457</v>
      </c>
      <c r="F1928" s="49">
        <v>12</v>
      </c>
    </row>
    <row r="1929" spans="1:6" ht="15" customHeight="1" x14ac:dyDescent="0.3">
      <c r="A1929" t="s">
        <v>3422</v>
      </c>
      <c r="B1929">
        <f>I1015</f>
        <v>225</v>
      </c>
      <c r="E1929" t="s">
        <v>4040</v>
      </c>
      <c r="F1929" s="49">
        <v>15</v>
      </c>
    </row>
    <row r="1930" spans="1:6" ht="15" customHeight="1" x14ac:dyDescent="0.3">
      <c r="A1930" t="s">
        <v>11012</v>
      </c>
      <c r="B1930">
        <f>I1016</f>
        <v>90</v>
      </c>
      <c r="E1930" t="s">
        <v>13456</v>
      </c>
      <c r="F1930" s="49">
        <v>12</v>
      </c>
    </row>
    <row r="1931" spans="1:6" ht="15" customHeight="1" x14ac:dyDescent="0.3">
      <c r="A1931" t="s">
        <v>11013</v>
      </c>
      <c r="B1931">
        <f>I1016</f>
        <v>90</v>
      </c>
      <c r="E1931" t="s">
        <v>13455</v>
      </c>
      <c r="F1931" s="49">
        <v>12</v>
      </c>
    </row>
    <row r="1932" spans="1:6" ht="15" customHeight="1" x14ac:dyDescent="0.3">
      <c r="A1932" t="s">
        <v>11014</v>
      </c>
      <c r="B1932">
        <f>I1017</f>
        <v>90</v>
      </c>
      <c r="E1932" t="s">
        <v>1595</v>
      </c>
      <c r="F1932" s="49">
        <v>15</v>
      </c>
    </row>
    <row r="1933" spans="1:6" ht="15" customHeight="1" x14ac:dyDescent="0.3">
      <c r="A1933" t="s">
        <v>11015</v>
      </c>
      <c r="B1933">
        <f>I1017</f>
        <v>90</v>
      </c>
      <c r="E1933" t="s">
        <v>1596</v>
      </c>
      <c r="F1933" s="49">
        <v>12</v>
      </c>
    </row>
    <row r="1934" spans="1:6" ht="15" customHeight="1" x14ac:dyDescent="0.3">
      <c r="A1934" t="s">
        <v>11151</v>
      </c>
      <c r="B1934">
        <f>I1018</f>
        <v>260</v>
      </c>
      <c r="E1934" t="s">
        <v>1597</v>
      </c>
      <c r="F1934" s="49">
        <v>15</v>
      </c>
    </row>
    <row r="1935" spans="1:6" ht="15" customHeight="1" x14ac:dyDescent="0.3">
      <c r="A1935" t="s">
        <v>11152</v>
      </c>
      <c r="B1935">
        <f>I1018</f>
        <v>260</v>
      </c>
      <c r="E1935" t="s">
        <v>1598</v>
      </c>
      <c r="F1935" s="49">
        <v>15</v>
      </c>
    </row>
    <row r="1936" spans="1:6" ht="15" customHeight="1" x14ac:dyDescent="0.3">
      <c r="A1936" t="s">
        <v>11153</v>
      </c>
      <c r="B1936">
        <f>I1018</f>
        <v>260</v>
      </c>
      <c r="E1936" t="s">
        <v>1599</v>
      </c>
      <c r="F1936" s="49">
        <v>13</v>
      </c>
    </row>
    <row r="1937" spans="1:6" ht="15" customHeight="1" x14ac:dyDescent="0.3">
      <c r="A1937" t="s">
        <v>11154</v>
      </c>
      <c r="B1937">
        <f>I1018</f>
        <v>260</v>
      </c>
      <c r="E1937" t="s">
        <v>1600</v>
      </c>
      <c r="F1937" s="49">
        <v>13</v>
      </c>
    </row>
    <row r="1938" spans="1:6" ht="15" customHeight="1" x14ac:dyDescent="0.3">
      <c r="A1938" t="s">
        <v>11147</v>
      </c>
      <c r="B1938">
        <f>I1018</f>
        <v>260</v>
      </c>
      <c r="E1938" t="s">
        <v>1601</v>
      </c>
      <c r="F1938" s="49">
        <v>18</v>
      </c>
    </row>
    <row r="1939" spans="1:6" ht="15" customHeight="1" x14ac:dyDescent="0.3">
      <c r="A1939" t="s">
        <v>11148</v>
      </c>
      <c r="B1939">
        <f>I1018</f>
        <v>260</v>
      </c>
      <c r="E1939" t="s">
        <v>1602</v>
      </c>
      <c r="F1939" s="49">
        <v>20</v>
      </c>
    </row>
    <row r="1940" spans="1:6" ht="15" customHeight="1" x14ac:dyDescent="0.3">
      <c r="A1940" t="s">
        <v>11149</v>
      </c>
      <c r="B1940">
        <f>I1018</f>
        <v>260</v>
      </c>
      <c r="E1940" t="s">
        <v>1603</v>
      </c>
      <c r="F1940" s="49">
        <v>15</v>
      </c>
    </row>
    <row r="1941" spans="1:6" ht="15" customHeight="1" x14ac:dyDescent="0.3">
      <c r="A1941" t="s">
        <v>11150</v>
      </c>
      <c r="B1941">
        <f>I1018</f>
        <v>260</v>
      </c>
      <c r="E1941" t="s">
        <v>1604</v>
      </c>
    </row>
    <row r="1942" spans="1:6" ht="15" customHeight="1" x14ac:dyDescent="0.3">
      <c r="A1942" t="s">
        <v>2283</v>
      </c>
      <c r="B1942">
        <f>I999</f>
        <v>110</v>
      </c>
      <c r="E1942" t="s">
        <v>1605</v>
      </c>
      <c r="F1942" s="49">
        <v>10</v>
      </c>
    </row>
    <row r="1943" spans="1:6" ht="15" customHeight="1" x14ac:dyDescent="0.3">
      <c r="A1943" t="s">
        <v>2217</v>
      </c>
      <c r="B1943">
        <f>I1001</f>
        <v>65</v>
      </c>
      <c r="E1943" t="s">
        <v>1606</v>
      </c>
      <c r="F1943" s="49">
        <v>10</v>
      </c>
    </row>
    <row r="1944" spans="1:6" ht="15" customHeight="1" x14ac:dyDescent="0.3">
      <c r="A1944" t="s">
        <v>2218</v>
      </c>
      <c r="B1944">
        <f>I1000</f>
        <v>140</v>
      </c>
      <c r="E1944" t="s">
        <v>1607</v>
      </c>
      <c r="F1944" s="49">
        <v>10</v>
      </c>
    </row>
    <row r="1945" spans="1:6" ht="15" customHeight="1" x14ac:dyDescent="0.3">
      <c r="A1945" t="s">
        <v>3423</v>
      </c>
      <c r="B1945">
        <f>I1000</f>
        <v>140</v>
      </c>
      <c r="E1945" t="s">
        <v>1608</v>
      </c>
      <c r="F1945" s="49">
        <v>10</v>
      </c>
    </row>
    <row r="1946" spans="1:6" ht="15" customHeight="1" x14ac:dyDescent="0.3">
      <c r="A1946" t="s">
        <v>3424</v>
      </c>
      <c r="B1946">
        <f>I1000</f>
        <v>140</v>
      </c>
      <c r="E1946" t="s">
        <v>1609</v>
      </c>
      <c r="F1946" s="49">
        <v>10</v>
      </c>
    </row>
    <row r="1947" spans="1:6" ht="15" customHeight="1" x14ac:dyDescent="0.3">
      <c r="A1947" t="s">
        <v>2853</v>
      </c>
      <c r="B1947">
        <f>I1002</f>
        <v>100</v>
      </c>
      <c r="E1947" t="s">
        <v>1610</v>
      </c>
      <c r="F1947" s="49">
        <v>10</v>
      </c>
    </row>
    <row r="1948" spans="1:6" ht="15" customHeight="1" x14ac:dyDescent="0.3">
      <c r="A1948" t="s">
        <v>2285</v>
      </c>
      <c r="B1948">
        <f>I1006</f>
        <v>100</v>
      </c>
      <c r="E1948" t="s">
        <v>1611</v>
      </c>
      <c r="F1948" s="49">
        <v>10</v>
      </c>
    </row>
    <row r="1949" spans="1:6" ht="15" customHeight="1" x14ac:dyDescent="0.3">
      <c r="A1949" t="s">
        <v>2219</v>
      </c>
      <c r="B1949">
        <f>I1007</f>
        <v>160</v>
      </c>
      <c r="E1949" t="s">
        <v>1612</v>
      </c>
      <c r="F1949" s="49">
        <v>10</v>
      </c>
    </row>
    <row r="1950" spans="1:6" ht="15" customHeight="1" x14ac:dyDescent="0.3">
      <c r="A1950" t="s">
        <v>3425</v>
      </c>
      <c r="B1950">
        <f>I1007</f>
        <v>160</v>
      </c>
      <c r="E1950" t="s">
        <v>1613</v>
      </c>
      <c r="F1950" s="49">
        <v>15</v>
      </c>
    </row>
    <row r="1951" spans="1:6" ht="15" customHeight="1" x14ac:dyDescent="0.3">
      <c r="A1951" t="s">
        <v>3426</v>
      </c>
      <c r="B1951">
        <f>I1007</f>
        <v>160</v>
      </c>
      <c r="E1951" t="s">
        <v>1614</v>
      </c>
      <c r="F1951" s="49">
        <v>10</v>
      </c>
    </row>
    <row r="1952" spans="1:6" ht="15" customHeight="1" x14ac:dyDescent="0.3">
      <c r="A1952" t="s">
        <v>3198</v>
      </c>
      <c r="B1952">
        <f>I1003</f>
        <v>155</v>
      </c>
      <c r="E1952" t="s">
        <v>1615</v>
      </c>
      <c r="F1952" s="49">
        <v>12</v>
      </c>
    </row>
    <row r="1953" spans="1:6" ht="15" customHeight="1" x14ac:dyDescent="0.3">
      <c r="A1953" t="s">
        <v>3428</v>
      </c>
      <c r="B1953">
        <f>I1003</f>
        <v>155</v>
      </c>
      <c r="E1953" t="s">
        <v>1616</v>
      </c>
      <c r="F1953" s="49">
        <v>12</v>
      </c>
    </row>
    <row r="1954" spans="1:6" ht="15" customHeight="1" x14ac:dyDescent="0.3">
      <c r="A1954" t="s">
        <v>2286</v>
      </c>
      <c r="B1954">
        <f>I1004</f>
        <v>110</v>
      </c>
      <c r="E1954" t="s">
        <v>1617</v>
      </c>
      <c r="F1954" s="49">
        <v>10</v>
      </c>
    </row>
    <row r="1955" spans="1:6" ht="15" customHeight="1" x14ac:dyDescent="0.3">
      <c r="A1955" t="s">
        <v>2221</v>
      </c>
      <c r="B1955">
        <f>I1005</f>
        <v>250</v>
      </c>
      <c r="E1955" t="s">
        <v>1618</v>
      </c>
      <c r="F1955" s="49">
        <v>13</v>
      </c>
    </row>
    <row r="1956" spans="1:6" ht="15" customHeight="1" x14ac:dyDescent="0.3">
      <c r="A1956" t="s">
        <v>3429</v>
      </c>
      <c r="B1956">
        <f>I1005</f>
        <v>250</v>
      </c>
      <c r="E1956" t="s">
        <v>1619</v>
      </c>
      <c r="F1956" s="49">
        <v>10</v>
      </c>
    </row>
    <row r="1957" spans="1:6" ht="15" customHeight="1" x14ac:dyDescent="0.3">
      <c r="A1957" t="s">
        <v>3430</v>
      </c>
      <c r="B1957">
        <f>I1005</f>
        <v>250</v>
      </c>
      <c r="E1957" t="s">
        <v>1620</v>
      </c>
      <c r="F1957" s="49">
        <v>13</v>
      </c>
    </row>
    <row r="1958" spans="1:6" ht="15" customHeight="1" x14ac:dyDescent="0.3">
      <c r="A1958" t="s">
        <v>2284</v>
      </c>
      <c r="B1958">
        <f>I1002</f>
        <v>100</v>
      </c>
      <c r="E1958" t="s">
        <v>1621</v>
      </c>
      <c r="F1958" s="49">
        <v>12</v>
      </c>
    </row>
    <row r="1959" spans="1:6" ht="15" customHeight="1" x14ac:dyDescent="0.3">
      <c r="A1959" t="s">
        <v>2220</v>
      </c>
      <c r="B1959">
        <f>I1003</f>
        <v>155</v>
      </c>
      <c r="E1959" t="s">
        <v>1622</v>
      </c>
      <c r="F1959" s="49">
        <v>13</v>
      </c>
    </row>
    <row r="1960" spans="1:6" ht="15" customHeight="1" x14ac:dyDescent="0.3">
      <c r="A1960" t="s">
        <v>3427</v>
      </c>
      <c r="B1960">
        <f>I1003</f>
        <v>155</v>
      </c>
      <c r="E1960" t="s">
        <v>1623</v>
      </c>
      <c r="F1960" s="49">
        <v>12</v>
      </c>
    </row>
    <row r="1961" spans="1:6" ht="15" customHeight="1" x14ac:dyDescent="0.3">
      <c r="A1961" t="s">
        <v>2287</v>
      </c>
      <c r="B1961">
        <f>I1008</f>
        <v>80</v>
      </c>
      <c r="E1961" t="s">
        <v>1624</v>
      </c>
      <c r="F1961" s="49">
        <v>13</v>
      </c>
    </row>
    <row r="1962" spans="1:6" ht="15" customHeight="1" x14ac:dyDescent="0.3">
      <c r="A1962" t="s">
        <v>2222</v>
      </c>
      <c r="B1962">
        <f>I1009</f>
        <v>190</v>
      </c>
      <c r="E1962" t="s">
        <v>1625</v>
      </c>
      <c r="F1962" s="49">
        <v>12</v>
      </c>
    </row>
    <row r="1963" spans="1:6" ht="15" customHeight="1" x14ac:dyDescent="0.3">
      <c r="A1963" t="s">
        <v>3431</v>
      </c>
      <c r="B1963">
        <f>I1009</f>
        <v>190</v>
      </c>
      <c r="E1963" t="s">
        <v>1626</v>
      </c>
      <c r="F1963" s="49">
        <v>12</v>
      </c>
    </row>
    <row r="1964" spans="1:6" ht="15" customHeight="1" x14ac:dyDescent="0.3">
      <c r="A1964" t="s">
        <v>3432</v>
      </c>
      <c r="B1964">
        <f>I1009</f>
        <v>190</v>
      </c>
      <c r="E1964" t="s">
        <v>12403</v>
      </c>
      <c r="F1964" s="49">
        <v>15</v>
      </c>
    </row>
    <row r="1965" spans="1:6" ht="15" customHeight="1" x14ac:dyDescent="0.3">
      <c r="A1965" t="s">
        <v>2288</v>
      </c>
      <c r="B1965">
        <f>I1010</f>
        <v>80</v>
      </c>
      <c r="E1965" t="s">
        <v>13454</v>
      </c>
      <c r="F1965" s="49">
        <v>12</v>
      </c>
    </row>
    <row r="1966" spans="1:6" ht="15" customHeight="1" x14ac:dyDescent="0.3">
      <c r="A1966" t="s">
        <v>2223</v>
      </c>
      <c r="B1966">
        <f>I1009</f>
        <v>190</v>
      </c>
      <c r="E1966" t="s">
        <v>1627</v>
      </c>
      <c r="F1966" s="49">
        <v>10</v>
      </c>
    </row>
    <row r="1967" spans="1:6" ht="15" customHeight="1" x14ac:dyDescent="0.3">
      <c r="A1967" t="s">
        <v>3433</v>
      </c>
      <c r="B1967">
        <f>I1009</f>
        <v>190</v>
      </c>
      <c r="E1967" t="s">
        <v>12945</v>
      </c>
      <c r="F1967" s="49">
        <v>12</v>
      </c>
    </row>
    <row r="1968" spans="1:6" ht="15" customHeight="1" x14ac:dyDescent="0.3">
      <c r="A1968" t="s">
        <v>3434</v>
      </c>
      <c r="B1968">
        <f>I1009</f>
        <v>190</v>
      </c>
      <c r="E1968" t="s">
        <v>1628</v>
      </c>
      <c r="F1968" s="49">
        <v>12</v>
      </c>
    </row>
    <row r="1969" spans="1:6" ht="15" customHeight="1" x14ac:dyDescent="0.3">
      <c r="A1969" t="s">
        <v>2225</v>
      </c>
      <c r="B1969">
        <f>I1019</f>
        <v>75</v>
      </c>
      <c r="E1969" t="s">
        <v>1629</v>
      </c>
      <c r="F1969" s="49">
        <v>10</v>
      </c>
    </row>
    <row r="1970" spans="1:6" ht="15" customHeight="1" x14ac:dyDescent="0.3">
      <c r="A1970" t="s">
        <v>2224</v>
      </c>
      <c r="B1970">
        <f>I1020</f>
        <v>85</v>
      </c>
      <c r="E1970" t="s">
        <v>1630</v>
      </c>
      <c r="F1970" s="49">
        <v>12</v>
      </c>
    </row>
    <row r="1971" spans="1:6" ht="15" customHeight="1" x14ac:dyDescent="0.3">
      <c r="A1971" t="s">
        <v>2289</v>
      </c>
      <c r="B1971">
        <f>I1021</f>
        <v>75</v>
      </c>
      <c r="E1971" t="s">
        <v>1631</v>
      </c>
      <c r="F1971" s="49">
        <v>12</v>
      </c>
    </row>
    <row r="1972" spans="1:6" ht="15" customHeight="1" x14ac:dyDescent="0.3">
      <c r="A1972" t="s">
        <v>2226</v>
      </c>
      <c r="B1972">
        <f>I1022</f>
        <v>180</v>
      </c>
      <c r="E1972" t="s">
        <v>13452</v>
      </c>
      <c r="F1972" s="49">
        <v>10</v>
      </c>
    </row>
    <row r="1973" spans="1:6" ht="15" customHeight="1" x14ac:dyDescent="0.3">
      <c r="A1973" t="s">
        <v>3435</v>
      </c>
      <c r="B1973">
        <f>I1022</f>
        <v>180</v>
      </c>
      <c r="E1973" t="s">
        <v>13453</v>
      </c>
      <c r="F1973" s="49">
        <v>10</v>
      </c>
    </row>
    <row r="1974" spans="1:6" ht="15" customHeight="1" x14ac:dyDescent="0.3">
      <c r="A1974" t="s">
        <v>3436</v>
      </c>
      <c r="B1974">
        <f>I1022</f>
        <v>180</v>
      </c>
      <c r="E1974" t="s">
        <v>1632</v>
      </c>
      <c r="F1974" s="49">
        <v>10</v>
      </c>
    </row>
    <row r="1975" spans="1:6" ht="15" customHeight="1" x14ac:dyDescent="0.3">
      <c r="A1975" t="s">
        <v>2227</v>
      </c>
      <c r="B1975">
        <f>I1023</f>
        <v>80</v>
      </c>
      <c r="E1975" t="s">
        <v>13451</v>
      </c>
      <c r="F1975" s="49">
        <v>10</v>
      </c>
    </row>
    <row r="1976" spans="1:6" ht="15" customHeight="1" x14ac:dyDescent="0.3">
      <c r="A1976" t="s">
        <v>2228</v>
      </c>
      <c r="B1976">
        <f>I1024</f>
        <v>80</v>
      </c>
      <c r="E1976" t="s">
        <v>1633</v>
      </c>
      <c r="F1976" s="49">
        <v>15</v>
      </c>
    </row>
    <row r="1977" spans="1:6" ht="15" customHeight="1" x14ac:dyDescent="0.3">
      <c r="A1977" t="s">
        <v>2170</v>
      </c>
      <c r="B1977">
        <f>I843</f>
        <v>60</v>
      </c>
      <c r="E1977" t="s">
        <v>1634</v>
      </c>
      <c r="F1977" s="49">
        <v>12</v>
      </c>
    </row>
    <row r="1978" spans="1:6" ht="15" customHeight="1" x14ac:dyDescent="0.3">
      <c r="A1978" t="s">
        <v>2171</v>
      </c>
      <c r="B1978">
        <f>I844</f>
        <v>60</v>
      </c>
      <c r="E1978" t="s">
        <v>1635</v>
      </c>
      <c r="F1978" s="49">
        <v>12</v>
      </c>
    </row>
    <row r="1979" spans="1:6" ht="15" customHeight="1" x14ac:dyDescent="0.3">
      <c r="A1979" t="s">
        <v>1983</v>
      </c>
      <c r="B1979">
        <f>I845</f>
        <v>80</v>
      </c>
      <c r="E1979" t="s">
        <v>1636</v>
      </c>
      <c r="F1979" s="49">
        <v>10</v>
      </c>
    </row>
    <row r="1980" spans="1:6" ht="15" customHeight="1" x14ac:dyDescent="0.3">
      <c r="A1980" t="s">
        <v>2407</v>
      </c>
      <c r="B1980">
        <f>I846</f>
        <v>90</v>
      </c>
      <c r="E1980" t="s">
        <v>1637</v>
      </c>
      <c r="F1980" s="49">
        <v>10</v>
      </c>
    </row>
    <row r="1981" spans="1:6" ht="15" customHeight="1" x14ac:dyDescent="0.3">
      <c r="A1981" t="s">
        <v>2569</v>
      </c>
      <c r="B1981">
        <f>I846</f>
        <v>90</v>
      </c>
      <c r="E1981" t="s">
        <v>13449</v>
      </c>
      <c r="F1981" s="49">
        <v>12</v>
      </c>
    </row>
    <row r="1982" spans="1:6" ht="15" customHeight="1" x14ac:dyDescent="0.3">
      <c r="A1982" t="s">
        <v>11987</v>
      </c>
      <c r="B1982">
        <f>I847</f>
        <v>100</v>
      </c>
      <c r="E1982" t="s">
        <v>13450</v>
      </c>
      <c r="F1982" s="49">
        <v>15</v>
      </c>
    </row>
    <row r="1983" spans="1:6" ht="15" customHeight="1" x14ac:dyDescent="0.3">
      <c r="A1983" t="s">
        <v>11988</v>
      </c>
      <c r="B1983">
        <f>I847</f>
        <v>100</v>
      </c>
      <c r="E1983" t="s">
        <v>1638</v>
      </c>
      <c r="F1983" s="49">
        <v>13</v>
      </c>
    </row>
    <row r="1984" spans="1:6" ht="15" customHeight="1" x14ac:dyDescent="0.3">
      <c r="A1984" t="s">
        <v>2172</v>
      </c>
      <c r="B1984">
        <f>I844</f>
        <v>60</v>
      </c>
      <c r="E1984" t="s">
        <v>1639</v>
      </c>
      <c r="F1984" s="49">
        <v>10</v>
      </c>
    </row>
    <row r="1985" spans="1:6" ht="15" customHeight="1" x14ac:dyDescent="0.3">
      <c r="A1985" t="s">
        <v>1984</v>
      </c>
      <c r="B1985">
        <f>I845</f>
        <v>80</v>
      </c>
      <c r="E1985" t="s">
        <v>13448</v>
      </c>
      <c r="F1985" s="49">
        <v>15</v>
      </c>
    </row>
    <row r="1986" spans="1:6" ht="15" customHeight="1" x14ac:dyDescent="0.3">
      <c r="A1986" t="s">
        <v>2408</v>
      </c>
      <c r="B1986">
        <f>I846</f>
        <v>90</v>
      </c>
      <c r="E1986" t="s">
        <v>1640</v>
      </c>
      <c r="F1986" s="49">
        <v>15</v>
      </c>
    </row>
    <row r="1987" spans="1:6" ht="15" customHeight="1" x14ac:dyDescent="0.3">
      <c r="A1987" t="s">
        <v>2570</v>
      </c>
      <c r="B1987">
        <f>I846</f>
        <v>90</v>
      </c>
      <c r="E1987" t="s">
        <v>1641</v>
      </c>
      <c r="F1987" s="49">
        <v>10</v>
      </c>
    </row>
    <row r="1988" spans="1:6" ht="15" customHeight="1" x14ac:dyDescent="0.3">
      <c r="A1988" t="s">
        <v>11989</v>
      </c>
      <c r="B1988">
        <f>I847</f>
        <v>100</v>
      </c>
      <c r="E1988" t="s">
        <v>1642</v>
      </c>
      <c r="F1988" s="49">
        <v>13</v>
      </c>
    </row>
    <row r="1989" spans="1:6" ht="15" customHeight="1" x14ac:dyDescent="0.3">
      <c r="A1989" t="s">
        <v>11990</v>
      </c>
      <c r="B1989">
        <f>I847</f>
        <v>100</v>
      </c>
      <c r="E1989" t="s">
        <v>1643</v>
      </c>
      <c r="F1989" s="49">
        <v>10</v>
      </c>
    </row>
    <row r="1990" spans="1:6" ht="15" customHeight="1" x14ac:dyDescent="0.3">
      <c r="A1990" t="s">
        <v>2173</v>
      </c>
      <c r="B1990">
        <f>I848</f>
        <v>60</v>
      </c>
      <c r="E1990" t="s">
        <v>1644</v>
      </c>
      <c r="F1990" s="49">
        <v>12</v>
      </c>
    </row>
    <row r="1991" spans="1:6" ht="15" customHeight="1" x14ac:dyDescent="0.3">
      <c r="A1991" t="s">
        <v>1985</v>
      </c>
      <c r="B1991">
        <f>I849</f>
        <v>80</v>
      </c>
      <c r="E1991" t="s">
        <v>1645</v>
      </c>
      <c r="F1991" s="49">
        <v>12</v>
      </c>
    </row>
    <row r="1992" spans="1:6" ht="15" customHeight="1" x14ac:dyDescent="0.3">
      <c r="A1992" t="s">
        <v>2409</v>
      </c>
      <c r="B1992">
        <f>I850</f>
        <v>95</v>
      </c>
      <c r="E1992" t="s">
        <v>1646</v>
      </c>
      <c r="F1992" s="49">
        <v>12</v>
      </c>
    </row>
    <row r="1993" spans="1:6" ht="15" customHeight="1" x14ac:dyDescent="0.3">
      <c r="A1993" t="s">
        <v>2571</v>
      </c>
      <c r="B1993">
        <f>I850</f>
        <v>95</v>
      </c>
      <c r="E1993" t="s">
        <v>1647</v>
      </c>
      <c r="F1993" s="49">
        <v>12</v>
      </c>
    </row>
    <row r="1994" spans="1:6" ht="15" customHeight="1" x14ac:dyDescent="0.3">
      <c r="A1994" t="s">
        <v>11991</v>
      </c>
      <c r="B1994">
        <f>I851</f>
        <v>105</v>
      </c>
      <c r="E1994" t="s">
        <v>1648</v>
      </c>
      <c r="F1994" s="49">
        <v>10</v>
      </c>
    </row>
    <row r="1995" spans="1:6" ht="15" customHeight="1" x14ac:dyDescent="0.3">
      <c r="A1995" t="s">
        <v>11992</v>
      </c>
      <c r="B1995">
        <f>I851</f>
        <v>105</v>
      </c>
      <c r="E1995" t="s">
        <v>1649</v>
      </c>
      <c r="F1995" s="49">
        <v>13</v>
      </c>
    </row>
    <row r="1996" spans="1:6" ht="15" customHeight="1" x14ac:dyDescent="0.3">
      <c r="A1996" t="s">
        <v>2174</v>
      </c>
      <c r="B1996">
        <f>I853</f>
        <v>65</v>
      </c>
      <c r="E1996" t="s">
        <v>1650</v>
      </c>
      <c r="F1996" s="49">
        <v>10</v>
      </c>
    </row>
    <row r="1997" spans="1:6" ht="15" customHeight="1" x14ac:dyDescent="0.3">
      <c r="A1997" t="s">
        <v>10625</v>
      </c>
      <c r="B1997">
        <f>I854</f>
        <v>85</v>
      </c>
      <c r="E1997" t="s">
        <v>1651</v>
      </c>
      <c r="F1997" s="49">
        <v>12</v>
      </c>
    </row>
    <row r="1998" spans="1:6" ht="15" customHeight="1" x14ac:dyDescent="0.3">
      <c r="A1998" t="s">
        <v>10626</v>
      </c>
      <c r="B1998">
        <f>I854</f>
        <v>85</v>
      </c>
      <c r="E1998" t="s">
        <v>1652</v>
      </c>
      <c r="F1998" s="49">
        <v>12</v>
      </c>
    </row>
    <row r="1999" spans="1:6" ht="15" customHeight="1" x14ac:dyDescent="0.3">
      <c r="A1999" t="s">
        <v>2410</v>
      </c>
      <c r="B1999">
        <f>I855</f>
        <v>105</v>
      </c>
      <c r="E1999" t="s">
        <v>1653</v>
      </c>
      <c r="F1999" s="49">
        <v>12</v>
      </c>
    </row>
    <row r="2000" spans="1:6" ht="15" customHeight="1" x14ac:dyDescent="0.3">
      <c r="A2000" t="s">
        <v>2572</v>
      </c>
      <c r="B2000">
        <f>I855</f>
        <v>105</v>
      </c>
      <c r="E2000" t="s">
        <v>13446</v>
      </c>
      <c r="F2000" s="49">
        <v>15</v>
      </c>
    </row>
    <row r="2001" spans="1:6" ht="15" customHeight="1" x14ac:dyDescent="0.3">
      <c r="A2001" t="s">
        <v>11993</v>
      </c>
      <c r="B2001">
        <f>I856</f>
        <v>115</v>
      </c>
      <c r="E2001" t="s">
        <v>13447</v>
      </c>
      <c r="F2001" s="49">
        <v>15</v>
      </c>
    </row>
    <row r="2002" spans="1:6" ht="15" customHeight="1" x14ac:dyDescent="0.3">
      <c r="A2002" t="s">
        <v>11994</v>
      </c>
      <c r="B2002">
        <f>I856</f>
        <v>115</v>
      </c>
      <c r="E2002" t="s">
        <v>1654</v>
      </c>
      <c r="F2002" s="49">
        <v>13</v>
      </c>
    </row>
    <row r="2003" spans="1:6" ht="15" customHeight="1" x14ac:dyDescent="0.3">
      <c r="A2003" t="s">
        <v>2175</v>
      </c>
      <c r="B2003">
        <f>I852</f>
        <v>70</v>
      </c>
      <c r="E2003" t="s">
        <v>1655</v>
      </c>
      <c r="F2003" s="49">
        <v>10</v>
      </c>
    </row>
    <row r="2004" spans="1:6" ht="15" customHeight="1" x14ac:dyDescent="0.3">
      <c r="A2004" t="s">
        <v>3213</v>
      </c>
      <c r="B2004">
        <f>I857</f>
        <v>65</v>
      </c>
      <c r="E2004" t="s">
        <v>1656</v>
      </c>
      <c r="F2004" s="49">
        <v>20</v>
      </c>
    </row>
    <row r="2005" spans="1:6" ht="15" customHeight="1" x14ac:dyDescent="0.3">
      <c r="A2005" t="s">
        <v>1986</v>
      </c>
      <c r="B2005">
        <f>I858</f>
        <v>80</v>
      </c>
      <c r="E2005" t="s">
        <v>1657</v>
      </c>
      <c r="F2005" s="49">
        <v>10</v>
      </c>
    </row>
    <row r="2006" spans="1:6" ht="15" customHeight="1" x14ac:dyDescent="0.3">
      <c r="A2006" t="s">
        <v>2411</v>
      </c>
      <c r="B2006">
        <f>I859</f>
        <v>90</v>
      </c>
      <c r="E2006" t="s">
        <v>1658</v>
      </c>
      <c r="F2006" s="49">
        <v>15</v>
      </c>
    </row>
    <row r="2007" spans="1:6" ht="15" customHeight="1" x14ac:dyDescent="0.3">
      <c r="A2007" t="s">
        <v>2573</v>
      </c>
      <c r="B2007">
        <f>I859</f>
        <v>90</v>
      </c>
      <c r="E2007" t="s">
        <v>1659</v>
      </c>
      <c r="F2007" s="49">
        <v>12</v>
      </c>
    </row>
    <row r="2008" spans="1:6" ht="15" customHeight="1" x14ac:dyDescent="0.3">
      <c r="A2008" s="60" t="s">
        <v>11995</v>
      </c>
      <c r="B2008">
        <f>I860</f>
        <v>100</v>
      </c>
      <c r="E2008" t="s">
        <v>1660</v>
      </c>
      <c r="F2008" s="49">
        <v>10</v>
      </c>
    </row>
    <row r="2009" spans="1:6" ht="15" customHeight="1" x14ac:dyDescent="0.3">
      <c r="A2009" s="60" t="s">
        <v>11996</v>
      </c>
      <c r="B2009">
        <f>I860</f>
        <v>100</v>
      </c>
      <c r="E2009" t="s">
        <v>1661</v>
      </c>
      <c r="F2009" s="49">
        <v>12</v>
      </c>
    </row>
    <row r="2010" spans="1:6" ht="15" customHeight="1" x14ac:dyDescent="0.3">
      <c r="A2010" t="s">
        <v>2177</v>
      </c>
      <c r="B2010">
        <f>I861</f>
        <v>65</v>
      </c>
      <c r="E2010" t="s">
        <v>1662</v>
      </c>
      <c r="F2010" s="49">
        <v>15</v>
      </c>
    </row>
    <row r="2011" spans="1:6" ht="15" customHeight="1" x14ac:dyDescent="0.3">
      <c r="A2011" t="s">
        <v>1987</v>
      </c>
      <c r="B2011">
        <f>I862</f>
        <v>90</v>
      </c>
      <c r="E2011" t="s">
        <v>1663</v>
      </c>
      <c r="F2011" s="49">
        <v>13</v>
      </c>
    </row>
    <row r="2012" spans="1:6" ht="15" customHeight="1" x14ac:dyDescent="0.3">
      <c r="A2012" t="s">
        <v>2412</v>
      </c>
      <c r="B2012">
        <f>I864</f>
        <v>110</v>
      </c>
      <c r="E2012" t="s">
        <v>1664</v>
      </c>
      <c r="F2012" s="49">
        <v>10</v>
      </c>
    </row>
    <row r="2013" spans="1:6" ht="15" customHeight="1" x14ac:dyDescent="0.3">
      <c r="A2013" t="s">
        <v>2574</v>
      </c>
      <c r="B2013">
        <f>I864</f>
        <v>110</v>
      </c>
      <c r="E2013" t="s">
        <v>1665</v>
      </c>
      <c r="F2013" s="49">
        <v>13</v>
      </c>
    </row>
    <row r="2014" spans="1:6" ht="15" customHeight="1" x14ac:dyDescent="0.3">
      <c r="A2014" t="s">
        <v>2178</v>
      </c>
      <c r="B2014">
        <f>I861</f>
        <v>65</v>
      </c>
      <c r="E2014" t="s">
        <v>1666</v>
      </c>
      <c r="F2014" s="49">
        <v>13</v>
      </c>
    </row>
    <row r="2015" spans="1:6" ht="15" customHeight="1" x14ac:dyDescent="0.3">
      <c r="A2015" t="s">
        <v>1988</v>
      </c>
      <c r="B2015">
        <f>I862</f>
        <v>90</v>
      </c>
      <c r="E2015" t="s">
        <v>1667</v>
      </c>
      <c r="F2015" s="49">
        <v>10</v>
      </c>
    </row>
    <row r="2016" spans="1:6" ht="15" customHeight="1" x14ac:dyDescent="0.3">
      <c r="A2016" t="s">
        <v>2413</v>
      </c>
      <c r="B2016">
        <f>I864</f>
        <v>110</v>
      </c>
      <c r="E2016" t="s">
        <v>1668</v>
      </c>
      <c r="F2016" s="49">
        <v>10</v>
      </c>
    </row>
    <row r="2017" spans="1:6" ht="15" customHeight="1" x14ac:dyDescent="0.3">
      <c r="A2017" t="s">
        <v>2575</v>
      </c>
      <c r="B2017">
        <f>I864</f>
        <v>110</v>
      </c>
      <c r="E2017" t="s">
        <v>1669</v>
      </c>
      <c r="F2017" s="49">
        <v>10</v>
      </c>
    </row>
    <row r="2018" spans="1:6" ht="15" customHeight="1" x14ac:dyDescent="0.3">
      <c r="A2018" t="s">
        <v>2176</v>
      </c>
      <c r="B2018">
        <f>I857</f>
        <v>65</v>
      </c>
      <c r="E2018" t="s">
        <v>1670</v>
      </c>
      <c r="F2018" s="49">
        <v>13</v>
      </c>
    </row>
    <row r="2019" spans="1:6" ht="15" customHeight="1" x14ac:dyDescent="0.3">
      <c r="A2019" s="41" t="s">
        <v>10504</v>
      </c>
      <c r="B2019">
        <f>I865</f>
        <v>65</v>
      </c>
      <c r="E2019" t="s">
        <v>1671</v>
      </c>
      <c r="F2019" s="49">
        <v>12</v>
      </c>
    </row>
    <row r="2020" spans="1:6" ht="15" customHeight="1" x14ac:dyDescent="0.3">
      <c r="A2020" t="s">
        <v>2271</v>
      </c>
      <c r="B2020">
        <f>I865</f>
        <v>65</v>
      </c>
      <c r="E2020" t="s">
        <v>1672</v>
      </c>
      <c r="F2020" s="49">
        <v>18</v>
      </c>
    </row>
    <row r="2021" spans="1:6" ht="15" customHeight="1" x14ac:dyDescent="0.3">
      <c r="A2021" s="33" t="s">
        <v>3693</v>
      </c>
      <c r="B2021">
        <f>I868</f>
        <v>180</v>
      </c>
      <c r="E2021" t="s">
        <v>1673</v>
      </c>
      <c r="F2021" s="49">
        <v>18</v>
      </c>
    </row>
    <row r="2022" spans="1:6" ht="15" customHeight="1" x14ac:dyDescent="0.3">
      <c r="A2022" t="s">
        <v>1989</v>
      </c>
      <c r="B2022">
        <f>I868</f>
        <v>180</v>
      </c>
      <c r="E2022" t="s">
        <v>1674</v>
      </c>
      <c r="F2022" s="49">
        <v>13</v>
      </c>
    </row>
    <row r="2023" spans="1:6" ht="15" customHeight="1" x14ac:dyDescent="0.3">
      <c r="A2023" s="38" t="s">
        <v>7839</v>
      </c>
      <c r="B2023">
        <f>I868</f>
        <v>180</v>
      </c>
      <c r="E2023" t="s">
        <v>1675</v>
      </c>
      <c r="F2023" s="49">
        <v>13</v>
      </c>
    </row>
    <row r="2024" spans="1:6" ht="15" customHeight="1" x14ac:dyDescent="0.3">
      <c r="A2024" s="33" t="s">
        <v>3694</v>
      </c>
      <c r="B2024">
        <f>I868</f>
        <v>180</v>
      </c>
      <c r="E2024" t="s">
        <v>1676</v>
      </c>
      <c r="F2024" s="49">
        <v>13</v>
      </c>
    </row>
    <row r="2025" spans="1:6" ht="15" customHeight="1" x14ac:dyDescent="0.3">
      <c r="A2025" t="s">
        <v>3437</v>
      </c>
      <c r="B2025">
        <f>I868</f>
        <v>180</v>
      </c>
      <c r="E2025" t="s">
        <v>1677</v>
      </c>
      <c r="F2025" s="49">
        <v>13</v>
      </c>
    </row>
    <row r="2026" spans="1:6" ht="15" customHeight="1" x14ac:dyDescent="0.3">
      <c r="A2026" s="33" t="s">
        <v>3695</v>
      </c>
      <c r="B2026">
        <f>I868</f>
        <v>180</v>
      </c>
      <c r="E2026" t="s">
        <v>1678</v>
      </c>
      <c r="F2026" s="49">
        <v>13</v>
      </c>
    </row>
    <row r="2027" spans="1:6" ht="15" customHeight="1" x14ac:dyDescent="0.3">
      <c r="A2027" t="s">
        <v>3438</v>
      </c>
      <c r="B2027">
        <f>I868</f>
        <v>180</v>
      </c>
      <c r="E2027" t="s">
        <v>1679</v>
      </c>
      <c r="F2027" s="49">
        <v>15</v>
      </c>
    </row>
    <row r="2028" spans="1:6" ht="15" customHeight="1" x14ac:dyDescent="0.3">
      <c r="A2028" s="33" t="s">
        <v>3696</v>
      </c>
      <c r="B2028">
        <f>I866</f>
        <v>80</v>
      </c>
      <c r="E2028" t="s">
        <v>1680</v>
      </c>
      <c r="F2028" s="49">
        <v>13</v>
      </c>
    </row>
    <row r="2029" spans="1:6" ht="15" customHeight="1" x14ac:dyDescent="0.3">
      <c r="A2029" t="s">
        <v>2322</v>
      </c>
      <c r="B2029">
        <f>I866</f>
        <v>80</v>
      </c>
      <c r="E2029" t="s">
        <v>1681</v>
      </c>
      <c r="F2029" s="49">
        <v>25</v>
      </c>
    </row>
    <row r="2030" spans="1:6" ht="15" customHeight="1" x14ac:dyDescent="0.3">
      <c r="A2030" s="41" t="s">
        <v>7840</v>
      </c>
      <c r="B2030">
        <f>I867</f>
        <v>150</v>
      </c>
      <c r="E2030" t="s">
        <v>1682</v>
      </c>
      <c r="F2030" s="49">
        <v>12</v>
      </c>
    </row>
    <row r="2031" spans="1:6" ht="15" customHeight="1" x14ac:dyDescent="0.3">
      <c r="A2031" t="s">
        <v>2179</v>
      </c>
      <c r="B2031">
        <f>I867</f>
        <v>150</v>
      </c>
      <c r="E2031" t="s">
        <v>1686</v>
      </c>
      <c r="F2031" s="49">
        <v>10</v>
      </c>
    </row>
    <row r="2032" spans="1:6" ht="15" customHeight="1" x14ac:dyDescent="0.3">
      <c r="A2032" s="41" t="s">
        <v>3699</v>
      </c>
      <c r="B2032">
        <f>I867</f>
        <v>150</v>
      </c>
      <c r="E2032" t="s">
        <v>13078</v>
      </c>
      <c r="F2032" s="49">
        <v>15</v>
      </c>
    </row>
    <row r="2033" spans="1:6" ht="15" customHeight="1" x14ac:dyDescent="0.3">
      <c r="A2033" t="s">
        <v>3439</v>
      </c>
      <c r="B2033">
        <f>I867</f>
        <v>150</v>
      </c>
      <c r="E2033" t="s">
        <v>1683</v>
      </c>
      <c r="F2033" s="49">
        <v>12</v>
      </c>
    </row>
    <row r="2034" spans="1:6" ht="15" customHeight="1" x14ac:dyDescent="0.3">
      <c r="A2034" t="s">
        <v>3440</v>
      </c>
      <c r="B2034">
        <f>I867</f>
        <v>150</v>
      </c>
      <c r="E2034" t="s">
        <v>1684</v>
      </c>
      <c r="F2034" s="49">
        <v>15</v>
      </c>
    </row>
    <row r="2035" spans="1:6" ht="15" customHeight="1" x14ac:dyDescent="0.3">
      <c r="A2035" s="33" t="s">
        <v>3700</v>
      </c>
      <c r="B2035">
        <f>I865</f>
        <v>65</v>
      </c>
      <c r="E2035" t="s">
        <v>1685</v>
      </c>
      <c r="F2035" s="49">
        <v>13</v>
      </c>
    </row>
    <row r="2036" spans="1:6" ht="15" customHeight="1" x14ac:dyDescent="0.3">
      <c r="A2036" s="33" t="s">
        <v>3701</v>
      </c>
      <c r="B2036">
        <f>I868</f>
        <v>180</v>
      </c>
      <c r="E2036" t="s">
        <v>1687</v>
      </c>
      <c r="F2036" s="49">
        <v>15</v>
      </c>
    </row>
    <row r="2037" spans="1:6" ht="15" customHeight="1" x14ac:dyDescent="0.3">
      <c r="A2037" s="33" t="s">
        <v>3702</v>
      </c>
      <c r="B2037">
        <f>I868</f>
        <v>180</v>
      </c>
      <c r="E2037" t="s">
        <v>1688</v>
      </c>
      <c r="F2037" s="49">
        <v>10</v>
      </c>
    </row>
    <row r="2038" spans="1:6" ht="15" customHeight="1" x14ac:dyDescent="0.3">
      <c r="A2038" s="33" t="s">
        <v>3703</v>
      </c>
      <c r="B2038">
        <f>I868</f>
        <v>180</v>
      </c>
      <c r="E2038" t="s">
        <v>1689</v>
      </c>
      <c r="F2038" s="49">
        <v>12</v>
      </c>
    </row>
    <row r="2039" spans="1:6" ht="15" customHeight="1" x14ac:dyDescent="0.3">
      <c r="A2039" s="33" t="s">
        <v>3704</v>
      </c>
      <c r="B2039">
        <f>I866</f>
        <v>80</v>
      </c>
      <c r="E2039" t="s">
        <v>1690</v>
      </c>
      <c r="F2039" s="49">
        <v>10</v>
      </c>
    </row>
    <row r="2040" spans="1:6" ht="15" customHeight="1" x14ac:dyDescent="0.3">
      <c r="A2040" s="33" t="s">
        <v>3705</v>
      </c>
      <c r="B2040">
        <f>I867</f>
        <v>150</v>
      </c>
      <c r="E2040" t="s">
        <v>1691</v>
      </c>
      <c r="F2040" s="49">
        <v>12</v>
      </c>
    </row>
    <row r="2041" spans="1:6" ht="15" customHeight="1" x14ac:dyDescent="0.3">
      <c r="A2041" s="33" t="s">
        <v>3706</v>
      </c>
      <c r="B2041">
        <f>I867</f>
        <v>150</v>
      </c>
      <c r="E2041" t="s">
        <v>1692</v>
      </c>
      <c r="F2041" s="49">
        <v>10</v>
      </c>
    </row>
    <row r="2042" spans="1:6" ht="15" customHeight="1" x14ac:dyDescent="0.3">
      <c r="A2042" s="33" t="s">
        <v>3707</v>
      </c>
      <c r="B2042">
        <f>I867</f>
        <v>150</v>
      </c>
      <c r="E2042" t="s">
        <v>1693</v>
      </c>
      <c r="F2042" s="49">
        <v>10</v>
      </c>
    </row>
    <row r="2043" spans="1:6" ht="15" customHeight="1" x14ac:dyDescent="0.3">
      <c r="A2043" t="s">
        <v>2274</v>
      </c>
      <c r="B2043">
        <f>I865</f>
        <v>65</v>
      </c>
      <c r="E2043" t="s">
        <v>1694</v>
      </c>
      <c r="F2043" s="49">
        <v>12</v>
      </c>
    </row>
    <row r="2044" spans="1:6" ht="15" customHeight="1" x14ac:dyDescent="0.3">
      <c r="A2044" t="s">
        <v>1992</v>
      </c>
      <c r="B2044">
        <f>I868</f>
        <v>180</v>
      </c>
      <c r="E2044" t="s">
        <v>1695</v>
      </c>
      <c r="F2044" s="49">
        <v>12</v>
      </c>
    </row>
    <row r="2045" spans="1:6" ht="15" customHeight="1" x14ac:dyDescent="0.3">
      <c r="A2045" t="s">
        <v>3441</v>
      </c>
      <c r="B2045">
        <f>I868</f>
        <v>180</v>
      </c>
      <c r="E2045" t="s">
        <v>13445</v>
      </c>
      <c r="F2045" s="49">
        <v>12</v>
      </c>
    </row>
    <row r="2046" spans="1:6" ht="15" customHeight="1" x14ac:dyDescent="0.3">
      <c r="A2046" t="s">
        <v>3442</v>
      </c>
      <c r="B2046">
        <f>I868</f>
        <v>180</v>
      </c>
      <c r="E2046" t="s">
        <v>1697</v>
      </c>
      <c r="F2046" s="49">
        <v>18</v>
      </c>
    </row>
    <row r="2047" spans="1:6" ht="15" customHeight="1" x14ac:dyDescent="0.3">
      <c r="A2047" t="s">
        <v>2323</v>
      </c>
      <c r="B2047">
        <f>I866</f>
        <v>80</v>
      </c>
      <c r="E2047" t="s">
        <v>1698</v>
      </c>
      <c r="F2047" s="49">
        <v>13</v>
      </c>
    </row>
    <row r="2048" spans="1:6" ht="15" customHeight="1" x14ac:dyDescent="0.3">
      <c r="A2048" t="s">
        <v>2182</v>
      </c>
      <c r="B2048">
        <f>I867</f>
        <v>150</v>
      </c>
      <c r="E2048" t="s">
        <v>1699</v>
      </c>
      <c r="F2048" s="49">
        <v>12</v>
      </c>
    </row>
    <row r="2049" spans="1:6" ht="15" customHeight="1" x14ac:dyDescent="0.3">
      <c r="A2049" t="s">
        <v>3443</v>
      </c>
      <c r="B2049">
        <f>I867</f>
        <v>150</v>
      </c>
      <c r="E2049" t="s">
        <v>1700</v>
      </c>
      <c r="F2049" s="49">
        <v>10</v>
      </c>
    </row>
    <row r="2050" spans="1:6" ht="15" customHeight="1" x14ac:dyDescent="0.3">
      <c r="A2050" t="s">
        <v>3444</v>
      </c>
      <c r="B2050">
        <f>I867</f>
        <v>150</v>
      </c>
      <c r="E2050" t="s">
        <v>1696</v>
      </c>
      <c r="F2050" s="49">
        <v>15</v>
      </c>
    </row>
    <row r="2051" spans="1:6" ht="15" customHeight="1" x14ac:dyDescent="0.3">
      <c r="A2051" s="33" t="s">
        <v>3692</v>
      </c>
      <c r="B2051">
        <f>I865</f>
        <v>65</v>
      </c>
      <c r="E2051" t="s">
        <v>13075</v>
      </c>
      <c r="F2051" s="49">
        <v>12</v>
      </c>
    </row>
    <row r="2052" spans="1:6" ht="15" customHeight="1" x14ac:dyDescent="0.3">
      <c r="A2052" s="33" t="s">
        <v>3697</v>
      </c>
      <c r="B2052">
        <f>I867</f>
        <v>150</v>
      </c>
      <c r="E2052" t="s">
        <v>13076</v>
      </c>
      <c r="F2052" s="49">
        <v>12</v>
      </c>
    </row>
    <row r="2053" spans="1:6" ht="15" customHeight="1" x14ac:dyDescent="0.3">
      <c r="A2053" s="33" t="s">
        <v>3698</v>
      </c>
      <c r="B2053">
        <f>I867</f>
        <v>150</v>
      </c>
      <c r="E2053" t="s">
        <v>13077</v>
      </c>
      <c r="F2053" s="49">
        <v>12</v>
      </c>
    </row>
    <row r="2054" spans="1:6" ht="15" customHeight="1" x14ac:dyDescent="0.3">
      <c r="A2054" t="s">
        <v>2180</v>
      </c>
      <c r="B2054">
        <f>I869</f>
        <v>85</v>
      </c>
      <c r="E2054" t="s">
        <v>13444</v>
      </c>
      <c r="F2054" s="49">
        <v>45</v>
      </c>
    </row>
    <row r="2055" spans="1:6" ht="15" customHeight="1" x14ac:dyDescent="0.3">
      <c r="A2055" t="s">
        <v>2272</v>
      </c>
      <c r="B2055">
        <f>I870</f>
        <v>80</v>
      </c>
      <c r="E2055" t="s">
        <v>13443</v>
      </c>
      <c r="F2055" s="49">
        <v>50</v>
      </c>
    </row>
    <row r="2056" spans="1:6" ht="15" customHeight="1" x14ac:dyDescent="0.3">
      <c r="A2056" t="s">
        <v>1991</v>
      </c>
      <c r="B2056">
        <f>I874</f>
        <v>220</v>
      </c>
      <c r="E2056" t="s">
        <v>13442</v>
      </c>
      <c r="F2056" s="49">
        <v>55</v>
      </c>
    </row>
    <row r="2057" spans="1:6" ht="15" customHeight="1" x14ac:dyDescent="0.3">
      <c r="A2057" t="s">
        <v>3445</v>
      </c>
      <c r="B2057">
        <f>I874</f>
        <v>220</v>
      </c>
      <c r="E2057" t="s">
        <v>13441</v>
      </c>
      <c r="F2057" s="49">
        <v>45</v>
      </c>
    </row>
    <row r="2058" spans="1:6" ht="15" customHeight="1" x14ac:dyDescent="0.3">
      <c r="A2058" t="s">
        <v>3446</v>
      </c>
      <c r="B2058">
        <f>I874</f>
        <v>220</v>
      </c>
      <c r="E2058" t="s">
        <v>13440</v>
      </c>
      <c r="F2058" s="49">
        <v>65</v>
      </c>
    </row>
    <row r="2059" spans="1:6" ht="15" customHeight="1" x14ac:dyDescent="0.3">
      <c r="A2059" t="s">
        <v>10930</v>
      </c>
      <c r="B2059">
        <f>I872</f>
        <v>95</v>
      </c>
      <c r="E2059" t="s">
        <v>1701</v>
      </c>
      <c r="F2059" s="49">
        <v>50</v>
      </c>
    </row>
    <row r="2060" spans="1:6" ht="15" customHeight="1" x14ac:dyDescent="0.3">
      <c r="A2060" t="s">
        <v>10931</v>
      </c>
      <c r="B2060">
        <f>I872</f>
        <v>95</v>
      </c>
      <c r="E2060" t="s">
        <v>1702</v>
      </c>
      <c r="F2060" s="49">
        <v>70</v>
      </c>
    </row>
    <row r="2061" spans="1:6" ht="15" customHeight="1" x14ac:dyDescent="0.3">
      <c r="A2061" t="s">
        <v>2488</v>
      </c>
      <c r="B2061">
        <f>I876</f>
        <v>90</v>
      </c>
      <c r="E2061" t="s">
        <v>1703</v>
      </c>
      <c r="F2061" s="49">
        <v>70</v>
      </c>
    </row>
    <row r="2062" spans="1:6" ht="15" customHeight="1" x14ac:dyDescent="0.3">
      <c r="A2062" t="s">
        <v>2273</v>
      </c>
      <c r="B2062">
        <f>I870</f>
        <v>80</v>
      </c>
      <c r="E2062" t="s">
        <v>1704</v>
      </c>
      <c r="F2062" s="49">
        <v>60</v>
      </c>
    </row>
    <row r="2063" spans="1:6" ht="15" customHeight="1" x14ac:dyDescent="0.3">
      <c r="A2063" t="s">
        <v>2181</v>
      </c>
      <c r="B2063">
        <f>I871</f>
        <v>200</v>
      </c>
      <c r="E2063" t="s">
        <v>1705</v>
      </c>
      <c r="F2063" s="49">
        <v>80</v>
      </c>
    </row>
    <row r="2064" spans="1:6" ht="15" customHeight="1" x14ac:dyDescent="0.3">
      <c r="A2064" t="s">
        <v>3447</v>
      </c>
      <c r="B2064">
        <f>I871</f>
        <v>200</v>
      </c>
      <c r="E2064" t="s">
        <v>1706</v>
      </c>
      <c r="F2064" s="49">
        <v>90</v>
      </c>
    </row>
    <row r="2065" spans="1:6" ht="15" customHeight="1" x14ac:dyDescent="0.3">
      <c r="A2065" t="s">
        <v>3448</v>
      </c>
      <c r="B2065">
        <f>I871</f>
        <v>200</v>
      </c>
      <c r="E2065" t="s">
        <v>1707</v>
      </c>
      <c r="F2065" s="49">
        <v>150</v>
      </c>
    </row>
    <row r="2066" spans="1:6" ht="15" customHeight="1" x14ac:dyDescent="0.3">
      <c r="A2066" t="s">
        <v>10933</v>
      </c>
      <c r="B2066">
        <f>I873</f>
        <v>95</v>
      </c>
      <c r="E2066" t="s">
        <v>1708</v>
      </c>
      <c r="F2066" s="49">
        <v>150</v>
      </c>
    </row>
    <row r="2067" spans="1:6" ht="15" customHeight="1" x14ac:dyDescent="0.3">
      <c r="A2067" t="s">
        <v>10932</v>
      </c>
      <c r="B2067">
        <f>I873</f>
        <v>95</v>
      </c>
      <c r="E2067" t="s">
        <v>1709</v>
      </c>
      <c r="F2067" s="49">
        <v>190</v>
      </c>
    </row>
    <row r="2068" spans="1:6" ht="15" customHeight="1" x14ac:dyDescent="0.3">
      <c r="A2068" t="s">
        <v>1990</v>
      </c>
      <c r="B2068">
        <f>I875</f>
        <v>220</v>
      </c>
      <c r="E2068" t="s">
        <v>13439</v>
      </c>
      <c r="F2068" s="49">
        <v>25</v>
      </c>
    </row>
    <row r="2069" spans="1:6" ht="15" customHeight="1" x14ac:dyDescent="0.3">
      <c r="A2069" t="s">
        <v>3449</v>
      </c>
      <c r="B2069">
        <f>I875</f>
        <v>220</v>
      </c>
      <c r="E2069" t="s">
        <v>1710</v>
      </c>
      <c r="F2069" s="49">
        <v>25</v>
      </c>
    </row>
    <row r="2070" spans="1:6" ht="15" customHeight="1" x14ac:dyDescent="0.3">
      <c r="A2070" t="s">
        <v>3450</v>
      </c>
      <c r="B2070">
        <f>I875</f>
        <v>220</v>
      </c>
      <c r="E2070" t="s">
        <v>13438</v>
      </c>
      <c r="F2070" s="49">
        <v>25</v>
      </c>
    </row>
    <row r="2071" spans="1:6" ht="15" customHeight="1" x14ac:dyDescent="0.3">
      <c r="A2071" s="41" t="s">
        <v>10515</v>
      </c>
      <c r="B2071">
        <f>I883</f>
        <v>65</v>
      </c>
      <c r="E2071" t="s">
        <v>13437</v>
      </c>
      <c r="F2071" s="49">
        <v>30</v>
      </c>
    </row>
    <row r="2072" spans="1:6" ht="15" customHeight="1" x14ac:dyDescent="0.3">
      <c r="A2072" s="33" t="s">
        <v>3708</v>
      </c>
      <c r="B2072">
        <f>I887</f>
        <v>180</v>
      </c>
      <c r="E2072" t="s">
        <v>13436</v>
      </c>
      <c r="F2072" s="49">
        <v>30</v>
      </c>
    </row>
    <row r="2073" spans="1:6" ht="15" customHeight="1" x14ac:dyDescent="0.3">
      <c r="A2073" s="33" t="s">
        <v>3710</v>
      </c>
      <c r="B2073">
        <f>I887</f>
        <v>180</v>
      </c>
      <c r="E2073" t="s">
        <v>13435</v>
      </c>
      <c r="F2073" s="49">
        <v>30</v>
      </c>
    </row>
    <row r="2074" spans="1:6" ht="15" customHeight="1" x14ac:dyDescent="0.3">
      <c r="A2074" s="33" t="s">
        <v>3711</v>
      </c>
      <c r="B2074">
        <f>I887</f>
        <v>180</v>
      </c>
      <c r="E2074" t="s">
        <v>11067</v>
      </c>
      <c r="F2074" s="49">
        <v>30</v>
      </c>
    </row>
    <row r="2075" spans="1:6" ht="15" customHeight="1" x14ac:dyDescent="0.3">
      <c r="A2075" s="33" t="s">
        <v>3712</v>
      </c>
      <c r="B2075">
        <f>I884</f>
        <v>90</v>
      </c>
      <c r="E2075" t="s">
        <v>13434</v>
      </c>
      <c r="F2075" s="49">
        <v>35</v>
      </c>
    </row>
    <row r="2076" spans="1:6" ht="15" customHeight="1" x14ac:dyDescent="0.3">
      <c r="A2076" s="41" t="s">
        <v>10514</v>
      </c>
      <c r="B2076">
        <f>I886</f>
        <v>160</v>
      </c>
      <c r="E2076" t="s">
        <v>13433</v>
      </c>
      <c r="F2076" s="49">
        <v>35</v>
      </c>
    </row>
    <row r="2077" spans="1:6" ht="15" customHeight="1" x14ac:dyDescent="0.3">
      <c r="A2077" s="41" t="s">
        <v>10550</v>
      </c>
      <c r="B2077">
        <f>I886</f>
        <v>160</v>
      </c>
      <c r="E2077" t="s">
        <v>13432</v>
      </c>
      <c r="F2077" s="49">
        <v>35</v>
      </c>
    </row>
    <row r="2078" spans="1:6" ht="15" customHeight="1" x14ac:dyDescent="0.3">
      <c r="A2078" t="s">
        <v>2440</v>
      </c>
      <c r="B2078">
        <f>I887</f>
        <v>180</v>
      </c>
      <c r="E2078" t="s">
        <v>13431</v>
      </c>
      <c r="F2078" s="49">
        <v>35</v>
      </c>
    </row>
    <row r="2079" spans="1:6" ht="15" customHeight="1" x14ac:dyDescent="0.3">
      <c r="A2079" t="s">
        <v>2275</v>
      </c>
      <c r="B2079">
        <f>I883</f>
        <v>65</v>
      </c>
      <c r="E2079" t="s">
        <v>13430</v>
      </c>
      <c r="F2079" s="49">
        <v>45</v>
      </c>
    </row>
    <row r="2080" spans="1:6" ht="15" customHeight="1" x14ac:dyDescent="0.3">
      <c r="A2080" t="s">
        <v>3451</v>
      </c>
      <c r="B2080">
        <f>I887</f>
        <v>180</v>
      </c>
      <c r="E2080" t="s">
        <v>1711</v>
      </c>
      <c r="F2080" s="49">
        <v>25</v>
      </c>
    </row>
    <row r="2081" spans="1:6" ht="15" customHeight="1" x14ac:dyDescent="0.3">
      <c r="A2081" t="s">
        <v>3452</v>
      </c>
      <c r="B2081">
        <f>I887</f>
        <v>180</v>
      </c>
      <c r="E2081" t="s">
        <v>1712</v>
      </c>
      <c r="F2081" s="49">
        <v>25</v>
      </c>
    </row>
    <row r="2082" spans="1:6" ht="15" customHeight="1" x14ac:dyDescent="0.3">
      <c r="A2082" t="s">
        <v>2439</v>
      </c>
      <c r="B2082">
        <f>I884</f>
        <v>90</v>
      </c>
      <c r="E2082" t="s">
        <v>1713</v>
      </c>
      <c r="F2082" s="49">
        <v>25</v>
      </c>
    </row>
    <row r="2083" spans="1:6" ht="15" customHeight="1" x14ac:dyDescent="0.3">
      <c r="A2083" t="s">
        <v>2183</v>
      </c>
      <c r="B2083">
        <f>I886</f>
        <v>160</v>
      </c>
      <c r="E2083" t="s">
        <v>1714</v>
      </c>
      <c r="F2083" s="49">
        <v>25</v>
      </c>
    </row>
    <row r="2084" spans="1:6" ht="15" customHeight="1" x14ac:dyDescent="0.3">
      <c r="A2084" t="s">
        <v>3453</v>
      </c>
      <c r="B2084">
        <f>I886</f>
        <v>160</v>
      </c>
      <c r="E2084" t="s">
        <v>1715</v>
      </c>
      <c r="F2084" s="49">
        <v>30</v>
      </c>
    </row>
    <row r="2085" spans="1:6" ht="15" customHeight="1" x14ac:dyDescent="0.3">
      <c r="A2085" t="s">
        <v>3454</v>
      </c>
      <c r="B2085">
        <f>I886</f>
        <v>160</v>
      </c>
      <c r="E2085" t="s">
        <v>1716</v>
      </c>
      <c r="F2085" s="49">
        <v>55</v>
      </c>
    </row>
    <row r="2086" spans="1:6" ht="15" customHeight="1" x14ac:dyDescent="0.3">
      <c r="A2086" s="33" t="s">
        <v>3715</v>
      </c>
      <c r="B2086">
        <f>I883</f>
        <v>65</v>
      </c>
      <c r="E2086" t="s">
        <v>1717</v>
      </c>
      <c r="F2086" s="49">
        <v>25</v>
      </c>
    </row>
    <row r="2087" spans="1:6" ht="15" customHeight="1" x14ac:dyDescent="0.3">
      <c r="A2087" s="33" t="s">
        <v>3716</v>
      </c>
      <c r="B2087">
        <f>I887</f>
        <v>180</v>
      </c>
      <c r="E2087" t="s">
        <v>1718</v>
      </c>
      <c r="F2087" s="49">
        <v>25</v>
      </c>
    </row>
    <row r="2088" spans="1:6" ht="15" customHeight="1" x14ac:dyDescent="0.3">
      <c r="A2088" s="33" t="s">
        <v>3717</v>
      </c>
      <c r="B2088">
        <f>I887</f>
        <v>180</v>
      </c>
      <c r="E2088" t="s">
        <v>1719</v>
      </c>
      <c r="F2088" s="49">
        <v>25</v>
      </c>
    </row>
    <row r="2089" spans="1:6" ht="15" customHeight="1" x14ac:dyDescent="0.3">
      <c r="A2089" s="33" t="s">
        <v>3718</v>
      </c>
      <c r="B2089">
        <f>I887</f>
        <v>180</v>
      </c>
      <c r="E2089" t="s">
        <v>1720</v>
      </c>
      <c r="F2089" s="49">
        <v>25</v>
      </c>
    </row>
    <row r="2090" spans="1:6" ht="15" customHeight="1" x14ac:dyDescent="0.3">
      <c r="A2090" s="33" t="s">
        <v>3719</v>
      </c>
      <c r="B2090">
        <f>I884</f>
        <v>90</v>
      </c>
      <c r="E2090" t="s">
        <v>1721</v>
      </c>
      <c r="F2090" s="49">
        <v>30</v>
      </c>
    </row>
    <row r="2091" spans="1:6" ht="15" customHeight="1" x14ac:dyDescent="0.3">
      <c r="A2091" s="33" t="s">
        <v>3720</v>
      </c>
      <c r="B2091">
        <f>I886</f>
        <v>160</v>
      </c>
      <c r="E2091" t="s">
        <v>1722</v>
      </c>
      <c r="F2091" s="49">
        <v>30</v>
      </c>
    </row>
    <row r="2092" spans="1:6" ht="15" customHeight="1" x14ac:dyDescent="0.3">
      <c r="A2092" s="33" t="s">
        <v>3721</v>
      </c>
      <c r="B2092">
        <f>I886</f>
        <v>160</v>
      </c>
      <c r="E2092" t="s">
        <v>1723</v>
      </c>
      <c r="F2092" s="49">
        <v>30</v>
      </c>
    </row>
    <row r="2093" spans="1:6" ht="15" customHeight="1" x14ac:dyDescent="0.3">
      <c r="A2093" s="33" t="s">
        <v>3722</v>
      </c>
      <c r="B2093">
        <f>I886</f>
        <v>160</v>
      </c>
      <c r="E2093" t="s">
        <v>1724</v>
      </c>
      <c r="F2093" s="49">
        <v>25</v>
      </c>
    </row>
    <row r="2094" spans="1:6" ht="15" customHeight="1" x14ac:dyDescent="0.3">
      <c r="A2094" t="s">
        <v>2492</v>
      </c>
      <c r="B2094">
        <f>I883</f>
        <v>65</v>
      </c>
      <c r="E2094" t="s">
        <v>1725</v>
      </c>
      <c r="F2094" s="49">
        <v>30</v>
      </c>
    </row>
    <row r="2095" spans="1:6" ht="15" customHeight="1" x14ac:dyDescent="0.3">
      <c r="A2095" t="s">
        <v>2489</v>
      </c>
      <c r="B2095">
        <f>I887</f>
        <v>180</v>
      </c>
      <c r="E2095" t="s">
        <v>1726</v>
      </c>
      <c r="F2095" s="49">
        <v>25</v>
      </c>
    </row>
    <row r="2096" spans="1:6" ht="15" customHeight="1" x14ac:dyDescent="0.3">
      <c r="A2096" t="s">
        <v>3455</v>
      </c>
      <c r="B2096">
        <f>I887</f>
        <v>180</v>
      </c>
      <c r="E2096" t="s">
        <v>13098</v>
      </c>
      <c r="F2096" s="49">
        <v>20</v>
      </c>
    </row>
    <row r="2097" spans="1:6" ht="15" customHeight="1" x14ac:dyDescent="0.3">
      <c r="A2097" t="s">
        <v>3456</v>
      </c>
      <c r="B2097">
        <f>I887</f>
        <v>180</v>
      </c>
      <c r="E2097" t="s">
        <v>1727</v>
      </c>
      <c r="F2097" s="49">
        <v>25</v>
      </c>
    </row>
    <row r="2098" spans="1:6" ht="15" customHeight="1" x14ac:dyDescent="0.3">
      <c r="A2098" t="s">
        <v>2490</v>
      </c>
      <c r="B2098">
        <f>I884</f>
        <v>90</v>
      </c>
      <c r="E2098" t="s">
        <v>1728</v>
      </c>
      <c r="F2098" s="49">
        <v>25</v>
      </c>
    </row>
    <row r="2099" spans="1:6" ht="15" customHeight="1" x14ac:dyDescent="0.3">
      <c r="A2099" t="s">
        <v>2491</v>
      </c>
      <c r="B2099">
        <f>I886</f>
        <v>160</v>
      </c>
      <c r="E2099" t="s">
        <v>1729</v>
      </c>
      <c r="F2099" s="49">
        <v>25</v>
      </c>
    </row>
    <row r="2100" spans="1:6" ht="15" customHeight="1" x14ac:dyDescent="0.3">
      <c r="A2100" t="s">
        <v>3457</v>
      </c>
      <c r="B2100">
        <f>I886</f>
        <v>160</v>
      </c>
      <c r="E2100" t="s">
        <v>1730</v>
      </c>
      <c r="F2100" s="49">
        <v>25</v>
      </c>
    </row>
    <row r="2101" spans="1:6" ht="15" customHeight="1" x14ac:dyDescent="0.3">
      <c r="A2101" t="s">
        <v>3458</v>
      </c>
      <c r="B2101">
        <f>I886</f>
        <v>160</v>
      </c>
      <c r="E2101" t="s">
        <v>1731</v>
      </c>
      <c r="F2101" s="49">
        <v>25</v>
      </c>
    </row>
    <row r="2102" spans="1:6" ht="15" customHeight="1" x14ac:dyDescent="0.3">
      <c r="A2102" t="s">
        <v>3223</v>
      </c>
      <c r="B2102">
        <f>I889</f>
        <v>85</v>
      </c>
      <c r="E2102" t="s">
        <v>1732</v>
      </c>
      <c r="F2102" s="49">
        <v>25</v>
      </c>
    </row>
    <row r="2103" spans="1:6" ht="15" customHeight="1" x14ac:dyDescent="0.3">
      <c r="A2103" t="s">
        <v>10503</v>
      </c>
      <c r="B2103">
        <f>I889</f>
        <v>85</v>
      </c>
      <c r="E2103" t="s">
        <v>1733</v>
      </c>
      <c r="F2103" s="49">
        <v>30</v>
      </c>
    </row>
    <row r="2104" spans="1:6" ht="15" customHeight="1" x14ac:dyDescent="0.3">
      <c r="A2104" s="33" t="s">
        <v>3709</v>
      </c>
      <c r="B2104">
        <f>I883</f>
        <v>65</v>
      </c>
      <c r="E2104" t="s">
        <v>1734</v>
      </c>
      <c r="F2104" s="49">
        <v>30</v>
      </c>
    </row>
    <row r="2105" spans="1:6" ht="15" customHeight="1" x14ac:dyDescent="0.3">
      <c r="A2105" s="33" t="s">
        <v>3713</v>
      </c>
      <c r="B2105">
        <f>I886</f>
        <v>160</v>
      </c>
      <c r="E2105" t="s">
        <v>11052</v>
      </c>
      <c r="F2105" s="49">
        <v>30</v>
      </c>
    </row>
    <row r="2106" spans="1:6" ht="15" customHeight="1" x14ac:dyDescent="0.3">
      <c r="A2106" s="33" t="s">
        <v>3714</v>
      </c>
      <c r="B2106">
        <f>I886</f>
        <v>160</v>
      </c>
      <c r="E2106" t="s">
        <v>1735</v>
      </c>
      <c r="F2106" s="49">
        <v>25</v>
      </c>
    </row>
    <row r="2107" spans="1:6" ht="15" customHeight="1" x14ac:dyDescent="0.3">
      <c r="A2107" t="s">
        <v>2184</v>
      </c>
      <c r="B2107">
        <f>I889</f>
        <v>85</v>
      </c>
      <c r="E2107" t="s">
        <v>1736</v>
      </c>
      <c r="F2107" s="49">
        <v>30</v>
      </c>
    </row>
    <row r="2108" spans="1:6" ht="15" customHeight="1" x14ac:dyDescent="0.3">
      <c r="A2108" t="s">
        <v>2276</v>
      </c>
      <c r="B2108">
        <f>I877</f>
        <v>80</v>
      </c>
      <c r="E2108" t="s">
        <v>1737</v>
      </c>
      <c r="F2108" s="49">
        <v>35</v>
      </c>
    </row>
    <row r="2109" spans="1:6" ht="15" customHeight="1" x14ac:dyDescent="0.3">
      <c r="A2109" t="s">
        <v>2185</v>
      </c>
      <c r="B2109">
        <f>I878</f>
        <v>200</v>
      </c>
      <c r="E2109" t="s">
        <v>1738</v>
      </c>
      <c r="F2109" s="49">
        <v>25</v>
      </c>
    </row>
    <row r="2110" spans="1:6" ht="15" customHeight="1" x14ac:dyDescent="0.3">
      <c r="A2110" t="s">
        <v>3459</v>
      </c>
      <c r="B2110">
        <f>I878</f>
        <v>200</v>
      </c>
      <c r="E2110" t="s">
        <v>7837</v>
      </c>
      <c r="F2110" s="49">
        <v>25</v>
      </c>
    </row>
    <row r="2111" spans="1:6" ht="15" customHeight="1" x14ac:dyDescent="0.3">
      <c r="A2111" t="s">
        <v>3460</v>
      </c>
      <c r="B2111">
        <f>I878</f>
        <v>200</v>
      </c>
      <c r="E2111" t="s">
        <v>1739</v>
      </c>
      <c r="F2111" s="49">
        <v>25</v>
      </c>
    </row>
    <row r="2112" spans="1:6" ht="15" customHeight="1" x14ac:dyDescent="0.3">
      <c r="A2112" t="s">
        <v>1993</v>
      </c>
      <c r="B2112">
        <f>I880</f>
        <v>220</v>
      </c>
      <c r="E2112" t="s">
        <v>1740</v>
      </c>
      <c r="F2112" s="49">
        <v>25</v>
      </c>
    </row>
    <row r="2113" spans="1:6" ht="15" customHeight="1" x14ac:dyDescent="0.3">
      <c r="A2113" t="s">
        <v>10934</v>
      </c>
      <c r="B2113">
        <f>I879</f>
        <v>120</v>
      </c>
      <c r="E2113" t="s">
        <v>1741</v>
      </c>
      <c r="F2113" s="49">
        <v>25</v>
      </c>
    </row>
    <row r="2114" spans="1:6" ht="15" customHeight="1" x14ac:dyDescent="0.3">
      <c r="A2114" t="s">
        <v>10935</v>
      </c>
      <c r="B2114">
        <f>I879</f>
        <v>120</v>
      </c>
      <c r="E2114" t="s">
        <v>1742</v>
      </c>
      <c r="F2114" s="49">
        <v>25</v>
      </c>
    </row>
    <row r="2115" spans="1:6" ht="15" customHeight="1" x14ac:dyDescent="0.3">
      <c r="A2115" t="s">
        <v>3461</v>
      </c>
      <c r="B2115">
        <f>I880</f>
        <v>220</v>
      </c>
      <c r="E2115" t="s">
        <v>7838</v>
      </c>
      <c r="F2115" s="49">
        <v>30</v>
      </c>
    </row>
    <row r="2116" spans="1:6" ht="15" customHeight="1" x14ac:dyDescent="0.3">
      <c r="A2116" t="s">
        <v>3462</v>
      </c>
      <c r="B2116">
        <f>I880</f>
        <v>220</v>
      </c>
      <c r="E2116" t="s">
        <v>1743</v>
      </c>
      <c r="F2116" s="49">
        <v>30</v>
      </c>
    </row>
    <row r="2117" spans="1:6" ht="15" customHeight="1" x14ac:dyDescent="0.3">
      <c r="A2117" t="s">
        <v>11016</v>
      </c>
      <c r="B2117">
        <f>I882</f>
        <v>265</v>
      </c>
      <c r="E2117" t="s">
        <v>1744</v>
      </c>
      <c r="F2117" s="49">
        <v>25</v>
      </c>
    </row>
    <row r="2118" spans="1:6" ht="15" customHeight="1" x14ac:dyDescent="0.3">
      <c r="A2118" t="s">
        <v>11017</v>
      </c>
      <c r="B2118">
        <f>I882</f>
        <v>265</v>
      </c>
      <c r="E2118" t="s">
        <v>1745</v>
      </c>
      <c r="F2118" s="49">
        <v>30</v>
      </c>
    </row>
    <row r="2119" spans="1:6" ht="15" customHeight="1" x14ac:dyDescent="0.3">
      <c r="A2119" t="s">
        <v>11022</v>
      </c>
      <c r="B2119">
        <f>I891</f>
        <v>105</v>
      </c>
      <c r="E2119" t="s">
        <v>1746</v>
      </c>
      <c r="F2119" s="49">
        <v>30</v>
      </c>
    </row>
    <row r="2120" spans="1:6" ht="15" customHeight="1" x14ac:dyDescent="0.3">
      <c r="A2120" t="s">
        <v>11023</v>
      </c>
      <c r="B2120">
        <f>I891</f>
        <v>105</v>
      </c>
      <c r="E2120" t="s">
        <v>1747</v>
      </c>
      <c r="F2120" s="49">
        <v>25</v>
      </c>
    </row>
    <row r="2121" spans="1:6" ht="15" customHeight="1" x14ac:dyDescent="0.3">
      <c r="A2121" t="s">
        <v>2866</v>
      </c>
      <c r="B2121">
        <f>I892</f>
        <v>75</v>
      </c>
      <c r="E2121" t="s">
        <v>10786</v>
      </c>
      <c r="F2121" s="49">
        <v>30</v>
      </c>
    </row>
    <row r="2122" spans="1:6" ht="15" customHeight="1" x14ac:dyDescent="0.3">
      <c r="A2122" t="s">
        <v>3225</v>
      </c>
      <c r="B2122">
        <f>I893</f>
        <v>170</v>
      </c>
      <c r="E2122" t="s">
        <v>10792</v>
      </c>
      <c r="F2122" s="49">
        <v>30</v>
      </c>
    </row>
    <row r="2123" spans="1:6" ht="15" customHeight="1" x14ac:dyDescent="0.3">
      <c r="A2123" t="s">
        <v>3464</v>
      </c>
      <c r="B2123">
        <f>I893</f>
        <v>170</v>
      </c>
      <c r="E2123" t="s">
        <v>1748</v>
      </c>
      <c r="F2123" s="49">
        <v>25</v>
      </c>
    </row>
    <row r="2124" spans="1:6" ht="15" customHeight="1" x14ac:dyDescent="0.3">
      <c r="A2124" t="s">
        <v>2279</v>
      </c>
      <c r="B2124">
        <f>I902</f>
        <v>65</v>
      </c>
      <c r="E2124" t="s">
        <v>1749</v>
      </c>
      <c r="F2124" s="49">
        <v>25</v>
      </c>
    </row>
    <row r="2125" spans="1:6" ht="15" customHeight="1" x14ac:dyDescent="0.3">
      <c r="A2125" t="s">
        <v>2189</v>
      </c>
      <c r="B2125">
        <f>I903</f>
        <v>160</v>
      </c>
      <c r="E2125" t="s">
        <v>1750</v>
      </c>
      <c r="F2125" s="49">
        <v>25</v>
      </c>
    </row>
    <row r="2126" spans="1:6" ht="15" customHeight="1" x14ac:dyDescent="0.3">
      <c r="A2126" t="s">
        <v>3477</v>
      </c>
      <c r="B2126">
        <f>I903</f>
        <v>160</v>
      </c>
      <c r="E2126" t="s">
        <v>1751</v>
      </c>
      <c r="F2126" s="49">
        <v>30</v>
      </c>
    </row>
    <row r="2127" spans="1:6" ht="15" customHeight="1" x14ac:dyDescent="0.3">
      <c r="A2127" t="s">
        <v>3478</v>
      </c>
      <c r="B2127">
        <f>I903</f>
        <v>160</v>
      </c>
      <c r="E2127" t="s">
        <v>1752</v>
      </c>
      <c r="F2127" s="49">
        <v>25</v>
      </c>
    </row>
    <row r="2128" spans="1:6" ht="15" customHeight="1" x14ac:dyDescent="0.3">
      <c r="A2128" t="s">
        <v>2277</v>
      </c>
      <c r="B2128">
        <f>I892</f>
        <v>75</v>
      </c>
      <c r="E2128" t="s">
        <v>1753</v>
      </c>
      <c r="F2128" s="49">
        <v>25</v>
      </c>
    </row>
    <row r="2129" spans="1:6" ht="15" customHeight="1" x14ac:dyDescent="0.3">
      <c r="A2129" t="s">
        <v>2186</v>
      </c>
      <c r="B2129">
        <f>I893</f>
        <v>170</v>
      </c>
      <c r="E2129" t="s">
        <v>1754</v>
      </c>
      <c r="F2129" s="49">
        <v>30</v>
      </c>
    </row>
    <row r="2130" spans="1:6" ht="15" customHeight="1" x14ac:dyDescent="0.3">
      <c r="A2130" t="s">
        <v>3463</v>
      </c>
      <c r="B2130">
        <f>I893</f>
        <v>170</v>
      </c>
      <c r="E2130" t="s">
        <v>1755</v>
      </c>
      <c r="F2130" s="49">
        <v>30</v>
      </c>
    </row>
    <row r="2131" spans="1:6" ht="15" customHeight="1" x14ac:dyDescent="0.3">
      <c r="A2131" t="s">
        <v>2324</v>
      </c>
      <c r="B2131">
        <f>I894</f>
        <v>90</v>
      </c>
      <c r="E2131" t="s">
        <v>1756</v>
      </c>
      <c r="F2131" s="49">
        <v>25</v>
      </c>
    </row>
    <row r="2132" spans="1:6" ht="15" customHeight="1" x14ac:dyDescent="0.3">
      <c r="A2132" t="s">
        <v>1994</v>
      </c>
      <c r="B2132">
        <f>I895</f>
        <v>190</v>
      </c>
      <c r="E2132" t="s">
        <v>1757</v>
      </c>
      <c r="F2132" s="49">
        <v>25</v>
      </c>
    </row>
    <row r="2133" spans="1:6" ht="15" customHeight="1" x14ac:dyDescent="0.3">
      <c r="A2133" t="s">
        <v>3465</v>
      </c>
      <c r="B2133">
        <f>I895</f>
        <v>190</v>
      </c>
      <c r="E2133" t="s">
        <v>1758</v>
      </c>
      <c r="F2133" s="49">
        <v>25</v>
      </c>
    </row>
    <row r="2134" spans="1:6" ht="15" customHeight="1" x14ac:dyDescent="0.3">
      <c r="A2134" t="s">
        <v>3466</v>
      </c>
      <c r="B2134">
        <f>I895</f>
        <v>190</v>
      </c>
      <c r="E2134" t="s">
        <v>1759</v>
      </c>
      <c r="F2134" s="49">
        <v>25</v>
      </c>
    </row>
    <row r="2135" spans="1:6" ht="15" customHeight="1" x14ac:dyDescent="0.3">
      <c r="A2135" t="s">
        <v>2414</v>
      </c>
      <c r="B2135">
        <f>I897</f>
        <v>220</v>
      </c>
      <c r="E2135" t="s">
        <v>1760</v>
      </c>
      <c r="F2135" s="49">
        <v>25</v>
      </c>
    </row>
    <row r="2136" spans="1:6" ht="15" customHeight="1" x14ac:dyDescent="0.3">
      <c r="A2136" t="s">
        <v>2576</v>
      </c>
      <c r="B2136">
        <f>I897</f>
        <v>220</v>
      </c>
      <c r="E2136" t="s">
        <v>1761</v>
      </c>
      <c r="F2136" s="49">
        <v>25</v>
      </c>
    </row>
    <row r="2137" spans="1:6" ht="15" customHeight="1" x14ac:dyDescent="0.3">
      <c r="A2137" t="s">
        <v>10725</v>
      </c>
      <c r="B2137">
        <f t="shared" ref="B2137:B2142" si="1113">B2131</f>
        <v>90</v>
      </c>
      <c r="E2137" t="s">
        <v>1762</v>
      </c>
      <c r="F2137" s="49">
        <v>25</v>
      </c>
    </row>
    <row r="2138" spans="1:6" ht="15" customHeight="1" x14ac:dyDescent="0.3">
      <c r="A2138" t="s">
        <v>10726</v>
      </c>
      <c r="B2138">
        <f t="shared" si="1113"/>
        <v>190</v>
      </c>
      <c r="E2138" t="s">
        <v>1763</v>
      </c>
      <c r="F2138" s="49">
        <v>25</v>
      </c>
    </row>
    <row r="2139" spans="1:6" ht="15" customHeight="1" x14ac:dyDescent="0.3">
      <c r="A2139" t="s">
        <v>10727</v>
      </c>
      <c r="B2139">
        <f t="shared" si="1113"/>
        <v>190</v>
      </c>
      <c r="E2139" t="s">
        <v>1764</v>
      </c>
      <c r="F2139" s="49">
        <v>30</v>
      </c>
    </row>
    <row r="2140" spans="1:6" ht="15" customHeight="1" x14ac:dyDescent="0.3">
      <c r="A2140" t="s">
        <v>10728</v>
      </c>
      <c r="B2140">
        <f t="shared" si="1113"/>
        <v>190</v>
      </c>
      <c r="E2140" t="s">
        <v>1765</v>
      </c>
      <c r="F2140" s="49">
        <v>25</v>
      </c>
    </row>
    <row r="2141" spans="1:6" ht="15" customHeight="1" x14ac:dyDescent="0.3">
      <c r="A2141" t="s">
        <v>10729</v>
      </c>
      <c r="B2141">
        <f t="shared" si="1113"/>
        <v>220</v>
      </c>
      <c r="E2141" t="s">
        <v>1766</v>
      </c>
      <c r="F2141" s="49">
        <v>25</v>
      </c>
    </row>
    <row r="2142" spans="1:6" ht="15" customHeight="1" x14ac:dyDescent="0.3">
      <c r="A2142" t="s">
        <v>10730</v>
      </c>
      <c r="B2142">
        <f t="shared" si="1113"/>
        <v>220</v>
      </c>
      <c r="E2142" t="s">
        <v>1767</v>
      </c>
      <c r="F2142" s="49">
        <v>25</v>
      </c>
    </row>
    <row r="2143" spans="1:6" ht="15" customHeight="1" x14ac:dyDescent="0.3">
      <c r="A2143" t="s">
        <v>2325</v>
      </c>
      <c r="B2143">
        <f>I898</f>
        <v>100</v>
      </c>
      <c r="E2143" t="s">
        <v>1768</v>
      </c>
      <c r="F2143" s="49">
        <v>25</v>
      </c>
    </row>
    <row r="2144" spans="1:6" ht="15" customHeight="1" x14ac:dyDescent="0.3">
      <c r="A2144" t="s">
        <v>1995</v>
      </c>
      <c r="B2144">
        <f>I899</f>
        <v>220</v>
      </c>
      <c r="E2144" t="s">
        <v>1769</v>
      </c>
      <c r="F2144" s="49">
        <v>30</v>
      </c>
    </row>
    <row r="2145" spans="1:6" ht="15" customHeight="1" x14ac:dyDescent="0.3">
      <c r="A2145" t="s">
        <v>3467</v>
      </c>
      <c r="B2145">
        <f>I899</f>
        <v>220</v>
      </c>
      <c r="E2145" t="s">
        <v>1770</v>
      </c>
      <c r="F2145" s="49">
        <v>30</v>
      </c>
    </row>
    <row r="2146" spans="1:6" ht="15" customHeight="1" x14ac:dyDescent="0.3">
      <c r="A2146" t="s">
        <v>3468</v>
      </c>
      <c r="B2146">
        <f>I899</f>
        <v>220</v>
      </c>
      <c r="E2146" t="s">
        <v>1771</v>
      </c>
      <c r="F2146" s="49">
        <v>25</v>
      </c>
    </row>
    <row r="2147" spans="1:6" ht="15" customHeight="1" x14ac:dyDescent="0.3">
      <c r="A2147" t="s">
        <v>10731</v>
      </c>
      <c r="B2147">
        <f>B2143</f>
        <v>100</v>
      </c>
      <c r="E2147" t="s">
        <v>1772</v>
      </c>
      <c r="F2147" s="49">
        <v>25</v>
      </c>
    </row>
    <row r="2148" spans="1:6" ht="15" customHeight="1" x14ac:dyDescent="0.3">
      <c r="A2148" t="s">
        <v>10732</v>
      </c>
      <c r="B2148">
        <f>B2144</f>
        <v>220</v>
      </c>
      <c r="E2148" t="s">
        <v>1773</v>
      </c>
      <c r="F2148" s="49">
        <v>30</v>
      </c>
    </row>
    <row r="2149" spans="1:6" ht="15" customHeight="1" x14ac:dyDescent="0.3">
      <c r="A2149" t="s">
        <v>10733</v>
      </c>
      <c r="B2149">
        <f>B2145</f>
        <v>220</v>
      </c>
      <c r="E2149" t="s">
        <v>1774</v>
      </c>
      <c r="F2149" s="49">
        <v>30</v>
      </c>
    </row>
    <row r="2150" spans="1:6" ht="15" customHeight="1" x14ac:dyDescent="0.3">
      <c r="A2150" t="s">
        <v>10734</v>
      </c>
      <c r="B2150">
        <f>B2146</f>
        <v>220</v>
      </c>
      <c r="E2150" t="s">
        <v>1775</v>
      </c>
      <c r="F2150" s="49">
        <v>30</v>
      </c>
    </row>
    <row r="2151" spans="1:6" ht="15" customHeight="1" x14ac:dyDescent="0.3">
      <c r="A2151" t="s">
        <v>10926</v>
      </c>
      <c r="B2151">
        <f>I901</f>
        <v>250</v>
      </c>
      <c r="E2151" t="s">
        <v>1776</v>
      </c>
      <c r="F2151" s="49">
        <v>25</v>
      </c>
    </row>
    <row r="2152" spans="1:6" ht="15" customHeight="1" x14ac:dyDescent="0.3">
      <c r="A2152" t="s">
        <v>10927</v>
      </c>
      <c r="B2152">
        <f>I901</f>
        <v>250</v>
      </c>
      <c r="E2152" t="s">
        <v>1777</v>
      </c>
      <c r="F2152" s="49">
        <v>25</v>
      </c>
    </row>
    <row r="2153" spans="1:6" ht="15" customHeight="1" x14ac:dyDescent="0.3">
      <c r="A2153" t="s">
        <v>10928</v>
      </c>
      <c r="B2153">
        <f>I901</f>
        <v>250</v>
      </c>
      <c r="E2153" t="s">
        <v>1778</v>
      </c>
      <c r="F2153" s="49">
        <v>25</v>
      </c>
    </row>
    <row r="2154" spans="1:6" ht="15" customHeight="1" x14ac:dyDescent="0.3">
      <c r="A2154" t="s">
        <v>10929</v>
      </c>
      <c r="B2154">
        <f>I901</f>
        <v>250</v>
      </c>
      <c r="E2154" t="s">
        <v>10593</v>
      </c>
      <c r="F2154" s="49">
        <v>25</v>
      </c>
    </row>
    <row r="2155" spans="1:6" ht="15" customHeight="1" x14ac:dyDescent="0.3">
      <c r="A2155" s="69" t="s">
        <v>12323</v>
      </c>
      <c r="B2155">
        <f>I906</f>
        <v>80</v>
      </c>
      <c r="E2155" t="s">
        <v>10594</v>
      </c>
      <c r="F2155" s="49">
        <v>25</v>
      </c>
    </row>
    <row r="2156" spans="1:6" ht="15" customHeight="1" x14ac:dyDescent="0.3">
      <c r="A2156" s="69" t="s">
        <v>12324</v>
      </c>
      <c r="B2156">
        <f>I906</f>
        <v>80</v>
      </c>
      <c r="E2156" t="s">
        <v>1779</v>
      </c>
      <c r="F2156" s="49">
        <v>30</v>
      </c>
    </row>
    <row r="2157" spans="1:6" ht="15" customHeight="1" x14ac:dyDescent="0.3">
      <c r="A2157" s="69" t="s">
        <v>12325</v>
      </c>
      <c r="B2157">
        <f>I906</f>
        <v>80</v>
      </c>
      <c r="E2157" t="s">
        <v>1780</v>
      </c>
      <c r="F2157" s="49">
        <v>25</v>
      </c>
    </row>
    <row r="2158" spans="1:6" ht="15" customHeight="1" x14ac:dyDescent="0.3">
      <c r="A2158" s="69" t="s">
        <v>12326</v>
      </c>
      <c r="B2158">
        <f>I906</f>
        <v>80</v>
      </c>
      <c r="E2158" t="s">
        <v>1781</v>
      </c>
      <c r="F2158" s="49">
        <v>30</v>
      </c>
    </row>
    <row r="2159" spans="1:6" ht="15" customHeight="1" x14ac:dyDescent="0.3">
      <c r="A2159" t="s">
        <v>2326</v>
      </c>
      <c r="B2159">
        <f>I908</f>
        <v>120</v>
      </c>
      <c r="E2159" t="s">
        <v>1782</v>
      </c>
      <c r="F2159" s="49">
        <v>25</v>
      </c>
    </row>
    <row r="2160" spans="1:6" ht="15" customHeight="1" x14ac:dyDescent="0.3">
      <c r="A2160" t="s">
        <v>1996</v>
      </c>
      <c r="B2160">
        <f>I909</f>
        <v>230</v>
      </c>
      <c r="E2160" t="s">
        <v>1783</v>
      </c>
      <c r="F2160" s="49">
        <v>25</v>
      </c>
    </row>
    <row r="2161" spans="1:6" ht="15" customHeight="1" x14ac:dyDescent="0.3">
      <c r="A2161" t="s">
        <v>3469</v>
      </c>
      <c r="B2161">
        <f>I909</f>
        <v>230</v>
      </c>
      <c r="E2161" t="s">
        <v>1784</v>
      </c>
      <c r="F2161" s="49">
        <v>30</v>
      </c>
    </row>
    <row r="2162" spans="1:6" ht="15" customHeight="1" x14ac:dyDescent="0.3">
      <c r="A2162" t="s">
        <v>3470</v>
      </c>
      <c r="B2162">
        <f>I909</f>
        <v>230</v>
      </c>
      <c r="E2162" t="s">
        <v>1785</v>
      </c>
      <c r="F2162" s="49">
        <v>30</v>
      </c>
    </row>
    <row r="2163" spans="1:6" ht="15" customHeight="1" x14ac:dyDescent="0.3">
      <c r="A2163" t="s">
        <v>2187</v>
      </c>
      <c r="B2163">
        <f>I907</f>
        <v>200</v>
      </c>
      <c r="E2163" t="s">
        <v>1786</v>
      </c>
      <c r="F2163" s="49">
        <v>25</v>
      </c>
    </row>
    <row r="2164" spans="1:6" ht="15" customHeight="1" x14ac:dyDescent="0.3">
      <c r="A2164" t="s">
        <v>3471</v>
      </c>
      <c r="B2164">
        <f>I907</f>
        <v>200</v>
      </c>
      <c r="E2164" t="s">
        <v>12420</v>
      </c>
      <c r="F2164" s="49">
        <v>25</v>
      </c>
    </row>
    <row r="2165" spans="1:6" ht="15" customHeight="1" x14ac:dyDescent="0.3">
      <c r="A2165" t="s">
        <v>3472</v>
      </c>
      <c r="B2165">
        <f>I907</f>
        <v>200</v>
      </c>
      <c r="E2165" t="s">
        <v>1787</v>
      </c>
      <c r="F2165" s="49">
        <v>25</v>
      </c>
    </row>
    <row r="2166" spans="1:6" ht="15" customHeight="1" x14ac:dyDescent="0.3">
      <c r="A2166" t="s">
        <v>10735</v>
      </c>
      <c r="B2166">
        <f t="shared" ref="B2166:B2172" si="1114">B2159</f>
        <v>120</v>
      </c>
      <c r="E2166" t="s">
        <v>1788</v>
      </c>
      <c r="F2166" s="49">
        <v>25</v>
      </c>
    </row>
    <row r="2167" spans="1:6" ht="15" customHeight="1" x14ac:dyDescent="0.3">
      <c r="A2167" t="s">
        <v>10736</v>
      </c>
      <c r="B2167">
        <f t="shared" si="1114"/>
        <v>230</v>
      </c>
      <c r="E2167" t="s">
        <v>1789</v>
      </c>
      <c r="F2167" s="49">
        <v>25</v>
      </c>
    </row>
    <row r="2168" spans="1:6" ht="15" customHeight="1" x14ac:dyDescent="0.3">
      <c r="A2168" t="s">
        <v>10737</v>
      </c>
      <c r="B2168">
        <f t="shared" si="1114"/>
        <v>230</v>
      </c>
      <c r="E2168" t="s">
        <v>1790</v>
      </c>
      <c r="F2168" s="49">
        <v>25</v>
      </c>
    </row>
    <row r="2169" spans="1:6" ht="15" customHeight="1" x14ac:dyDescent="0.3">
      <c r="A2169" t="s">
        <v>10738</v>
      </c>
      <c r="B2169">
        <f t="shared" si="1114"/>
        <v>230</v>
      </c>
      <c r="E2169" t="s">
        <v>1791</v>
      </c>
      <c r="F2169" s="49">
        <v>25</v>
      </c>
    </row>
    <row r="2170" spans="1:6" ht="15" customHeight="1" x14ac:dyDescent="0.3">
      <c r="A2170" t="s">
        <v>10739</v>
      </c>
      <c r="B2170">
        <f t="shared" si="1114"/>
        <v>200</v>
      </c>
      <c r="E2170" t="s">
        <v>1792</v>
      </c>
      <c r="F2170" s="49">
        <v>25</v>
      </c>
    </row>
    <row r="2171" spans="1:6" ht="15" customHeight="1" x14ac:dyDescent="0.3">
      <c r="A2171" t="s">
        <v>10740</v>
      </c>
      <c r="B2171">
        <f t="shared" si="1114"/>
        <v>200</v>
      </c>
      <c r="E2171" t="s">
        <v>1793</v>
      </c>
      <c r="F2171" s="49">
        <v>25</v>
      </c>
    </row>
    <row r="2172" spans="1:6" ht="15" customHeight="1" x14ac:dyDescent="0.3">
      <c r="A2172" t="s">
        <v>10741</v>
      </c>
      <c r="B2172">
        <f t="shared" si="1114"/>
        <v>200</v>
      </c>
      <c r="E2172" t="s">
        <v>1794</v>
      </c>
      <c r="F2172" s="49">
        <v>25</v>
      </c>
    </row>
    <row r="2173" spans="1:6" ht="15" customHeight="1" x14ac:dyDescent="0.3">
      <c r="A2173" t="s">
        <v>2327</v>
      </c>
      <c r="B2173">
        <f>I911</f>
        <v>110</v>
      </c>
      <c r="E2173" t="s">
        <v>1795</v>
      </c>
      <c r="F2173" s="49">
        <v>25</v>
      </c>
    </row>
    <row r="2174" spans="1:6" ht="15" customHeight="1" x14ac:dyDescent="0.3">
      <c r="A2174" t="s">
        <v>1997</v>
      </c>
      <c r="B2174">
        <f>I913</f>
        <v>230</v>
      </c>
      <c r="E2174" t="s">
        <v>1796</v>
      </c>
      <c r="F2174" s="49">
        <v>25</v>
      </c>
    </row>
    <row r="2175" spans="1:6" ht="15" customHeight="1" x14ac:dyDescent="0.3">
      <c r="A2175" t="s">
        <v>3473</v>
      </c>
      <c r="B2175">
        <f>I913</f>
        <v>230</v>
      </c>
      <c r="E2175" t="s">
        <v>1797</v>
      </c>
      <c r="F2175" s="49">
        <v>25</v>
      </c>
    </row>
    <row r="2176" spans="1:6" ht="15" customHeight="1" x14ac:dyDescent="0.3">
      <c r="A2176" t="s">
        <v>3474</v>
      </c>
      <c r="B2176">
        <f>I913</f>
        <v>230</v>
      </c>
      <c r="E2176" t="s">
        <v>1798</v>
      </c>
      <c r="F2176" s="49">
        <v>25</v>
      </c>
    </row>
    <row r="2177" spans="1:6" ht="15" customHeight="1" x14ac:dyDescent="0.3">
      <c r="A2177" t="s">
        <v>2415</v>
      </c>
      <c r="B2177">
        <f>I915</f>
        <v>270</v>
      </c>
      <c r="E2177" t="s">
        <v>1799</v>
      </c>
      <c r="F2177" s="49">
        <v>25</v>
      </c>
    </row>
    <row r="2178" spans="1:6" ht="15" customHeight="1" x14ac:dyDescent="0.3">
      <c r="A2178" t="s">
        <v>2577</v>
      </c>
      <c r="B2178">
        <f>I915</f>
        <v>270</v>
      </c>
      <c r="E2178" t="s">
        <v>1800</v>
      </c>
      <c r="F2178" s="49">
        <v>25</v>
      </c>
    </row>
    <row r="2179" spans="1:6" ht="15" customHeight="1" x14ac:dyDescent="0.3">
      <c r="A2179" t="s">
        <v>2188</v>
      </c>
      <c r="B2179">
        <f>I912</f>
        <v>190</v>
      </c>
      <c r="E2179" t="s">
        <v>1801</v>
      </c>
      <c r="F2179" s="49">
        <v>25</v>
      </c>
    </row>
    <row r="2180" spans="1:6" ht="15" customHeight="1" x14ac:dyDescent="0.3">
      <c r="A2180" t="s">
        <v>3475</v>
      </c>
      <c r="B2180">
        <f>I912</f>
        <v>190</v>
      </c>
      <c r="E2180" t="s">
        <v>1802</v>
      </c>
      <c r="F2180" s="49">
        <v>25</v>
      </c>
    </row>
    <row r="2181" spans="1:6" ht="15" customHeight="1" x14ac:dyDescent="0.3">
      <c r="A2181" t="s">
        <v>3476</v>
      </c>
      <c r="B2181">
        <f>I912</f>
        <v>190</v>
      </c>
      <c r="E2181" t="s">
        <v>1803</v>
      </c>
      <c r="F2181" s="49">
        <v>25</v>
      </c>
    </row>
    <row r="2182" spans="1:6" ht="15" customHeight="1" x14ac:dyDescent="0.3">
      <c r="A2182" t="s">
        <v>2278</v>
      </c>
      <c r="B2182">
        <f>I910</f>
        <v>90</v>
      </c>
      <c r="E2182" t="s">
        <v>1804</v>
      </c>
      <c r="F2182" s="49">
        <v>35</v>
      </c>
    </row>
    <row r="2183" spans="1:6" ht="15" customHeight="1" x14ac:dyDescent="0.3">
      <c r="A2183" t="s">
        <v>10742</v>
      </c>
      <c r="B2183">
        <f t="shared" ref="B2183:B2192" si="1115">B2173</f>
        <v>110</v>
      </c>
      <c r="E2183" t="s">
        <v>1805</v>
      </c>
      <c r="F2183" s="49">
        <v>30</v>
      </c>
    </row>
    <row r="2184" spans="1:6" ht="15" customHeight="1" x14ac:dyDescent="0.3">
      <c r="A2184" t="s">
        <v>10743</v>
      </c>
      <c r="B2184">
        <f t="shared" si="1115"/>
        <v>230</v>
      </c>
      <c r="E2184" t="s">
        <v>1806</v>
      </c>
      <c r="F2184" s="49">
        <v>25</v>
      </c>
    </row>
    <row r="2185" spans="1:6" ht="15" customHeight="1" x14ac:dyDescent="0.3">
      <c r="A2185" t="s">
        <v>10744</v>
      </c>
      <c r="B2185">
        <f t="shared" si="1115"/>
        <v>230</v>
      </c>
      <c r="E2185" t="s">
        <v>1807</v>
      </c>
      <c r="F2185" s="49">
        <v>25</v>
      </c>
    </row>
    <row r="2186" spans="1:6" ht="15" customHeight="1" x14ac:dyDescent="0.3">
      <c r="A2186" t="s">
        <v>10745</v>
      </c>
      <c r="B2186">
        <f t="shared" si="1115"/>
        <v>230</v>
      </c>
      <c r="E2186" t="s">
        <v>1808</v>
      </c>
      <c r="F2186" s="49">
        <v>25</v>
      </c>
    </row>
    <row r="2187" spans="1:6" ht="15" customHeight="1" x14ac:dyDescent="0.3">
      <c r="A2187" t="s">
        <v>10746</v>
      </c>
      <c r="B2187">
        <f t="shared" si="1115"/>
        <v>270</v>
      </c>
      <c r="E2187" t="s">
        <v>1809</v>
      </c>
      <c r="F2187" s="49">
        <v>25</v>
      </c>
    </row>
    <row r="2188" spans="1:6" ht="15" customHeight="1" x14ac:dyDescent="0.3">
      <c r="A2188" t="s">
        <v>10747</v>
      </c>
      <c r="B2188">
        <f t="shared" si="1115"/>
        <v>270</v>
      </c>
      <c r="E2188" t="s">
        <v>1810</v>
      </c>
      <c r="F2188" s="49">
        <v>25</v>
      </c>
    </row>
    <row r="2189" spans="1:6" ht="15" customHeight="1" x14ac:dyDescent="0.3">
      <c r="A2189" t="s">
        <v>10748</v>
      </c>
      <c r="B2189">
        <f t="shared" si="1115"/>
        <v>190</v>
      </c>
      <c r="E2189" t="s">
        <v>1811</v>
      </c>
      <c r="F2189" s="49">
        <v>25</v>
      </c>
    </row>
    <row r="2190" spans="1:6" ht="15" customHeight="1" x14ac:dyDescent="0.3">
      <c r="A2190" t="s">
        <v>10749</v>
      </c>
      <c r="B2190">
        <f t="shared" si="1115"/>
        <v>190</v>
      </c>
      <c r="E2190" t="s">
        <v>1812</v>
      </c>
      <c r="F2190" s="49">
        <v>25</v>
      </c>
    </row>
    <row r="2191" spans="1:6" ht="15" customHeight="1" x14ac:dyDescent="0.3">
      <c r="A2191" t="s">
        <v>10750</v>
      </c>
      <c r="B2191">
        <f t="shared" si="1115"/>
        <v>190</v>
      </c>
      <c r="E2191" t="s">
        <v>1813</v>
      </c>
      <c r="F2191" s="49">
        <v>30</v>
      </c>
    </row>
    <row r="2192" spans="1:6" ht="15" customHeight="1" x14ac:dyDescent="0.3">
      <c r="A2192" t="s">
        <v>10751</v>
      </c>
      <c r="B2192">
        <f t="shared" si="1115"/>
        <v>90</v>
      </c>
      <c r="E2192" t="s">
        <v>1814</v>
      </c>
      <c r="F2192" s="49">
        <v>65</v>
      </c>
    </row>
    <row r="2193" spans="1:6" ht="15" customHeight="1" x14ac:dyDescent="0.3">
      <c r="A2193" t="s">
        <v>2280</v>
      </c>
      <c r="B2193">
        <f>I918</f>
        <v>85</v>
      </c>
      <c r="E2193" t="s">
        <v>1815</v>
      </c>
      <c r="F2193" s="49">
        <v>30</v>
      </c>
    </row>
    <row r="2194" spans="1:6" ht="15" customHeight="1" x14ac:dyDescent="0.3">
      <c r="A2194" t="s">
        <v>1998</v>
      </c>
      <c r="B2194">
        <f>I921</f>
        <v>200</v>
      </c>
      <c r="E2194" t="s">
        <v>1816</v>
      </c>
      <c r="F2194" s="49">
        <v>30</v>
      </c>
    </row>
    <row r="2195" spans="1:6" ht="15" customHeight="1" x14ac:dyDescent="0.3">
      <c r="A2195" t="s">
        <v>3479</v>
      </c>
      <c r="B2195">
        <f>I921</f>
        <v>200</v>
      </c>
      <c r="E2195" t="s">
        <v>12310</v>
      </c>
      <c r="F2195" s="49">
        <v>35</v>
      </c>
    </row>
    <row r="2196" spans="1:6" ht="15" customHeight="1" x14ac:dyDescent="0.3">
      <c r="A2196" t="s">
        <v>3480</v>
      </c>
      <c r="B2196">
        <f>I921</f>
        <v>200</v>
      </c>
      <c r="E2196" t="s">
        <v>1817</v>
      </c>
      <c r="F2196" s="49">
        <v>55</v>
      </c>
    </row>
    <row r="2197" spans="1:6" ht="15" customHeight="1" x14ac:dyDescent="0.3">
      <c r="A2197" t="s">
        <v>2328</v>
      </c>
      <c r="B2197">
        <f>I919</f>
        <v>95</v>
      </c>
      <c r="E2197" t="s">
        <v>1818</v>
      </c>
      <c r="F2197" s="49">
        <v>50</v>
      </c>
    </row>
    <row r="2198" spans="1:6" ht="15" customHeight="1" x14ac:dyDescent="0.3">
      <c r="A2198" t="s">
        <v>2190</v>
      </c>
      <c r="B2198">
        <f>I920</f>
        <v>170</v>
      </c>
      <c r="E2198" t="s">
        <v>1819</v>
      </c>
      <c r="F2198" s="49">
        <v>70</v>
      </c>
    </row>
    <row r="2199" spans="1:6" ht="15" customHeight="1" x14ac:dyDescent="0.3">
      <c r="A2199" t="s">
        <v>3481</v>
      </c>
      <c r="B2199">
        <f>I920</f>
        <v>170</v>
      </c>
      <c r="E2199" t="s">
        <v>1820</v>
      </c>
      <c r="F2199" s="49">
        <v>65</v>
      </c>
    </row>
    <row r="2200" spans="1:6" ht="15" customHeight="1" x14ac:dyDescent="0.3">
      <c r="A2200" t="s">
        <v>3482</v>
      </c>
      <c r="B2200">
        <f>I920</f>
        <v>170</v>
      </c>
      <c r="E2200" t="s">
        <v>1821</v>
      </c>
      <c r="F2200" s="49">
        <v>50</v>
      </c>
    </row>
    <row r="2201" spans="1:6" ht="15" customHeight="1" x14ac:dyDescent="0.3">
      <c r="A2201" t="s">
        <v>10752</v>
      </c>
      <c r="B2201">
        <f t="shared" ref="B2201:B2208" si="1116">B2193</f>
        <v>85</v>
      </c>
      <c r="E2201" t="s">
        <v>1822</v>
      </c>
      <c r="F2201" s="49">
        <v>30</v>
      </c>
    </row>
    <row r="2202" spans="1:6" ht="15" customHeight="1" x14ac:dyDescent="0.3">
      <c r="A2202" t="s">
        <v>10753</v>
      </c>
      <c r="B2202">
        <f t="shared" si="1116"/>
        <v>200</v>
      </c>
      <c r="E2202" t="s">
        <v>1823</v>
      </c>
      <c r="F2202" s="49">
        <v>55</v>
      </c>
    </row>
    <row r="2203" spans="1:6" ht="15" customHeight="1" x14ac:dyDescent="0.3">
      <c r="A2203" t="s">
        <v>10754</v>
      </c>
      <c r="B2203">
        <f t="shared" si="1116"/>
        <v>200</v>
      </c>
      <c r="E2203" t="s">
        <v>1824</v>
      </c>
      <c r="F2203" s="49">
        <v>25</v>
      </c>
    </row>
    <row r="2204" spans="1:6" ht="15" customHeight="1" x14ac:dyDescent="0.3">
      <c r="A2204" t="s">
        <v>10755</v>
      </c>
      <c r="B2204">
        <f t="shared" si="1116"/>
        <v>200</v>
      </c>
      <c r="E2204" t="s">
        <v>1825</v>
      </c>
      <c r="F2204" s="49">
        <v>30</v>
      </c>
    </row>
    <row r="2205" spans="1:6" ht="15" customHeight="1" x14ac:dyDescent="0.3">
      <c r="A2205" t="s">
        <v>10756</v>
      </c>
      <c r="B2205">
        <f t="shared" si="1116"/>
        <v>95</v>
      </c>
      <c r="E2205" t="s">
        <v>1826</v>
      </c>
      <c r="F2205" s="49">
        <v>30</v>
      </c>
    </row>
    <row r="2206" spans="1:6" ht="15" customHeight="1" x14ac:dyDescent="0.3">
      <c r="A2206" t="s">
        <v>10757</v>
      </c>
      <c r="B2206">
        <f t="shared" si="1116"/>
        <v>170</v>
      </c>
      <c r="E2206" t="s">
        <v>1827</v>
      </c>
      <c r="F2206" s="49">
        <v>25</v>
      </c>
    </row>
    <row r="2207" spans="1:6" ht="15" customHeight="1" x14ac:dyDescent="0.3">
      <c r="A2207" t="s">
        <v>10758</v>
      </c>
      <c r="B2207">
        <f t="shared" si="1116"/>
        <v>170</v>
      </c>
      <c r="E2207" t="s">
        <v>1828</v>
      </c>
      <c r="F2207" s="49">
        <v>25</v>
      </c>
    </row>
    <row r="2208" spans="1:6" ht="15" customHeight="1" x14ac:dyDescent="0.3">
      <c r="A2208" t="s">
        <v>10759</v>
      </c>
      <c r="B2208">
        <f t="shared" si="1116"/>
        <v>170</v>
      </c>
      <c r="E2208" t="s">
        <v>1829</v>
      </c>
      <c r="F2208" s="49">
        <v>25</v>
      </c>
    </row>
    <row r="2209" spans="1:6" ht="15" customHeight="1" x14ac:dyDescent="0.3">
      <c r="A2209" t="s">
        <v>2281</v>
      </c>
      <c r="B2209">
        <f>I922</f>
        <v>100</v>
      </c>
      <c r="E2209" t="s">
        <v>1830</v>
      </c>
      <c r="F2209" s="49">
        <v>25</v>
      </c>
    </row>
    <row r="2210" spans="1:6" ht="15" customHeight="1" x14ac:dyDescent="0.3">
      <c r="A2210" t="s">
        <v>1999</v>
      </c>
      <c r="B2210">
        <f>I925</f>
        <v>270</v>
      </c>
      <c r="E2210" t="s">
        <v>1831</v>
      </c>
      <c r="F2210" s="49">
        <v>45</v>
      </c>
    </row>
    <row r="2211" spans="1:6" ht="15" customHeight="1" x14ac:dyDescent="0.3">
      <c r="A2211" t="s">
        <v>3483</v>
      </c>
      <c r="B2211">
        <f>I925</f>
        <v>270</v>
      </c>
      <c r="E2211" t="s">
        <v>1832</v>
      </c>
      <c r="F2211" s="49">
        <v>35</v>
      </c>
    </row>
    <row r="2212" spans="1:6" ht="15" customHeight="1" x14ac:dyDescent="0.3">
      <c r="A2212" t="s">
        <v>3484</v>
      </c>
      <c r="B2212">
        <f>I925</f>
        <v>270</v>
      </c>
      <c r="E2212" t="s">
        <v>1833</v>
      </c>
      <c r="F2212" s="49">
        <v>35</v>
      </c>
    </row>
    <row r="2213" spans="1:6" ht="15" customHeight="1" x14ac:dyDescent="0.3">
      <c r="A2213" t="s">
        <v>2329</v>
      </c>
      <c r="B2213">
        <f>I923</f>
        <v>155</v>
      </c>
      <c r="E2213" t="s">
        <v>1834</v>
      </c>
      <c r="F2213" s="49">
        <v>55</v>
      </c>
    </row>
    <row r="2214" spans="1:6" ht="15" customHeight="1" x14ac:dyDescent="0.3">
      <c r="A2214" t="s">
        <v>2191</v>
      </c>
      <c r="B2214">
        <f>I924</f>
        <v>220</v>
      </c>
      <c r="E2214" t="s">
        <v>1835</v>
      </c>
      <c r="F2214" s="49">
        <v>30</v>
      </c>
    </row>
    <row r="2215" spans="1:6" ht="15" customHeight="1" x14ac:dyDescent="0.3">
      <c r="A2215" t="s">
        <v>3485</v>
      </c>
      <c r="B2215">
        <f>I924</f>
        <v>220</v>
      </c>
      <c r="E2215" t="s">
        <v>1836</v>
      </c>
      <c r="F2215" s="49">
        <v>25</v>
      </c>
    </row>
    <row r="2216" spans="1:6" ht="15" customHeight="1" x14ac:dyDescent="0.3">
      <c r="A2216" t="s">
        <v>3486</v>
      </c>
      <c r="B2216">
        <f>I924</f>
        <v>220</v>
      </c>
      <c r="E2216" t="s">
        <v>1837</v>
      </c>
      <c r="F2216" s="49">
        <v>25</v>
      </c>
    </row>
    <row r="2217" spans="1:6" ht="15" customHeight="1" x14ac:dyDescent="0.3">
      <c r="A2217" t="s">
        <v>10760</v>
      </c>
      <c r="B2217">
        <f t="shared" ref="B2217:B2224" si="1117">B2209</f>
        <v>100</v>
      </c>
      <c r="E2217" t="s">
        <v>1838</v>
      </c>
      <c r="F2217" s="49">
        <v>30</v>
      </c>
    </row>
    <row r="2218" spans="1:6" ht="15" customHeight="1" x14ac:dyDescent="0.3">
      <c r="A2218" t="s">
        <v>10761</v>
      </c>
      <c r="B2218">
        <f t="shared" si="1117"/>
        <v>270</v>
      </c>
      <c r="E2218" t="s">
        <v>1839</v>
      </c>
    </row>
    <row r="2219" spans="1:6" ht="15" customHeight="1" x14ac:dyDescent="0.3">
      <c r="A2219" t="s">
        <v>10762</v>
      </c>
      <c r="B2219">
        <f t="shared" si="1117"/>
        <v>270</v>
      </c>
      <c r="E2219" t="s">
        <v>1840</v>
      </c>
      <c r="F2219" s="49">
        <v>30</v>
      </c>
    </row>
    <row r="2220" spans="1:6" ht="15" customHeight="1" x14ac:dyDescent="0.3">
      <c r="A2220" t="s">
        <v>10763</v>
      </c>
      <c r="B2220">
        <f t="shared" si="1117"/>
        <v>270</v>
      </c>
      <c r="E2220" t="s">
        <v>1841</v>
      </c>
      <c r="F2220" s="49">
        <v>25</v>
      </c>
    </row>
    <row r="2221" spans="1:6" ht="15" customHeight="1" x14ac:dyDescent="0.3">
      <c r="A2221" t="s">
        <v>10764</v>
      </c>
      <c r="B2221">
        <f t="shared" si="1117"/>
        <v>155</v>
      </c>
      <c r="E2221" t="s">
        <v>1842</v>
      </c>
      <c r="F2221" s="49">
        <v>25</v>
      </c>
    </row>
    <row r="2222" spans="1:6" ht="15" customHeight="1" x14ac:dyDescent="0.3">
      <c r="A2222" t="s">
        <v>10765</v>
      </c>
      <c r="B2222">
        <f t="shared" si="1117"/>
        <v>220</v>
      </c>
      <c r="E2222" t="s">
        <v>10803</v>
      </c>
      <c r="F2222" s="49">
        <v>25</v>
      </c>
    </row>
    <row r="2223" spans="1:6" ht="15" customHeight="1" x14ac:dyDescent="0.3">
      <c r="A2223" t="s">
        <v>10766</v>
      </c>
      <c r="B2223">
        <f t="shared" si="1117"/>
        <v>220</v>
      </c>
      <c r="E2223" t="s">
        <v>1843</v>
      </c>
      <c r="F2223" s="49">
        <v>25</v>
      </c>
    </row>
    <row r="2224" spans="1:6" ht="15" customHeight="1" x14ac:dyDescent="0.3">
      <c r="A2224" t="s">
        <v>10767</v>
      </c>
      <c r="B2224">
        <f t="shared" si="1117"/>
        <v>220</v>
      </c>
      <c r="E2224" t="s">
        <v>10818</v>
      </c>
      <c r="F2224" s="49">
        <v>25</v>
      </c>
    </row>
    <row r="2225" spans="1:6" ht="15" customHeight="1" x14ac:dyDescent="0.3">
      <c r="A2225" t="s">
        <v>3541</v>
      </c>
      <c r="B2225">
        <f>I916</f>
        <v>90</v>
      </c>
      <c r="E2225" t="s">
        <v>10829</v>
      </c>
      <c r="F2225" s="49">
        <v>25</v>
      </c>
    </row>
    <row r="2226" spans="1:6" ht="15" customHeight="1" x14ac:dyDescent="0.3">
      <c r="A2226" t="s">
        <v>3542</v>
      </c>
      <c r="B2226">
        <f>I917</f>
        <v>190</v>
      </c>
      <c r="E2226" t="s">
        <v>1844</v>
      </c>
      <c r="F2226" s="49">
        <v>25</v>
      </c>
    </row>
    <row r="2227" spans="1:6" ht="15" customHeight="1" x14ac:dyDescent="0.3">
      <c r="A2227" t="s">
        <v>3543</v>
      </c>
      <c r="B2227">
        <f>I917</f>
        <v>190</v>
      </c>
      <c r="E2227" t="s">
        <v>1845</v>
      </c>
      <c r="F2227" s="49">
        <v>25</v>
      </c>
    </row>
    <row r="2228" spans="1:6" ht="15" customHeight="1" x14ac:dyDescent="0.3">
      <c r="A2228" t="s">
        <v>3544</v>
      </c>
      <c r="B2228">
        <f>I917</f>
        <v>190</v>
      </c>
      <c r="E2228" t="s">
        <v>1846</v>
      </c>
      <c r="F2228" s="49">
        <v>25</v>
      </c>
    </row>
    <row r="2229" spans="1:6" ht="15" customHeight="1" x14ac:dyDescent="0.3">
      <c r="A2229" t="s">
        <v>10690</v>
      </c>
      <c r="B2229">
        <f>I926</f>
        <v>80</v>
      </c>
      <c r="E2229" t="s">
        <v>1847</v>
      </c>
      <c r="F2229" s="49">
        <v>30</v>
      </c>
    </row>
    <row r="2230" spans="1:6" ht="15" customHeight="1" x14ac:dyDescent="0.3">
      <c r="A2230" t="s">
        <v>10692</v>
      </c>
      <c r="B2230">
        <f>I926</f>
        <v>80</v>
      </c>
      <c r="E2230" t="s">
        <v>1848</v>
      </c>
      <c r="F2230" s="49">
        <v>30</v>
      </c>
    </row>
    <row r="2231" spans="1:6" ht="15" customHeight="1" x14ac:dyDescent="0.3">
      <c r="A2231" t="s">
        <v>10693</v>
      </c>
      <c r="B2231">
        <f>I926</f>
        <v>80</v>
      </c>
      <c r="E2231" t="s">
        <v>1849</v>
      </c>
      <c r="F2231" s="49">
        <v>30</v>
      </c>
    </row>
    <row r="2232" spans="1:6" ht="15" customHeight="1" x14ac:dyDescent="0.3">
      <c r="A2232" t="s">
        <v>10694</v>
      </c>
      <c r="B2232">
        <f>I926</f>
        <v>80</v>
      </c>
      <c r="E2232" t="s">
        <v>5138</v>
      </c>
      <c r="F2232" s="49">
        <v>35</v>
      </c>
    </row>
    <row r="2233" spans="1:6" ht="15" customHeight="1" x14ac:dyDescent="0.3">
      <c r="A2233" t="s">
        <v>10695</v>
      </c>
      <c r="B2233">
        <f>I927</f>
        <v>220</v>
      </c>
      <c r="E2233" t="s">
        <v>5139</v>
      </c>
      <c r="F2233" s="49">
        <v>40</v>
      </c>
    </row>
    <row r="2234" spans="1:6" ht="15" customHeight="1" x14ac:dyDescent="0.3">
      <c r="A2234" t="s">
        <v>10691</v>
      </c>
      <c r="B2234">
        <f>I927</f>
        <v>220</v>
      </c>
      <c r="E2234" t="s">
        <v>5140</v>
      </c>
      <c r="F2234" s="49">
        <v>40</v>
      </c>
    </row>
    <row r="2235" spans="1:6" ht="15" customHeight="1" x14ac:dyDescent="0.3">
      <c r="A2235" t="s">
        <v>10696</v>
      </c>
      <c r="B2235">
        <f>I927</f>
        <v>220</v>
      </c>
      <c r="E2235" t="s">
        <v>5141</v>
      </c>
      <c r="F2235" s="49">
        <v>40</v>
      </c>
    </row>
    <row r="2236" spans="1:6" ht="15" customHeight="1" x14ac:dyDescent="0.3">
      <c r="A2236" t="s">
        <v>10697</v>
      </c>
      <c r="B2236">
        <f>I927</f>
        <v>220</v>
      </c>
      <c r="E2236" t="s">
        <v>5142</v>
      </c>
      <c r="F2236" s="49">
        <v>35</v>
      </c>
    </row>
    <row r="2237" spans="1:6" ht="15" customHeight="1" x14ac:dyDescent="0.3">
      <c r="A2237" s="62" t="s">
        <v>12020</v>
      </c>
      <c r="B2237">
        <f>I928</f>
        <v>280</v>
      </c>
      <c r="E2237" t="s">
        <v>5887</v>
      </c>
      <c r="F2237" s="49">
        <v>45</v>
      </c>
    </row>
    <row r="2238" spans="1:6" ht="15" customHeight="1" x14ac:dyDescent="0.3">
      <c r="A2238" s="62" t="s">
        <v>12021</v>
      </c>
      <c r="B2238">
        <f>I928</f>
        <v>280</v>
      </c>
      <c r="E2238" t="s">
        <v>5485</v>
      </c>
      <c r="F2238" s="49">
        <v>45</v>
      </c>
    </row>
    <row r="2239" spans="1:6" ht="15" customHeight="1" x14ac:dyDescent="0.3">
      <c r="A2239" s="62" t="s">
        <v>12022</v>
      </c>
      <c r="B2239">
        <f>I928</f>
        <v>280</v>
      </c>
      <c r="E2239" t="s">
        <v>5143</v>
      </c>
      <c r="F2239" s="49">
        <v>40</v>
      </c>
    </row>
    <row r="2240" spans="1:6" ht="15" customHeight="1" x14ac:dyDescent="0.3">
      <c r="A2240" s="62" t="s">
        <v>12023</v>
      </c>
      <c r="B2240">
        <f>I928</f>
        <v>280</v>
      </c>
      <c r="E2240" t="s">
        <v>5144</v>
      </c>
      <c r="F2240" s="49">
        <v>45</v>
      </c>
    </row>
    <row r="2241" spans="1:6" ht="15" customHeight="1" x14ac:dyDescent="0.3">
      <c r="A2241" s="62" t="s">
        <v>12016</v>
      </c>
      <c r="B2241">
        <f>I928</f>
        <v>280</v>
      </c>
      <c r="E2241" t="s">
        <v>5145</v>
      </c>
      <c r="F2241" s="49">
        <v>50</v>
      </c>
    </row>
    <row r="2242" spans="1:6" ht="15" customHeight="1" x14ac:dyDescent="0.3">
      <c r="A2242" s="62" t="s">
        <v>12018</v>
      </c>
      <c r="B2242">
        <f>I928</f>
        <v>280</v>
      </c>
      <c r="E2242" t="s">
        <v>5276</v>
      </c>
      <c r="F2242" s="49">
        <v>50</v>
      </c>
    </row>
    <row r="2243" spans="1:6" ht="15" customHeight="1" x14ac:dyDescent="0.3">
      <c r="A2243" s="62" t="s">
        <v>12017</v>
      </c>
      <c r="B2243">
        <f>I928</f>
        <v>280</v>
      </c>
      <c r="E2243" t="s">
        <v>5486</v>
      </c>
      <c r="F2243" s="49">
        <v>55</v>
      </c>
    </row>
    <row r="2244" spans="1:6" ht="15" customHeight="1" x14ac:dyDescent="0.3">
      <c r="A2244" s="62" t="s">
        <v>12019</v>
      </c>
      <c r="B2244">
        <f>I928</f>
        <v>280</v>
      </c>
      <c r="E2244" t="s">
        <v>5277</v>
      </c>
      <c r="F2244" s="49">
        <v>30</v>
      </c>
    </row>
    <row r="2245" spans="1:6" ht="15" customHeight="1" x14ac:dyDescent="0.3">
      <c r="A2245" t="s">
        <v>12156</v>
      </c>
      <c r="B2245">
        <f>I933</f>
        <v>170</v>
      </c>
      <c r="E2245" t="s">
        <v>12703</v>
      </c>
      <c r="F2245" s="49">
        <v>35</v>
      </c>
    </row>
    <row r="2246" spans="1:6" ht="15" customHeight="1" x14ac:dyDescent="0.3">
      <c r="A2246" t="s">
        <v>12157</v>
      </c>
      <c r="B2246">
        <f>I933</f>
        <v>170</v>
      </c>
      <c r="E2246" t="s">
        <v>5487</v>
      </c>
      <c r="F2246" s="49">
        <v>30</v>
      </c>
    </row>
    <row r="2247" spans="1:6" ht="15" customHeight="1" x14ac:dyDescent="0.3">
      <c r="A2247" t="s">
        <v>12158</v>
      </c>
      <c r="B2247">
        <f>I933</f>
        <v>170</v>
      </c>
      <c r="E2247" t="s">
        <v>5279</v>
      </c>
      <c r="F2247" s="49">
        <v>35</v>
      </c>
    </row>
    <row r="2248" spans="1:6" ht="15" customHeight="1" x14ac:dyDescent="0.3">
      <c r="A2248" t="s">
        <v>12159</v>
      </c>
      <c r="B2248">
        <f>I933</f>
        <v>170</v>
      </c>
      <c r="E2248" t="s">
        <v>5488</v>
      </c>
      <c r="F2248" s="49">
        <v>30</v>
      </c>
    </row>
    <row r="2249" spans="1:6" ht="15" customHeight="1" x14ac:dyDescent="0.3">
      <c r="A2249" t="s">
        <v>12160</v>
      </c>
      <c r="B2249">
        <f>I933</f>
        <v>170</v>
      </c>
      <c r="E2249" t="s">
        <v>5489</v>
      </c>
      <c r="F2249" s="49">
        <v>30</v>
      </c>
    </row>
    <row r="2250" spans="1:6" ht="15" customHeight="1" x14ac:dyDescent="0.3">
      <c r="A2250" t="s">
        <v>12161</v>
      </c>
      <c r="B2250">
        <f>I933</f>
        <v>170</v>
      </c>
      <c r="E2250" t="s">
        <v>5912</v>
      </c>
      <c r="F2250" s="49">
        <v>35</v>
      </c>
    </row>
    <row r="2251" spans="1:6" ht="15" customHeight="1" x14ac:dyDescent="0.3">
      <c r="A2251" t="s">
        <v>12162</v>
      </c>
      <c r="B2251">
        <f>I933</f>
        <v>170</v>
      </c>
      <c r="E2251" t="s">
        <v>5756</v>
      </c>
      <c r="F2251" s="49">
        <v>35</v>
      </c>
    </row>
    <row r="2252" spans="1:6" ht="15" customHeight="1" x14ac:dyDescent="0.3">
      <c r="A2252" t="s">
        <v>12163</v>
      </c>
      <c r="B2252">
        <f>I933</f>
        <v>170</v>
      </c>
      <c r="E2252" t="s">
        <v>5757</v>
      </c>
      <c r="F2252" s="49">
        <v>35</v>
      </c>
    </row>
    <row r="2253" spans="1:6" ht="15" customHeight="1" x14ac:dyDescent="0.3">
      <c r="A2253" t="s">
        <v>12164</v>
      </c>
      <c r="B2253">
        <f>I934</f>
        <v>170</v>
      </c>
      <c r="E2253" t="s">
        <v>6031</v>
      </c>
      <c r="F2253" s="49">
        <v>35</v>
      </c>
    </row>
    <row r="2254" spans="1:6" ht="15" customHeight="1" x14ac:dyDescent="0.3">
      <c r="A2254" t="s">
        <v>12165</v>
      </c>
      <c r="B2254">
        <f>I934</f>
        <v>170</v>
      </c>
      <c r="E2254" t="s">
        <v>12704</v>
      </c>
      <c r="F2254" s="49">
        <v>35</v>
      </c>
    </row>
    <row r="2255" spans="1:6" ht="15" customHeight="1" x14ac:dyDescent="0.3">
      <c r="A2255" t="s">
        <v>12166</v>
      </c>
      <c r="B2255">
        <f>I934</f>
        <v>170</v>
      </c>
      <c r="E2255" t="s">
        <v>5759</v>
      </c>
      <c r="F2255" s="49">
        <v>35</v>
      </c>
    </row>
    <row r="2256" spans="1:6" ht="15" customHeight="1" x14ac:dyDescent="0.3">
      <c r="A2256" t="s">
        <v>12167</v>
      </c>
      <c r="B2256">
        <f>I934</f>
        <v>170</v>
      </c>
      <c r="E2256" t="s">
        <v>5760</v>
      </c>
      <c r="F2256" s="49">
        <v>35</v>
      </c>
    </row>
    <row r="2257" spans="1:6" ht="15" customHeight="1" x14ac:dyDescent="0.3">
      <c r="A2257" t="s">
        <v>12168</v>
      </c>
      <c r="B2257">
        <f>I934</f>
        <v>170</v>
      </c>
      <c r="E2257" t="s">
        <v>12705</v>
      </c>
      <c r="F2257" s="49">
        <v>35</v>
      </c>
    </row>
    <row r="2258" spans="1:6" ht="15" customHeight="1" x14ac:dyDescent="0.3">
      <c r="A2258" t="s">
        <v>12169</v>
      </c>
      <c r="B2258">
        <f>I934</f>
        <v>170</v>
      </c>
      <c r="E2258" t="s">
        <v>12706</v>
      </c>
      <c r="F2258" s="49">
        <v>35</v>
      </c>
    </row>
    <row r="2259" spans="1:6" ht="15" customHeight="1" x14ac:dyDescent="0.3">
      <c r="A2259" t="s">
        <v>12170</v>
      </c>
      <c r="B2259">
        <f>I934</f>
        <v>170</v>
      </c>
      <c r="E2259" t="s">
        <v>5765</v>
      </c>
      <c r="F2259" s="49">
        <v>35</v>
      </c>
    </row>
    <row r="2260" spans="1:6" ht="15" customHeight="1" x14ac:dyDescent="0.3">
      <c r="A2260" t="s">
        <v>12171</v>
      </c>
      <c r="B2260">
        <f>I934</f>
        <v>170</v>
      </c>
      <c r="E2260" t="s">
        <v>5766</v>
      </c>
      <c r="F2260" s="49">
        <v>35</v>
      </c>
    </row>
    <row r="2261" spans="1:6" ht="15" customHeight="1" x14ac:dyDescent="0.3">
      <c r="A2261" t="s">
        <v>12547</v>
      </c>
      <c r="B2261">
        <f>I932</f>
        <v>100</v>
      </c>
      <c r="E2261" t="s">
        <v>6032</v>
      </c>
      <c r="F2261" s="49">
        <v>80</v>
      </c>
    </row>
    <row r="2262" spans="1:6" ht="15" customHeight="1" x14ac:dyDescent="0.3">
      <c r="A2262" t="s">
        <v>12548</v>
      </c>
      <c r="B2262">
        <f>I932</f>
        <v>100</v>
      </c>
      <c r="E2262" t="s">
        <v>5982</v>
      </c>
      <c r="F2262" s="49">
        <v>35</v>
      </c>
    </row>
    <row r="2263" spans="1:6" ht="15" customHeight="1" x14ac:dyDescent="0.3">
      <c r="A2263" t="s">
        <v>12549</v>
      </c>
      <c r="B2263">
        <f>I932</f>
        <v>100</v>
      </c>
      <c r="E2263" t="s">
        <v>5767</v>
      </c>
      <c r="F2263" s="49">
        <v>30</v>
      </c>
    </row>
    <row r="2264" spans="1:6" ht="15" customHeight="1" x14ac:dyDescent="0.3">
      <c r="A2264" t="s">
        <v>12550</v>
      </c>
      <c r="B2264">
        <f>I932</f>
        <v>100</v>
      </c>
      <c r="E2264" t="s">
        <v>5983</v>
      </c>
      <c r="F2264" s="49">
        <v>35</v>
      </c>
    </row>
    <row r="2265" spans="1:6" ht="15" customHeight="1" x14ac:dyDescent="0.3">
      <c r="A2265" t="s">
        <v>12551</v>
      </c>
      <c r="B2265">
        <f>I935</f>
        <v>220</v>
      </c>
      <c r="E2265" t="s">
        <v>6033</v>
      </c>
      <c r="F2265" s="49">
        <v>35</v>
      </c>
    </row>
    <row r="2266" spans="1:6" ht="15" customHeight="1" x14ac:dyDescent="0.3">
      <c r="A2266" t="s">
        <v>12552</v>
      </c>
      <c r="B2266">
        <f>I935</f>
        <v>220</v>
      </c>
      <c r="E2266" t="s">
        <v>12707</v>
      </c>
      <c r="F2266" s="49">
        <v>35</v>
      </c>
    </row>
    <row r="2267" spans="1:6" ht="15" customHeight="1" x14ac:dyDescent="0.3">
      <c r="A2267" t="s">
        <v>12553</v>
      </c>
      <c r="B2267">
        <f>I935</f>
        <v>220</v>
      </c>
      <c r="E2267" t="s">
        <v>5769</v>
      </c>
      <c r="F2267" s="49">
        <v>35</v>
      </c>
    </row>
    <row r="2268" spans="1:6" ht="15" customHeight="1" x14ac:dyDescent="0.3">
      <c r="A2268" t="s">
        <v>12554</v>
      </c>
      <c r="B2268">
        <f>I935</f>
        <v>220</v>
      </c>
      <c r="E2268" t="s">
        <v>5770</v>
      </c>
      <c r="F2268" s="49">
        <v>30</v>
      </c>
    </row>
    <row r="2269" spans="1:6" ht="15" customHeight="1" x14ac:dyDescent="0.3">
      <c r="A2269" t="s">
        <v>12555</v>
      </c>
      <c r="B2269">
        <f>I935</f>
        <v>220</v>
      </c>
      <c r="E2269" t="s">
        <v>5365</v>
      </c>
      <c r="F2269" s="49">
        <v>35</v>
      </c>
    </row>
    <row r="2270" spans="1:6" ht="15" customHeight="1" x14ac:dyDescent="0.3">
      <c r="A2270" t="s">
        <v>12556</v>
      </c>
      <c r="B2270">
        <f>I935</f>
        <v>220</v>
      </c>
      <c r="E2270" t="s">
        <v>12708</v>
      </c>
      <c r="F2270" s="49">
        <v>35</v>
      </c>
    </row>
    <row r="2271" spans="1:6" ht="15" customHeight="1" x14ac:dyDescent="0.3">
      <c r="A2271" t="s">
        <v>12557</v>
      </c>
      <c r="B2271">
        <f>I935</f>
        <v>220</v>
      </c>
      <c r="E2271" t="s">
        <v>5228</v>
      </c>
      <c r="F2271" s="49">
        <v>35</v>
      </c>
    </row>
    <row r="2272" spans="1:6" ht="15" customHeight="1" x14ac:dyDescent="0.3">
      <c r="A2272" t="s">
        <v>12558</v>
      </c>
      <c r="B2272">
        <f>I935</f>
        <v>220</v>
      </c>
      <c r="E2272" t="s">
        <v>5986</v>
      </c>
      <c r="F2272" s="49">
        <v>35</v>
      </c>
    </row>
    <row r="2273" spans="1:6" ht="15" customHeight="1" x14ac:dyDescent="0.3">
      <c r="A2273" t="s">
        <v>13067</v>
      </c>
      <c r="B2273">
        <f>I936</f>
        <v>120</v>
      </c>
      <c r="E2273" t="s">
        <v>5366</v>
      </c>
      <c r="F2273" s="49">
        <v>35</v>
      </c>
    </row>
    <row r="2274" spans="1:6" ht="15" customHeight="1" x14ac:dyDescent="0.3">
      <c r="A2274" t="s">
        <v>13068</v>
      </c>
      <c r="B2274">
        <f>I936</f>
        <v>120</v>
      </c>
      <c r="E2274" t="s">
        <v>5771</v>
      </c>
      <c r="F2274" s="49">
        <v>35</v>
      </c>
    </row>
    <row r="2275" spans="1:6" ht="15" customHeight="1" x14ac:dyDescent="0.3">
      <c r="A2275" t="s">
        <v>13069</v>
      </c>
      <c r="B2275">
        <f>I936</f>
        <v>120</v>
      </c>
      <c r="E2275" t="s">
        <v>12709</v>
      </c>
      <c r="F2275" s="49">
        <v>35</v>
      </c>
    </row>
    <row r="2276" spans="1:6" ht="15" customHeight="1" x14ac:dyDescent="0.3">
      <c r="A2276" t="s">
        <v>13070</v>
      </c>
      <c r="B2276">
        <f>I936</f>
        <v>120</v>
      </c>
      <c r="E2276" t="s">
        <v>5990</v>
      </c>
      <c r="F2276" s="49">
        <v>35</v>
      </c>
    </row>
    <row r="2277" spans="1:6" ht="15" customHeight="1" x14ac:dyDescent="0.3">
      <c r="A2277" s="62" t="s">
        <v>13049</v>
      </c>
      <c r="B2277">
        <f>I937</f>
        <v>270</v>
      </c>
      <c r="E2277" t="s">
        <v>5229</v>
      </c>
      <c r="F2277" s="49">
        <v>35</v>
      </c>
    </row>
    <row r="2278" spans="1:6" ht="15" customHeight="1" x14ac:dyDescent="0.3">
      <c r="A2278" s="62" t="s">
        <v>13050</v>
      </c>
      <c r="B2278">
        <f>I937</f>
        <v>270</v>
      </c>
      <c r="E2278" t="s">
        <v>12710</v>
      </c>
      <c r="F2278" s="49">
        <v>35</v>
      </c>
    </row>
    <row r="2279" spans="1:6" ht="15" customHeight="1" x14ac:dyDescent="0.3">
      <c r="A2279" s="62" t="s">
        <v>13051</v>
      </c>
      <c r="B2279">
        <f>I937</f>
        <v>270</v>
      </c>
      <c r="E2279" t="s">
        <v>5232</v>
      </c>
      <c r="F2279" s="49">
        <v>35</v>
      </c>
    </row>
    <row r="2280" spans="1:6" ht="15" customHeight="1" x14ac:dyDescent="0.3">
      <c r="A2280" s="62" t="s">
        <v>13052</v>
      </c>
      <c r="B2280">
        <f>I937</f>
        <v>270</v>
      </c>
      <c r="E2280" t="s">
        <v>6034</v>
      </c>
      <c r="F2280" s="49">
        <v>35</v>
      </c>
    </row>
    <row r="2281" spans="1:6" ht="15" customHeight="1" x14ac:dyDescent="0.3">
      <c r="A2281" s="62" t="s">
        <v>13053</v>
      </c>
      <c r="B2281">
        <f>I937</f>
        <v>270</v>
      </c>
      <c r="E2281" t="s">
        <v>5772</v>
      </c>
      <c r="F2281" s="49">
        <v>30</v>
      </c>
    </row>
    <row r="2282" spans="1:6" ht="15" customHeight="1" x14ac:dyDescent="0.3">
      <c r="A2282" s="62" t="s">
        <v>13054</v>
      </c>
      <c r="B2282">
        <f>I937</f>
        <v>270</v>
      </c>
      <c r="E2282" t="s">
        <v>5233</v>
      </c>
      <c r="F2282" s="49">
        <v>40</v>
      </c>
    </row>
    <row r="2283" spans="1:6" ht="15" customHeight="1" x14ac:dyDescent="0.3">
      <c r="A2283" s="62" t="s">
        <v>13055</v>
      </c>
      <c r="B2283">
        <f>I937</f>
        <v>270</v>
      </c>
      <c r="E2283" t="s">
        <v>5991</v>
      </c>
      <c r="F2283" s="49">
        <v>35</v>
      </c>
    </row>
    <row r="2284" spans="1:6" ht="15" customHeight="1" x14ac:dyDescent="0.3">
      <c r="A2284" s="62" t="s">
        <v>13056</v>
      </c>
      <c r="B2284">
        <f>I937</f>
        <v>270</v>
      </c>
      <c r="E2284" t="s">
        <v>5773</v>
      </c>
      <c r="F2284" s="49">
        <v>35</v>
      </c>
    </row>
    <row r="2285" spans="1:6" ht="15" customHeight="1" x14ac:dyDescent="0.3">
      <c r="A2285" t="s">
        <v>3545</v>
      </c>
      <c r="B2285">
        <f>I1025</f>
        <v>60</v>
      </c>
      <c r="E2285" t="s">
        <v>5774</v>
      </c>
      <c r="F2285" s="49">
        <v>35</v>
      </c>
    </row>
    <row r="2286" spans="1:6" ht="15" customHeight="1" x14ac:dyDescent="0.3">
      <c r="A2286" t="s">
        <v>2192</v>
      </c>
      <c r="B2286">
        <f>I998</f>
        <v>75</v>
      </c>
      <c r="E2286" t="s">
        <v>5992</v>
      </c>
      <c r="F2286" s="49">
        <v>35</v>
      </c>
    </row>
    <row r="2287" spans="1:6" ht="15" customHeight="1" x14ac:dyDescent="0.3">
      <c r="A2287" t="s">
        <v>2193</v>
      </c>
      <c r="B2287">
        <f>I991</f>
        <v>65</v>
      </c>
      <c r="E2287" t="s">
        <v>5775</v>
      </c>
      <c r="F2287" s="49">
        <v>35</v>
      </c>
    </row>
    <row r="2288" spans="1:6" ht="15" customHeight="1" x14ac:dyDescent="0.3">
      <c r="A2288" t="s">
        <v>12203</v>
      </c>
      <c r="B2288">
        <f>I993</f>
        <v>85</v>
      </c>
      <c r="E2288" t="s">
        <v>10318</v>
      </c>
      <c r="F2288" s="49">
        <v>35</v>
      </c>
    </row>
    <row r="2289" spans="1:6" ht="15" customHeight="1" x14ac:dyDescent="0.3">
      <c r="A2289" t="s">
        <v>12204</v>
      </c>
      <c r="B2289">
        <f>I993</f>
        <v>85</v>
      </c>
      <c r="E2289" t="s">
        <v>5776</v>
      </c>
      <c r="F2289" s="49">
        <v>40</v>
      </c>
    </row>
    <row r="2290" spans="1:6" ht="15" customHeight="1" x14ac:dyDescent="0.3">
      <c r="A2290" t="s">
        <v>2194</v>
      </c>
      <c r="B2290">
        <f>I992</f>
        <v>65</v>
      </c>
      <c r="E2290" t="s">
        <v>5777</v>
      </c>
      <c r="F2290" s="49">
        <v>30</v>
      </c>
    </row>
    <row r="2291" spans="1:6" ht="15" customHeight="1" x14ac:dyDescent="0.3">
      <c r="A2291" t="s">
        <v>2195</v>
      </c>
      <c r="B2291">
        <f>I991</f>
        <v>65</v>
      </c>
      <c r="E2291" t="s">
        <v>5778</v>
      </c>
      <c r="F2291" s="49">
        <v>35</v>
      </c>
    </row>
    <row r="2292" spans="1:6" ht="15" customHeight="1" x14ac:dyDescent="0.3">
      <c r="A2292" t="s">
        <v>2196</v>
      </c>
      <c r="B2292">
        <f>I992</f>
        <v>65</v>
      </c>
      <c r="E2292" t="s">
        <v>5993</v>
      </c>
      <c r="F2292" s="49">
        <v>35</v>
      </c>
    </row>
    <row r="2293" spans="1:6" ht="15" customHeight="1" x14ac:dyDescent="0.3">
      <c r="A2293" t="s">
        <v>2197</v>
      </c>
      <c r="B2293">
        <f>I994</f>
        <v>75</v>
      </c>
      <c r="E2293" t="s">
        <v>6065</v>
      </c>
      <c r="F2293" s="49">
        <v>35</v>
      </c>
    </row>
    <row r="2294" spans="1:6" ht="15" customHeight="1" x14ac:dyDescent="0.3">
      <c r="A2294" t="s">
        <v>10556</v>
      </c>
      <c r="B2294">
        <f>I994</f>
        <v>75</v>
      </c>
      <c r="E2294" t="s">
        <v>5234</v>
      </c>
      <c r="F2294" s="49">
        <v>35</v>
      </c>
    </row>
    <row r="2295" spans="1:6" ht="15" customHeight="1" x14ac:dyDescent="0.3">
      <c r="A2295" t="s">
        <v>10557</v>
      </c>
      <c r="B2295">
        <f>I994</f>
        <v>75</v>
      </c>
      <c r="E2295" t="s">
        <v>5779</v>
      </c>
      <c r="F2295" s="49">
        <v>30</v>
      </c>
    </row>
    <row r="2296" spans="1:6" ht="15" customHeight="1" x14ac:dyDescent="0.3">
      <c r="A2296" t="s">
        <v>10962</v>
      </c>
      <c r="B2296">
        <f>I996</f>
        <v>80</v>
      </c>
      <c r="E2296" t="s">
        <v>5780</v>
      </c>
      <c r="F2296" s="49">
        <v>30</v>
      </c>
    </row>
    <row r="2297" spans="1:6" ht="15" customHeight="1" x14ac:dyDescent="0.3">
      <c r="A2297" t="s">
        <v>10963</v>
      </c>
      <c r="B2297">
        <f>I996</f>
        <v>80</v>
      </c>
      <c r="E2297" t="s">
        <v>5367</v>
      </c>
      <c r="F2297" s="49">
        <v>35</v>
      </c>
    </row>
    <row r="2298" spans="1:6" ht="15" customHeight="1" x14ac:dyDescent="0.3">
      <c r="A2298" t="s">
        <v>13646</v>
      </c>
      <c r="B2298">
        <f>I997</f>
        <v>90</v>
      </c>
      <c r="E2298" t="s">
        <v>5781</v>
      </c>
      <c r="F2298" s="49">
        <v>35</v>
      </c>
    </row>
    <row r="2299" spans="1:6" ht="15" customHeight="1" x14ac:dyDescent="0.3">
      <c r="A2299" t="s">
        <v>13647</v>
      </c>
      <c r="B2299">
        <f>B2298</f>
        <v>90</v>
      </c>
      <c r="E2299" t="s">
        <v>5235</v>
      </c>
      <c r="F2299" s="49">
        <v>35</v>
      </c>
    </row>
    <row r="2300" spans="1:6" ht="15" customHeight="1" x14ac:dyDescent="0.3">
      <c r="A2300" t="s">
        <v>2198</v>
      </c>
      <c r="B2300">
        <f>I938</f>
        <v>55</v>
      </c>
      <c r="E2300" t="s">
        <v>5913</v>
      </c>
      <c r="F2300" s="49">
        <v>35</v>
      </c>
    </row>
    <row r="2301" spans="1:6" ht="15" customHeight="1" x14ac:dyDescent="0.3">
      <c r="A2301" t="s">
        <v>2199</v>
      </c>
      <c r="B2301">
        <f>I939</f>
        <v>65</v>
      </c>
      <c r="E2301" t="s">
        <v>5368</v>
      </c>
      <c r="F2301" s="49">
        <v>35</v>
      </c>
    </row>
    <row r="2302" spans="1:6" ht="15" customHeight="1" x14ac:dyDescent="0.3">
      <c r="A2302" t="s">
        <v>2200</v>
      </c>
      <c r="B2302">
        <f>I940</f>
        <v>65</v>
      </c>
      <c r="E2302" t="s">
        <v>5369</v>
      </c>
      <c r="F2302" s="49">
        <v>35</v>
      </c>
    </row>
    <row r="2303" spans="1:6" ht="15" customHeight="1" x14ac:dyDescent="0.3">
      <c r="A2303" t="s">
        <v>2201</v>
      </c>
      <c r="B2303">
        <f>I940</f>
        <v>65</v>
      </c>
      <c r="E2303" t="s">
        <v>5782</v>
      </c>
      <c r="F2303" s="49">
        <v>35</v>
      </c>
    </row>
    <row r="2304" spans="1:6" ht="15" customHeight="1" x14ac:dyDescent="0.3">
      <c r="A2304" t="s">
        <v>2202</v>
      </c>
      <c r="B2304">
        <f>I941</f>
        <v>65</v>
      </c>
      <c r="E2304" t="s">
        <v>10319</v>
      </c>
      <c r="F2304" s="49">
        <v>35</v>
      </c>
    </row>
    <row r="2305" spans="1:6" ht="15" customHeight="1" x14ac:dyDescent="0.3">
      <c r="A2305" t="s">
        <v>2000</v>
      </c>
      <c r="B2305">
        <f>I942</f>
        <v>80</v>
      </c>
      <c r="E2305" t="s">
        <v>5236</v>
      </c>
      <c r="F2305" s="49">
        <v>35</v>
      </c>
    </row>
    <row r="2306" spans="1:6" ht="15" customHeight="1" x14ac:dyDescent="0.3">
      <c r="A2306" t="s">
        <v>10545</v>
      </c>
      <c r="B2306">
        <f>I944</f>
        <v>100</v>
      </c>
      <c r="E2306" t="s">
        <v>6056</v>
      </c>
      <c r="F2306" s="49">
        <v>40</v>
      </c>
    </row>
    <row r="2307" spans="1:6" ht="15" customHeight="1" x14ac:dyDescent="0.3">
      <c r="A2307" t="s">
        <v>10546</v>
      </c>
      <c r="B2307">
        <f>I944</f>
        <v>100</v>
      </c>
      <c r="E2307" t="s">
        <v>5783</v>
      </c>
      <c r="F2307" s="49">
        <v>35</v>
      </c>
    </row>
    <row r="2308" spans="1:6" ht="15" customHeight="1" x14ac:dyDescent="0.3">
      <c r="A2308" t="s">
        <v>2203</v>
      </c>
      <c r="B2308">
        <f>I945</f>
        <v>60</v>
      </c>
      <c r="E2308" t="s">
        <v>5784</v>
      </c>
      <c r="F2308" s="49">
        <v>35</v>
      </c>
    </row>
    <row r="2309" spans="1:6" ht="15" customHeight="1" x14ac:dyDescent="0.3">
      <c r="A2309" t="s">
        <v>2001</v>
      </c>
      <c r="B2309">
        <f>I946</f>
        <v>75</v>
      </c>
      <c r="E2309" t="s">
        <v>5237</v>
      </c>
      <c r="F2309" s="49">
        <v>35</v>
      </c>
    </row>
    <row r="2310" spans="1:6" ht="15" customHeight="1" x14ac:dyDescent="0.3">
      <c r="A2310" t="s">
        <v>2416</v>
      </c>
      <c r="B2310">
        <f>I948</f>
        <v>95</v>
      </c>
      <c r="E2310" t="s">
        <v>5370</v>
      </c>
      <c r="F2310" s="49">
        <v>40</v>
      </c>
    </row>
    <row r="2311" spans="1:6" ht="15" customHeight="1" x14ac:dyDescent="0.3">
      <c r="A2311" t="s">
        <v>2585</v>
      </c>
      <c r="B2311">
        <f>I948</f>
        <v>95</v>
      </c>
      <c r="E2311" t="s">
        <v>6071</v>
      </c>
      <c r="F2311" s="49">
        <v>35</v>
      </c>
    </row>
    <row r="2312" spans="1:6" ht="15" customHeight="1" x14ac:dyDescent="0.3">
      <c r="A2312" t="s">
        <v>2204</v>
      </c>
      <c r="B2312">
        <f>I945</f>
        <v>60</v>
      </c>
      <c r="E2312" t="s">
        <v>5994</v>
      </c>
      <c r="F2312" s="49">
        <v>35</v>
      </c>
    </row>
    <row r="2313" spans="1:6" ht="15" customHeight="1" x14ac:dyDescent="0.3">
      <c r="A2313" t="s">
        <v>2002</v>
      </c>
      <c r="B2313">
        <f>I946</f>
        <v>75</v>
      </c>
      <c r="E2313" t="s">
        <v>6035</v>
      </c>
      <c r="F2313" s="49">
        <v>40</v>
      </c>
    </row>
    <row r="2314" spans="1:6" ht="15" customHeight="1" x14ac:dyDescent="0.3">
      <c r="A2314" t="s">
        <v>2417</v>
      </c>
      <c r="B2314">
        <f>I948</f>
        <v>95</v>
      </c>
      <c r="E2314" t="s">
        <v>5995</v>
      </c>
      <c r="F2314" s="49">
        <v>35</v>
      </c>
    </row>
    <row r="2315" spans="1:6" ht="15" customHeight="1" x14ac:dyDescent="0.3">
      <c r="A2315" t="s">
        <v>2584</v>
      </c>
      <c r="B2315">
        <f>I948</f>
        <v>95</v>
      </c>
      <c r="E2315" t="s">
        <v>5371</v>
      </c>
      <c r="F2315" s="49">
        <v>35</v>
      </c>
    </row>
    <row r="2316" spans="1:6" ht="15" customHeight="1" x14ac:dyDescent="0.3">
      <c r="A2316" t="s">
        <v>10544</v>
      </c>
      <c r="B2316">
        <f>I945</f>
        <v>60</v>
      </c>
      <c r="E2316" t="s">
        <v>5372</v>
      </c>
      <c r="F2316" s="49">
        <v>30</v>
      </c>
    </row>
    <row r="2317" spans="1:6" ht="15" customHeight="1" x14ac:dyDescent="0.3">
      <c r="A2317" t="s">
        <v>2205</v>
      </c>
      <c r="B2317">
        <f>I949</f>
        <v>65</v>
      </c>
      <c r="E2317" t="s">
        <v>5373</v>
      </c>
      <c r="F2317" s="49">
        <v>35</v>
      </c>
    </row>
    <row r="2318" spans="1:6" ht="15" customHeight="1" x14ac:dyDescent="0.3">
      <c r="A2318" t="s">
        <v>2003</v>
      </c>
      <c r="B2318">
        <f>I950</f>
        <v>80</v>
      </c>
      <c r="E2318" t="s">
        <v>5374</v>
      </c>
      <c r="F2318" s="49">
        <v>30</v>
      </c>
    </row>
    <row r="2319" spans="1:6" ht="15" customHeight="1" x14ac:dyDescent="0.3">
      <c r="A2319" t="s">
        <v>12144</v>
      </c>
      <c r="B2319">
        <f>I951</f>
        <v>90</v>
      </c>
      <c r="E2319" t="s">
        <v>5375</v>
      </c>
      <c r="F2319" s="49">
        <v>30</v>
      </c>
    </row>
    <row r="2320" spans="1:6" ht="15" customHeight="1" x14ac:dyDescent="0.3">
      <c r="A2320" t="s">
        <v>12145</v>
      </c>
      <c r="B2320">
        <f>I951</f>
        <v>90</v>
      </c>
      <c r="E2320" t="s">
        <v>5238</v>
      </c>
      <c r="F2320" s="49">
        <v>30</v>
      </c>
    </row>
    <row r="2321" spans="1:6" ht="15" customHeight="1" x14ac:dyDescent="0.3">
      <c r="A2321" t="s">
        <v>12146</v>
      </c>
      <c r="B2321">
        <f>I952</f>
        <v>100</v>
      </c>
      <c r="E2321" t="s">
        <v>5376</v>
      </c>
      <c r="F2321" s="49">
        <v>35</v>
      </c>
    </row>
    <row r="2322" spans="1:6" ht="15" customHeight="1" x14ac:dyDescent="0.3">
      <c r="A2322" t="s">
        <v>12147</v>
      </c>
      <c r="B2322">
        <f>I952</f>
        <v>100</v>
      </c>
      <c r="E2322" t="s">
        <v>5377</v>
      </c>
      <c r="F2322" s="49">
        <v>35</v>
      </c>
    </row>
    <row r="2323" spans="1:6" ht="15" customHeight="1" x14ac:dyDescent="0.3">
      <c r="A2323" t="s">
        <v>3246</v>
      </c>
      <c r="B2323">
        <f>I953</f>
        <v>80</v>
      </c>
      <c r="E2323" t="s">
        <v>5378</v>
      </c>
      <c r="F2323" s="49">
        <v>35</v>
      </c>
    </row>
    <row r="2324" spans="1:6" ht="15" customHeight="1" x14ac:dyDescent="0.3">
      <c r="A2324" t="s">
        <v>2004</v>
      </c>
      <c r="B2324">
        <f>I954</f>
        <v>90</v>
      </c>
      <c r="E2324" t="s">
        <v>5379</v>
      </c>
      <c r="F2324" s="49">
        <v>30</v>
      </c>
    </row>
    <row r="2325" spans="1:6" ht="15" customHeight="1" x14ac:dyDescent="0.3">
      <c r="A2325" t="s">
        <v>2418</v>
      </c>
      <c r="B2325">
        <f>I956</f>
        <v>110</v>
      </c>
      <c r="E2325" t="s">
        <v>5239</v>
      </c>
      <c r="F2325" s="49">
        <v>35</v>
      </c>
    </row>
    <row r="2326" spans="1:6" ht="15" customHeight="1" x14ac:dyDescent="0.3">
      <c r="A2326" t="s">
        <v>2583</v>
      </c>
      <c r="B2326">
        <f>I956</f>
        <v>110</v>
      </c>
      <c r="E2326" t="s">
        <v>5380</v>
      </c>
      <c r="F2326" s="49">
        <v>35</v>
      </c>
    </row>
    <row r="2327" spans="1:6" ht="15" customHeight="1" x14ac:dyDescent="0.3">
      <c r="A2327" t="s">
        <v>10628</v>
      </c>
      <c r="B2327">
        <f>I959</f>
        <v>80</v>
      </c>
      <c r="E2327" t="s">
        <v>5381</v>
      </c>
      <c r="F2327" s="49">
        <v>35</v>
      </c>
    </row>
    <row r="2328" spans="1:6" ht="15" customHeight="1" x14ac:dyDescent="0.3">
      <c r="A2328" t="s">
        <v>10629</v>
      </c>
      <c r="B2328">
        <f>I959</f>
        <v>80</v>
      </c>
      <c r="E2328" t="s">
        <v>5785</v>
      </c>
      <c r="F2328" s="49">
        <v>35</v>
      </c>
    </row>
    <row r="2329" spans="1:6" ht="15" customHeight="1" x14ac:dyDescent="0.3">
      <c r="A2329" t="s">
        <v>3550</v>
      </c>
      <c r="B2329">
        <f>I953</f>
        <v>80</v>
      </c>
      <c r="E2329" t="s">
        <v>5382</v>
      </c>
      <c r="F2329" s="49">
        <v>35</v>
      </c>
    </row>
    <row r="2330" spans="1:6" ht="15" customHeight="1" x14ac:dyDescent="0.3">
      <c r="A2330" t="s">
        <v>2005</v>
      </c>
      <c r="B2330">
        <f>I954</f>
        <v>90</v>
      </c>
      <c r="E2330" t="s">
        <v>5240</v>
      </c>
      <c r="F2330" s="49">
        <v>30</v>
      </c>
    </row>
    <row r="2331" spans="1:6" ht="15" customHeight="1" x14ac:dyDescent="0.3">
      <c r="A2331" t="s">
        <v>2419</v>
      </c>
      <c r="B2331">
        <f>I958</f>
        <v>110</v>
      </c>
      <c r="E2331" t="s">
        <v>5786</v>
      </c>
      <c r="F2331" s="49">
        <v>35</v>
      </c>
    </row>
    <row r="2332" spans="1:6" ht="15" customHeight="1" x14ac:dyDescent="0.3">
      <c r="A2332" t="s">
        <v>2582</v>
      </c>
      <c r="B2332">
        <f>I958</f>
        <v>110</v>
      </c>
      <c r="E2332" t="s">
        <v>5787</v>
      </c>
      <c r="F2332" s="49">
        <v>35</v>
      </c>
    </row>
    <row r="2333" spans="1:6" ht="15" customHeight="1" x14ac:dyDescent="0.3">
      <c r="A2333" t="s">
        <v>2207</v>
      </c>
      <c r="B2333">
        <f>I960</f>
        <v>60</v>
      </c>
      <c r="E2333" t="s">
        <v>5383</v>
      </c>
      <c r="F2333" s="49">
        <v>35</v>
      </c>
    </row>
    <row r="2334" spans="1:6" ht="15" customHeight="1" x14ac:dyDescent="0.3">
      <c r="A2334" t="s">
        <v>2006</v>
      </c>
      <c r="B2334">
        <f>I961</f>
        <v>80</v>
      </c>
      <c r="E2334" t="s">
        <v>5914</v>
      </c>
      <c r="F2334" s="49">
        <v>35</v>
      </c>
    </row>
    <row r="2335" spans="1:6" ht="15" customHeight="1" x14ac:dyDescent="0.3">
      <c r="A2335" t="s">
        <v>10615</v>
      </c>
      <c r="B2335">
        <f>I963</f>
        <v>100</v>
      </c>
      <c r="E2335" t="s">
        <v>12711</v>
      </c>
      <c r="F2335" s="49">
        <v>35</v>
      </c>
    </row>
    <row r="2336" spans="1:6" ht="15" customHeight="1" x14ac:dyDescent="0.3">
      <c r="A2336" t="s">
        <v>10616</v>
      </c>
      <c r="B2336">
        <f>I963</f>
        <v>100</v>
      </c>
      <c r="E2336" t="s">
        <v>12712</v>
      </c>
      <c r="F2336" s="49">
        <v>35</v>
      </c>
    </row>
    <row r="2337" spans="1:6" ht="15" customHeight="1" x14ac:dyDescent="0.3">
      <c r="A2337" t="s">
        <v>2208</v>
      </c>
      <c r="B2337">
        <f>I964</f>
        <v>70</v>
      </c>
      <c r="E2337" t="s">
        <v>5792</v>
      </c>
      <c r="F2337" s="49">
        <v>35</v>
      </c>
    </row>
    <row r="2338" spans="1:6" ht="15" customHeight="1" x14ac:dyDescent="0.3">
      <c r="A2338" t="s">
        <v>2007</v>
      </c>
      <c r="B2338">
        <f>I965</f>
        <v>85</v>
      </c>
      <c r="E2338" t="s">
        <v>5241</v>
      </c>
      <c r="F2338" s="49">
        <v>35</v>
      </c>
    </row>
    <row r="2339" spans="1:6" ht="15" customHeight="1" x14ac:dyDescent="0.3">
      <c r="A2339" t="s">
        <v>12321</v>
      </c>
      <c r="B2339">
        <f>I966</f>
        <v>90</v>
      </c>
      <c r="E2339" t="s">
        <v>5793</v>
      </c>
      <c r="F2339" s="49">
        <v>40</v>
      </c>
    </row>
    <row r="2340" spans="1:6" ht="15" customHeight="1" x14ac:dyDescent="0.3">
      <c r="A2340" t="s">
        <v>12320</v>
      </c>
      <c r="B2340">
        <f>I966</f>
        <v>90</v>
      </c>
      <c r="E2340" t="s">
        <v>12713</v>
      </c>
      <c r="F2340" s="49">
        <v>30</v>
      </c>
    </row>
    <row r="2341" spans="1:6" ht="15" customHeight="1" x14ac:dyDescent="0.3">
      <c r="A2341" t="s">
        <v>12499</v>
      </c>
      <c r="B2341">
        <f>I967</f>
        <v>100</v>
      </c>
      <c r="E2341" t="s">
        <v>12714</v>
      </c>
      <c r="F2341" s="49">
        <v>35</v>
      </c>
    </row>
    <row r="2342" spans="1:6" ht="15" customHeight="1" x14ac:dyDescent="0.3">
      <c r="A2342" t="s">
        <v>12500</v>
      </c>
      <c r="B2342">
        <f>I967</f>
        <v>100</v>
      </c>
      <c r="E2342" t="s">
        <v>5798</v>
      </c>
      <c r="F2342" s="49">
        <v>35</v>
      </c>
    </row>
    <row r="2343" spans="1:6" ht="15" customHeight="1" x14ac:dyDescent="0.3">
      <c r="A2343" t="s">
        <v>2206</v>
      </c>
      <c r="B2343">
        <f>I953</f>
        <v>80</v>
      </c>
      <c r="E2343" t="s">
        <v>5799</v>
      </c>
      <c r="F2343" s="49">
        <v>35</v>
      </c>
    </row>
    <row r="2344" spans="1:6" ht="15" customHeight="1" x14ac:dyDescent="0.3">
      <c r="A2344" t="s">
        <v>2209</v>
      </c>
      <c r="B2344">
        <f>I968</f>
        <v>80</v>
      </c>
      <c r="E2344" t="s">
        <v>5800</v>
      </c>
      <c r="F2344" s="49">
        <v>35</v>
      </c>
    </row>
    <row r="2345" spans="1:6" ht="15" customHeight="1" x14ac:dyDescent="0.3">
      <c r="A2345" t="s">
        <v>3251</v>
      </c>
      <c r="B2345">
        <f>I969</f>
        <v>80</v>
      </c>
      <c r="E2345" t="s">
        <v>5801</v>
      </c>
      <c r="F2345" s="49">
        <v>35</v>
      </c>
    </row>
    <row r="2346" spans="1:6" ht="15" customHeight="1" x14ac:dyDescent="0.3">
      <c r="A2346" t="s">
        <v>2211</v>
      </c>
      <c r="B2346">
        <f>I973</f>
        <v>65</v>
      </c>
      <c r="E2346" t="s">
        <v>6072</v>
      </c>
      <c r="F2346" s="49">
        <v>40</v>
      </c>
    </row>
    <row r="2347" spans="1:6" ht="15" customHeight="1" x14ac:dyDescent="0.3">
      <c r="A2347" t="s">
        <v>2008</v>
      </c>
      <c r="B2347">
        <f>I970</f>
        <v>85</v>
      </c>
      <c r="E2347" t="s">
        <v>12715</v>
      </c>
      <c r="F2347" s="49">
        <v>35</v>
      </c>
    </row>
    <row r="2348" spans="1:6" ht="15" customHeight="1" x14ac:dyDescent="0.3">
      <c r="A2348" t="s">
        <v>2420</v>
      </c>
      <c r="B2348">
        <f>I972</f>
        <v>105</v>
      </c>
      <c r="E2348" t="s">
        <v>12716</v>
      </c>
      <c r="F2348" s="49">
        <v>35</v>
      </c>
    </row>
    <row r="2349" spans="1:6" ht="15" customHeight="1" x14ac:dyDescent="0.3">
      <c r="A2349" t="s">
        <v>2581</v>
      </c>
      <c r="B2349">
        <f>I972</f>
        <v>105</v>
      </c>
      <c r="E2349" t="s">
        <v>5806</v>
      </c>
      <c r="F2349" s="49">
        <v>35</v>
      </c>
    </row>
    <row r="2350" spans="1:6" ht="15" customHeight="1" x14ac:dyDescent="0.3">
      <c r="A2350" t="s">
        <v>2009</v>
      </c>
      <c r="B2350">
        <f>I974</f>
        <v>80</v>
      </c>
      <c r="E2350" t="s">
        <v>12717</v>
      </c>
      <c r="F2350" s="49">
        <v>35</v>
      </c>
    </row>
    <row r="2351" spans="1:6" ht="15" customHeight="1" x14ac:dyDescent="0.3">
      <c r="A2351" t="s">
        <v>6592</v>
      </c>
      <c r="B2351">
        <f>I976</f>
        <v>100</v>
      </c>
      <c r="E2351" t="s">
        <v>5838</v>
      </c>
      <c r="F2351" s="49">
        <v>40</v>
      </c>
    </row>
    <row r="2352" spans="1:6" ht="15" customHeight="1" x14ac:dyDescent="0.3">
      <c r="A2352" t="s">
        <v>6593</v>
      </c>
      <c r="B2352">
        <f>I976</f>
        <v>100</v>
      </c>
      <c r="E2352" t="s">
        <v>5387</v>
      </c>
      <c r="F2352" s="49">
        <v>35</v>
      </c>
    </row>
    <row r="2353" spans="1:6" ht="15" customHeight="1" x14ac:dyDescent="0.3">
      <c r="A2353" t="s">
        <v>2210</v>
      </c>
      <c r="B2353">
        <f>I969</f>
        <v>80</v>
      </c>
      <c r="E2353" t="s">
        <v>5918</v>
      </c>
      <c r="F2353" s="49">
        <v>35</v>
      </c>
    </row>
    <row r="2354" spans="1:6" ht="15" customHeight="1" x14ac:dyDescent="0.3">
      <c r="A2354" s="42" t="s">
        <v>1870</v>
      </c>
      <c r="B2354">
        <f>I73</f>
        <v>65</v>
      </c>
      <c r="C2354" t="s">
        <v>12784</v>
      </c>
      <c r="E2354" t="s">
        <v>5839</v>
      </c>
      <c r="F2354" s="49">
        <v>35</v>
      </c>
    </row>
    <row r="2355" spans="1:6" ht="15" customHeight="1" x14ac:dyDescent="0.3">
      <c r="A2355" s="42" t="s">
        <v>2345</v>
      </c>
      <c r="B2355">
        <f>I75</f>
        <v>90</v>
      </c>
      <c r="C2355" t="s">
        <v>12756</v>
      </c>
      <c r="E2355" t="s">
        <v>5999</v>
      </c>
      <c r="F2355" s="49">
        <v>35</v>
      </c>
    </row>
    <row r="2356" spans="1:6" ht="15" customHeight="1" x14ac:dyDescent="0.3">
      <c r="A2356" s="42" t="s">
        <v>10418</v>
      </c>
      <c r="B2356">
        <f>B127</f>
        <v>75</v>
      </c>
      <c r="C2356" t="s">
        <v>12758</v>
      </c>
      <c r="E2356" t="s">
        <v>3688</v>
      </c>
      <c r="F2356" s="49">
        <v>40</v>
      </c>
    </row>
    <row r="2357" spans="1:6" ht="15" customHeight="1" x14ac:dyDescent="0.3">
      <c r="A2357" s="42" t="s">
        <v>10561</v>
      </c>
      <c r="B2357">
        <f>B129</f>
        <v>85</v>
      </c>
      <c r="C2357" t="s">
        <v>12759</v>
      </c>
      <c r="E2357" t="s">
        <v>5808</v>
      </c>
      <c r="F2357" s="49">
        <v>35</v>
      </c>
    </row>
    <row r="2358" spans="1:6" ht="15" customHeight="1" x14ac:dyDescent="0.3">
      <c r="A2358" s="42" t="s">
        <v>10419</v>
      </c>
      <c r="B2358">
        <f>B135</f>
        <v>90</v>
      </c>
      <c r="C2358" t="s">
        <v>12761</v>
      </c>
      <c r="E2358" t="s">
        <v>5810</v>
      </c>
      <c r="F2358" s="49">
        <v>35</v>
      </c>
    </row>
    <row r="2359" spans="1:6" ht="15" customHeight="1" x14ac:dyDescent="0.3">
      <c r="A2359" s="42" t="s">
        <v>10562</v>
      </c>
      <c r="B2359">
        <f>B137</f>
        <v>105</v>
      </c>
      <c r="C2359" t="s">
        <v>12762</v>
      </c>
      <c r="E2359" t="s">
        <v>12718</v>
      </c>
      <c r="F2359" s="49">
        <v>35</v>
      </c>
    </row>
    <row r="2360" spans="1:6" ht="15" customHeight="1" x14ac:dyDescent="0.3">
      <c r="A2360" s="42" t="s">
        <v>10420</v>
      </c>
      <c r="B2360">
        <f>B143</f>
        <v>75</v>
      </c>
      <c r="C2360" t="s">
        <v>12764</v>
      </c>
      <c r="E2360" t="s">
        <v>12719</v>
      </c>
      <c r="F2360" s="49">
        <v>35</v>
      </c>
    </row>
    <row r="2361" spans="1:6" ht="15" customHeight="1" x14ac:dyDescent="0.3">
      <c r="A2361" s="42" t="s">
        <v>10567</v>
      </c>
      <c r="B2361">
        <f>I87</f>
        <v>95</v>
      </c>
      <c r="C2361" t="s">
        <v>12785</v>
      </c>
      <c r="E2361" t="s">
        <v>5816</v>
      </c>
      <c r="F2361" s="49">
        <v>35</v>
      </c>
    </row>
    <row r="2362" spans="1:6" ht="15" customHeight="1" x14ac:dyDescent="0.3">
      <c r="A2362" s="42" t="s">
        <v>10563</v>
      </c>
      <c r="B2362">
        <f>I87</f>
        <v>95</v>
      </c>
      <c r="C2362" t="s">
        <v>12785</v>
      </c>
      <c r="E2362" t="s">
        <v>5818</v>
      </c>
      <c r="F2362" s="49">
        <v>35</v>
      </c>
    </row>
    <row r="2363" spans="1:6" ht="15" customHeight="1" x14ac:dyDescent="0.3">
      <c r="A2363" s="42" t="s">
        <v>10568</v>
      </c>
      <c r="B2363">
        <f>I87</f>
        <v>95</v>
      </c>
      <c r="C2363" t="s">
        <v>12785</v>
      </c>
      <c r="E2363" t="s">
        <v>5915</v>
      </c>
      <c r="F2363" s="49">
        <v>35</v>
      </c>
    </row>
    <row r="2364" spans="1:6" ht="15" customHeight="1" x14ac:dyDescent="0.3">
      <c r="A2364" s="42" t="s">
        <v>10569</v>
      </c>
      <c r="B2364">
        <f>I87</f>
        <v>95</v>
      </c>
      <c r="C2364" t="s">
        <v>12785</v>
      </c>
      <c r="E2364" t="s">
        <v>12720</v>
      </c>
      <c r="F2364" s="49">
        <v>35</v>
      </c>
    </row>
    <row r="2365" spans="1:6" ht="15" customHeight="1" x14ac:dyDescent="0.3">
      <c r="A2365" s="42" t="s">
        <v>10421</v>
      </c>
      <c r="B2365">
        <f>B152</f>
        <v>80</v>
      </c>
      <c r="C2365" t="s">
        <v>12766</v>
      </c>
      <c r="E2365" t="s">
        <v>12721</v>
      </c>
      <c r="F2365" s="49">
        <v>35</v>
      </c>
    </row>
    <row r="2366" spans="1:6" ht="15" customHeight="1" x14ac:dyDescent="0.3">
      <c r="A2366" s="42" t="s">
        <v>10564</v>
      </c>
      <c r="B2366">
        <f>B155</f>
        <v>90</v>
      </c>
      <c r="C2366" t="s">
        <v>12767</v>
      </c>
      <c r="E2366" t="s">
        <v>5996</v>
      </c>
      <c r="F2366" s="49">
        <v>35</v>
      </c>
    </row>
    <row r="2367" spans="1:6" ht="15" customHeight="1" x14ac:dyDescent="0.3">
      <c r="A2367" t="s">
        <v>3253</v>
      </c>
      <c r="B2367">
        <f>I977</f>
        <v>80</v>
      </c>
      <c r="E2367" t="s">
        <v>5823</v>
      </c>
      <c r="F2367" s="49">
        <v>35</v>
      </c>
    </row>
    <row r="2368" spans="1:6" ht="15" customHeight="1" x14ac:dyDescent="0.3">
      <c r="A2368" t="s">
        <v>12353</v>
      </c>
      <c r="B2368">
        <f>I979</f>
        <v>95</v>
      </c>
      <c r="E2368" t="s">
        <v>5384</v>
      </c>
      <c r="F2368" s="49">
        <v>35</v>
      </c>
    </row>
    <row r="2369" spans="1:6" ht="15" customHeight="1" x14ac:dyDescent="0.3">
      <c r="A2369" t="s">
        <v>12355</v>
      </c>
      <c r="B2369">
        <f>I980</f>
        <v>105</v>
      </c>
      <c r="E2369" t="s">
        <v>5997</v>
      </c>
      <c r="F2369" s="49">
        <v>35</v>
      </c>
    </row>
    <row r="2370" spans="1:6" ht="15" customHeight="1" x14ac:dyDescent="0.3">
      <c r="A2370" t="s">
        <v>2213</v>
      </c>
      <c r="B2370">
        <f>I981</f>
        <v>65</v>
      </c>
      <c r="E2370" t="s">
        <v>5824</v>
      </c>
      <c r="F2370" s="49">
        <v>35</v>
      </c>
    </row>
    <row r="2371" spans="1:6" ht="15" customHeight="1" x14ac:dyDescent="0.3">
      <c r="A2371" t="s">
        <v>2010</v>
      </c>
      <c r="B2371">
        <f>I978</f>
        <v>90</v>
      </c>
      <c r="E2371" t="s">
        <v>12722</v>
      </c>
      <c r="F2371" s="49">
        <v>35</v>
      </c>
    </row>
    <row r="2372" spans="1:6" ht="15" customHeight="1" x14ac:dyDescent="0.3">
      <c r="A2372" t="s">
        <v>12352</v>
      </c>
      <c r="B2372">
        <f>I979</f>
        <v>95</v>
      </c>
      <c r="E2372" t="s">
        <v>12723</v>
      </c>
      <c r="F2372" s="49">
        <v>35</v>
      </c>
    </row>
    <row r="2373" spans="1:6" ht="15" customHeight="1" x14ac:dyDescent="0.3">
      <c r="A2373" t="s">
        <v>12354</v>
      </c>
      <c r="B2373">
        <f>I980</f>
        <v>105</v>
      </c>
      <c r="E2373" t="s">
        <v>12724</v>
      </c>
      <c r="F2373" s="49">
        <v>35</v>
      </c>
    </row>
    <row r="2374" spans="1:6" ht="15" customHeight="1" x14ac:dyDescent="0.3">
      <c r="A2374" t="s">
        <v>2011</v>
      </c>
      <c r="B2374">
        <f>I982</f>
        <v>80</v>
      </c>
      <c r="E2374" t="s">
        <v>12725</v>
      </c>
      <c r="F2374" s="49">
        <v>45</v>
      </c>
    </row>
    <row r="2375" spans="1:6" ht="15" customHeight="1" x14ac:dyDescent="0.3">
      <c r="A2375" t="s">
        <v>2421</v>
      </c>
      <c r="B2375">
        <f>I984</f>
        <v>105</v>
      </c>
      <c r="E2375" t="s">
        <v>12726</v>
      </c>
      <c r="F2375" s="49">
        <v>35</v>
      </c>
    </row>
    <row r="2376" spans="1:6" ht="15" customHeight="1" x14ac:dyDescent="0.3">
      <c r="A2376" t="s">
        <v>2580</v>
      </c>
      <c r="B2376">
        <f>I984</f>
        <v>105</v>
      </c>
      <c r="E2376" t="s">
        <v>12727</v>
      </c>
      <c r="F2376" s="49">
        <v>35</v>
      </c>
    </row>
    <row r="2377" spans="1:6" ht="15" customHeight="1" x14ac:dyDescent="0.3">
      <c r="A2377" t="s">
        <v>2212</v>
      </c>
      <c r="B2377">
        <f>I977</f>
        <v>80</v>
      </c>
      <c r="E2377" t="s">
        <v>12728</v>
      </c>
      <c r="F2377" s="49">
        <v>35</v>
      </c>
    </row>
    <row r="2378" spans="1:6" ht="15" customHeight="1" x14ac:dyDescent="0.3">
      <c r="A2378" t="s">
        <v>2214</v>
      </c>
      <c r="B2378">
        <f>I985</f>
        <v>75</v>
      </c>
      <c r="E2378" t="s">
        <v>12729</v>
      </c>
      <c r="F2378" s="49">
        <v>35</v>
      </c>
    </row>
    <row r="2379" spans="1:6" ht="15" customHeight="1" x14ac:dyDescent="0.3">
      <c r="A2379" t="s">
        <v>2012</v>
      </c>
      <c r="B2379">
        <f>I986</f>
        <v>85</v>
      </c>
      <c r="E2379" t="s">
        <v>12730</v>
      </c>
      <c r="F2379" s="49">
        <v>40</v>
      </c>
    </row>
    <row r="2380" spans="1:6" ht="15" customHeight="1" x14ac:dyDescent="0.3">
      <c r="A2380" t="s">
        <v>12822</v>
      </c>
      <c r="B2380">
        <f>I989</f>
        <v>90</v>
      </c>
      <c r="E2380" t="s">
        <v>5828</v>
      </c>
      <c r="F2380" s="49">
        <v>30</v>
      </c>
    </row>
    <row r="2381" spans="1:6" ht="15" customHeight="1" x14ac:dyDescent="0.3">
      <c r="A2381" t="s">
        <v>12823</v>
      </c>
      <c r="B2381">
        <f>I990</f>
        <v>100</v>
      </c>
      <c r="E2381" t="s">
        <v>5917</v>
      </c>
      <c r="F2381" s="49">
        <v>35</v>
      </c>
    </row>
    <row r="2382" spans="1:6" ht="15" customHeight="1" x14ac:dyDescent="0.3">
      <c r="A2382" t="s">
        <v>12824</v>
      </c>
      <c r="B2382">
        <f>I990</f>
        <v>100</v>
      </c>
      <c r="E2382" t="s">
        <v>5829</v>
      </c>
      <c r="F2382" s="49">
        <v>30</v>
      </c>
    </row>
    <row r="2383" spans="1:6" ht="15" customHeight="1" x14ac:dyDescent="0.3">
      <c r="A2383" t="s">
        <v>12274</v>
      </c>
      <c r="B2383">
        <f>I1026</f>
        <v>60</v>
      </c>
      <c r="E2383" s="75" t="s">
        <v>12738</v>
      </c>
      <c r="F2383" s="49">
        <v>35</v>
      </c>
    </row>
    <row r="2384" spans="1:6" ht="15" customHeight="1" x14ac:dyDescent="0.3">
      <c r="A2384" t="s">
        <v>12275</v>
      </c>
      <c r="B2384">
        <f>I1026</f>
        <v>60</v>
      </c>
      <c r="E2384" t="s">
        <v>5830</v>
      </c>
      <c r="F2384" s="49">
        <v>30</v>
      </c>
    </row>
    <row r="2385" spans="1:6" ht="15" customHeight="1" x14ac:dyDescent="0.3">
      <c r="A2385" t="s">
        <v>12886</v>
      </c>
      <c r="B2385">
        <f>I1132</f>
        <v>85</v>
      </c>
      <c r="E2385" t="s">
        <v>5831</v>
      </c>
      <c r="F2385" s="49">
        <v>35</v>
      </c>
    </row>
    <row r="2386" spans="1:6" ht="15" customHeight="1" x14ac:dyDescent="0.3">
      <c r="A2386" t="s">
        <v>12887</v>
      </c>
      <c r="B2386">
        <f>I1132</f>
        <v>85</v>
      </c>
      <c r="E2386" t="s">
        <v>12731</v>
      </c>
      <c r="F2386" s="49">
        <v>50</v>
      </c>
    </row>
    <row r="2387" spans="1:6" ht="15" customHeight="1" x14ac:dyDescent="0.3">
      <c r="A2387" t="s">
        <v>2229</v>
      </c>
      <c r="B2387">
        <f>I1027</f>
        <v>70</v>
      </c>
      <c r="E2387" t="s">
        <v>12732</v>
      </c>
      <c r="F2387" s="49">
        <v>40</v>
      </c>
    </row>
    <row r="2388" spans="1:6" ht="15" customHeight="1" x14ac:dyDescent="0.3">
      <c r="A2388" t="s">
        <v>12395</v>
      </c>
      <c r="B2388">
        <f>I1028</f>
        <v>65</v>
      </c>
      <c r="E2388" t="s">
        <v>5242</v>
      </c>
      <c r="F2388" s="49">
        <v>35</v>
      </c>
    </row>
    <row r="2389" spans="1:6" ht="15" customHeight="1" x14ac:dyDescent="0.3">
      <c r="A2389" t="s">
        <v>12398</v>
      </c>
      <c r="B2389">
        <f>I1028</f>
        <v>65</v>
      </c>
      <c r="E2389" t="s">
        <v>5833</v>
      </c>
      <c r="F2389" s="49">
        <v>35</v>
      </c>
    </row>
    <row r="2390" spans="1:6" ht="15" customHeight="1" x14ac:dyDescent="0.3">
      <c r="A2390" t="s">
        <v>12396</v>
      </c>
      <c r="B2390">
        <f>I1029</f>
        <v>80</v>
      </c>
      <c r="E2390" t="s">
        <v>5386</v>
      </c>
      <c r="F2390" s="49">
        <v>35</v>
      </c>
    </row>
    <row r="2391" spans="1:6" ht="15" customHeight="1" x14ac:dyDescent="0.3">
      <c r="A2391" t="s">
        <v>12397</v>
      </c>
      <c r="B2391">
        <f>I1029</f>
        <v>80</v>
      </c>
      <c r="E2391" t="s">
        <v>5834</v>
      </c>
      <c r="F2391" s="49">
        <v>30</v>
      </c>
    </row>
    <row r="2392" spans="1:6" ht="15" customHeight="1" x14ac:dyDescent="0.3">
      <c r="A2392" t="s">
        <v>12399</v>
      </c>
      <c r="B2392">
        <f>I1030</f>
        <v>90</v>
      </c>
      <c r="E2392" t="s">
        <v>5835</v>
      </c>
      <c r="F2392" s="49">
        <v>30</v>
      </c>
    </row>
    <row r="2393" spans="1:6" ht="15" customHeight="1" x14ac:dyDescent="0.3">
      <c r="A2393" t="s">
        <v>12400</v>
      </c>
      <c r="B2393">
        <f>I1030</f>
        <v>90</v>
      </c>
      <c r="E2393" t="s">
        <v>12733</v>
      </c>
      <c r="F2393" s="49">
        <v>30</v>
      </c>
    </row>
    <row r="2394" spans="1:6" ht="15" customHeight="1" x14ac:dyDescent="0.3">
      <c r="A2394" t="s">
        <v>12401</v>
      </c>
      <c r="B2394">
        <f>I1031</f>
        <v>100</v>
      </c>
      <c r="E2394" t="s">
        <v>5837</v>
      </c>
      <c r="F2394" s="49">
        <v>35</v>
      </c>
    </row>
    <row r="2395" spans="1:6" ht="15" customHeight="1" x14ac:dyDescent="0.3">
      <c r="A2395" t="s">
        <v>12402</v>
      </c>
      <c r="B2395">
        <f>I1031</f>
        <v>100</v>
      </c>
      <c r="E2395" t="s">
        <v>12734</v>
      </c>
      <c r="F2395" s="49">
        <v>30</v>
      </c>
    </row>
    <row r="2396" spans="1:6" ht="15" customHeight="1" x14ac:dyDescent="0.3">
      <c r="A2396" t="s">
        <v>13096</v>
      </c>
      <c r="B2396">
        <f>I1032</f>
        <v>75</v>
      </c>
      <c r="E2396" t="s">
        <v>12735</v>
      </c>
      <c r="F2396" s="49">
        <v>35</v>
      </c>
    </row>
    <row r="2397" spans="1:6" ht="15" customHeight="1" x14ac:dyDescent="0.3">
      <c r="A2397" t="s">
        <v>13097</v>
      </c>
      <c r="B2397">
        <f>B2396</f>
        <v>75</v>
      </c>
      <c r="E2397" t="s">
        <v>12736</v>
      </c>
      <c r="F2397" s="49">
        <v>35</v>
      </c>
    </row>
    <row r="2398" spans="1:6" ht="15" customHeight="1" x14ac:dyDescent="0.3">
      <c r="A2398" t="s">
        <v>2230</v>
      </c>
      <c r="B2398">
        <f>I1033</f>
        <v>65</v>
      </c>
      <c r="E2398" t="s">
        <v>12737</v>
      </c>
      <c r="F2398" s="49">
        <v>35</v>
      </c>
    </row>
    <row r="2399" spans="1:6" ht="15" customHeight="1" x14ac:dyDescent="0.3">
      <c r="A2399" t="s">
        <v>12372</v>
      </c>
      <c r="B2399">
        <f>I1034</f>
        <v>80</v>
      </c>
    </row>
    <row r="2400" spans="1:6" ht="15" customHeight="1" x14ac:dyDescent="0.3">
      <c r="A2400" t="s">
        <v>12373</v>
      </c>
      <c r="B2400">
        <f>I1034</f>
        <v>80</v>
      </c>
    </row>
    <row r="2401" spans="1:2" ht="15" customHeight="1" x14ac:dyDescent="0.3">
      <c r="A2401" t="s">
        <v>12483</v>
      </c>
      <c r="B2401">
        <f>I1035</f>
        <v>80</v>
      </c>
    </row>
    <row r="2402" spans="1:2" ht="15" customHeight="1" x14ac:dyDescent="0.3">
      <c r="A2402" t="s">
        <v>12484</v>
      </c>
      <c r="B2402">
        <f>I1035</f>
        <v>80</v>
      </c>
    </row>
    <row r="2403" spans="1:2" ht="15" customHeight="1" x14ac:dyDescent="0.3">
      <c r="A2403" t="s">
        <v>13648</v>
      </c>
      <c r="B2403">
        <f>I1036</f>
        <v>90</v>
      </c>
    </row>
    <row r="2404" spans="1:2" ht="15" customHeight="1" x14ac:dyDescent="0.3">
      <c r="A2404" t="s">
        <v>13649</v>
      </c>
      <c r="B2404">
        <f>B2403</f>
        <v>90</v>
      </c>
    </row>
    <row r="2405" spans="1:2" ht="15" customHeight="1" x14ac:dyDescent="0.3">
      <c r="A2405" t="s">
        <v>10682</v>
      </c>
      <c r="B2405">
        <f>I1037</f>
        <v>75</v>
      </c>
    </row>
    <row r="2406" spans="1:2" ht="15" customHeight="1" x14ac:dyDescent="0.3">
      <c r="A2406" t="s">
        <v>10683</v>
      </c>
      <c r="B2406">
        <f>I1037</f>
        <v>75</v>
      </c>
    </row>
    <row r="2407" spans="1:2" ht="15" customHeight="1" x14ac:dyDescent="0.3">
      <c r="A2407" t="s">
        <v>10940</v>
      </c>
      <c r="B2407">
        <f>I1038</f>
        <v>85</v>
      </c>
    </row>
    <row r="2408" spans="1:2" ht="15" customHeight="1" x14ac:dyDescent="0.3">
      <c r="A2408" t="s">
        <v>10941</v>
      </c>
      <c r="B2408">
        <f>I1038</f>
        <v>85</v>
      </c>
    </row>
    <row r="2409" spans="1:2" ht="15" customHeight="1" x14ac:dyDescent="0.3">
      <c r="A2409" t="s">
        <v>12507</v>
      </c>
      <c r="B2409">
        <f>I1039</f>
        <v>90</v>
      </c>
    </row>
    <row r="2410" spans="1:2" ht="15" customHeight="1" x14ac:dyDescent="0.3">
      <c r="A2410" t="s">
        <v>12508</v>
      </c>
      <c r="B2410">
        <f>I1039</f>
        <v>90</v>
      </c>
    </row>
    <row r="2411" spans="1:2" ht="15" customHeight="1" x14ac:dyDescent="0.3">
      <c r="A2411" t="s">
        <v>12509</v>
      </c>
      <c r="B2411">
        <f>I1040</f>
        <v>100</v>
      </c>
    </row>
    <row r="2412" spans="1:2" ht="15" customHeight="1" x14ac:dyDescent="0.3">
      <c r="A2412" t="s">
        <v>12510</v>
      </c>
      <c r="B2412">
        <f>I1040</f>
        <v>100</v>
      </c>
    </row>
    <row r="2413" spans="1:2" ht="15" customHeight="1" x14ac:dyDescent="0.3">
      <c r="A2413" t="s">
        <v>13019</v>
      </c>
      <c r="B2413">
        <f>I1041</f>
        <v>90</v>
      </c>
    </row>
    <row r="2414" spans="1:2" ht="15" customHeight="1" x14ac:dyDescent="0.3">
      <c r="A2414" t="s">
        <v>13020</v>
      </c>
      <c r="B2414">
        <f>I1041</f>
        <v>90</v>
      </c>
    </row>
    <row r="2415" spans="1:2" ht="15" customHeight="1" x14ac:dyDescent="0.3">
      <c r="A2415" t="s">
        <v>13021</v>
      </c>
      <c r="B2415">
        <f>I1042</f>
        <v>100</v>
      </c>
    </row>
    <row r="2416" spans="1:2" ht="15" customHeight="1" x14ac:dyDescent="0.3">
      <c r="A2416" t="s">
        <v>13022</v>
      </c>
      <c r="B2416">
        <f>I1042</f>
        <v>100</v>
      </c>
    </row>
    <row r="2417" spans="1:2" ht="15" customHeight="1" x14ac:dyDescent="0.3">
      <c r="A2417" t="s">
        <v>10538</v>
      </c>
      <c r="B2417">
        <f>I1043</f>
        <v>95</v>
      </c>
    </row>
    <row r="2418" spans="1:2" ht="15" customHeight="1" x14ac:dyDescent="0.3">
      <c r="A2418" t="s">
        <v>10540</v>
      </c>
      <c r="B2418">
        <f>I1043</f>
        <v>95</v>
      </c>
    </row>
    <row r="2419" spans="1:2" ht="15" customHeight="1" x14ac:dyDescent="0.3">
      <c r="A2419" t="s">
        <v>10539</v>
      </c>
      <c r="B2419">
        <f>I1044</f>
        <v>170</v>
      </c>
    </row>
    <row r="2420" spans="1:2" ht="15" customHeight="1" x14ac:dyDescent="0.3">
      <c r="A2420" t="s">
        <v>10541</v>
      </c>
      <c r="B2420">
        <f>I1044</f>
        <v>170</v>
      </c>
    </row>
    <row r="2421" spans="1:2" ht="15" customHeight="1" x14ac:dyDescent="0.3">
      <c r="A2421" t="s">
        <v>11161</v>
      </c>
      <c r="B2421">
        <f>I1044</f>
        <v>170</v>
      </c>
    </row>
    <row r="2422" spans="1:2" ht="15" customHeight="1" x14ac:dyDescent="0.3">
      <c r="A2422" t="s">
        <v>11162</v>
      </c>
      <c r="B2422">
        <f>I1044</f>
        <v>170</v>
      </c>
    </row>
    <row r="2423" spans="1:2" ht="15" customHeight="1" x14ac:dyDescent="0.3">
      <c r="A2423" t="s">
        <v>12589</v>
      </c>
      <c r="B2423">
        <f>I1045</f>
        <v>190</v>
      </c>
    </row>
    <row r="2424" spans="1:2" ht="15" customHeight="1" x14ac:dyDescent="0.3">
      <c r="A2424" t="s">
        <v>12590</v>
      </c>
      <c r="B2424">
        <f>I1045</f>
        <v>190</v>
      </c>
    </row>
    <row r="2425" spans="1:2" ht="15" customHeight="1" x14ac:dyDescent="0.3">
      <c r="A2425" t="s">
        <v>12591</v>
      </c>
      <c r="B2425">
        <f>I1045</f>
        <v>190</v>
      </c>
    </row>
    <row r="2426" spans="1:2" ht="15" customHeight="1" x14ac:dyDescent="0.3">
      <c r="A2426" t="s">
        <v>12592</v>
      </c>
      <c r="B2426">
        <f>I1045</f>
        <v>190</v>
      </c>
    </row>
    <row r="2427" spans="1:2" ht="15" customHeight="1" x14ac:dyDescent="0.3">
      <c r="A2427" t="s">
        <v>11163</v>
      </c>
      <c r="B2427">
        <f>I1046</f>
        <v>95</v>
      </c>
    </row>
    <row r="2428" spans="1:2" ht="15" customHeight="1" x14ac:dyDescent="0.3">
      <c r="A2428" t="s">
        <v>11164</v>
      </c>
      <c r="B2428">
        <f>I1046</f>
        <v>95</v>
      </c>
    </row>
    <row r="2429" spans="1:2" ht="15" customHeight="1" x14ac:dyDescent="0.3">
      <c r="A2429" t="s">
        <v>11165</v>
      </c>
      <c r="B2429">
        <f>I1047</f>
        <v>170</v>
      </c>
    </row>
    <row r="2430" spans="1:2" ht="15" customHeight="1" x14ac:dyDescent="0.3">
      <c r="A2430" t="s">
        <v>11166</v>
      </c>
      <c r="B2430">
        <f>I1047</f>
        <v>170</v>
      </c>
    </row>
    <row r="2431" spans="1:2" ht="15" customHeight="1" x14ac:dyDescent="0.3">
      <c r="A2431" t="s">
        <v>11167</v>
      </c>
      <c r="B2431">
        <f>I1047</f>
        <v>170</v>
      </c>
    </row>
    <row r="2432" spans="1:2" ht="15" customHeight="1" x14ac:dyDescent="0.3">
      <c r="A2432" t="s">
        <v>11168</v>
      </c>
      <c r="B2432">
        <f>I1047</f>
        <v>170</v>
      </c>
    </row>
    <row r="2433" spans="1:2" ht="15" customHeight="1" x14ac:dyDescent="0.3">
      <c r="A2433" t="s">
        <v>13124</v>
      </c>
      <c r="B2433">
        <f>I1048</f>
        <v>100</v>
      </c>
    </row>
    <row r="2434" spans="1:2" ht="15" customHeight="1" x14ac:dyDescent="0.3">
      <c r="A2434" t="s">
        <v>13125</v>
      </c>
      <c r="B2434">
        <f>B2433</f>
        <v>100</v>
      </c>
    </row>
    <row r="2435" spans="1:2" ht="15" customHeight="1" x14ac:dyDescent="0.3">
      <c r="A2435" t="s">
        <v>13126</v>
      </c>
      <c r="B2435">
        <f>I1049</f>
        <v>220</v>
      </c>
    </row>
    <row r="2436" spans="1:2" ht="15" customHeight="1" x14ac:dyDescent="0.3">
      <c r="A2436" t="s">
        <v>13127</v>
      </c>
      <c r="B2436">
        <f>B2435</f>
        <v>220</v>
      </c>
    </row>
    <row r="2437" spans="1:2" ht="15" customHeight="1" x14ac:dyDescent="0.3">
      <c r="A2437" t="s">
        <v>13128</v>
      </c>
      <c r="B2437">
        <f>B2435</f>
        <v>220</v>
      </c>
    </row>
    <row r="2438" spans="1:2" ht="15" customHeight="1" x14ac:dyDescent="0.3">
      <c r="A2438" t="s">
        <v>13129</v>
      </c>
      <c r="B2438">
        <f>B2435</f>
        <v>220</v>
      </c>
    </row>
    <row r="2439" spans="1:2" ht="15" customHeight="1" x14ac:dyDescent="0.3">
      <c r="A2439" t="s">
        <v>11090</v>
      </c>
      <c r="B2439">
        <f>I1050</f>
        <v>85</v>
      </c>
    </row>
    <row r="2440" spans="1:2" ht="15" customHeight="1" x14ac:dyDescent="0.3">
      <c r="A2440" t="s">
        <v>11091</v>
      </c>
      <c r="B2440">
        <f>I1050</f>
        <v>85</v>
      </c>
    </row>
    <row r="2441" spans="1:2" ht="15" customHeight="1" x14ac:dyDescent="0.3">
      <c r="A2441" t="s">
        <v>11092</v>
      </c>
      <c r="B2441">
        <f>I1051</f>
        <v>200</v>
      </c>
    </row>
    <row r="2442" spans="1:2" ht="15" customHeight="1" x14ac:dyDescent="0.3">
      <c r="A2442" t="s">
        <v>11093</v>
      </c>
      <c r="B2442">
        <f>I1051</f>
        <v>200</v>
      </c>
    </row>
    <row r="2443" spans="1:2" ht="15" customHeight="1" x14ac:dyDescent="0.3">
      <c r="A2443" t="s">
        <v>11094</v>
      </c>
      <c r="B2443">
        <f>I1051</f>
        <v>200</v>
      </c>
    </row>
    <row r="2444" spans="1:2" ht="15" customHeight="1" x14ac:dyDescent="0.3">
      <c r="A2444" t="s">
        <v>11095</v>
      </c>
      <c r="B2444">
        <f>I1051</f>
        <v>200</v>
      </c>
    </row>
    <row r="2445" spans="1:2" ht="15" customHeight="1" x14ac:dyDescent="0.3">
      <c r="A2445" t="s">
        <v>2231</v>
      </c>
      <c r="B2445">
        <f>I1052</f>
        <v>65</v>
      </c>
    </row>
    <row r="2446" spans="1:2" ht="15" customHeight="1" x14ac:dyDescent="0.3">
      <c r="A2446" t="s">
        <v>2013</v>
      </c>
      <c r="B2446">
        <f>I1053</f>
        <v>80</v>
      </c>
    </row>
    <row r="2447" spans="1:2" ht="15" customHeight="1" x14ac:dyDescent="0.3">
      <c r="A2447" t="s">
        <v>12148</v>
      </c>
      <c r="B2447">
        <f>I1054</f>
        <v>90</v>
      </c>
    </row>
    <row r="2448" spans="1:2" ht="15" customHeight="1" x14ac:dyDescent="0.3">
      <c r="A2448" t="s">
        <v>12149</v>
      </c>
      <c r="B2448">
        <f>I1054</f>
        <v>90</v>
      </c>
    </row>
    <row r="2449" spans="1:2" ht="15" customHeight="1" x14ac:dyDescent="0.3">
      <c r="A2449" t="s">
        <v>12150</v>
      </c>
      <c r="B2449">
        <f>I1055</f>
        <v>100</v>
      </c>
    </row>
    <row r="2450" spans="1:2" ht="15" customHeight="1" x14ac:dyDescent="0.3">
      <c r="A2450" t="s">
        <v>12151</v>
      </c>
      <c r="B2450">
        <f>I1055</f>
        <v>100</v>
      </c>
    </row>
    <row r="2451" spans="1:2" ht="15" customHeight="1" x14ac:dyDescent="0.3">
      <c r="A2451" t="s">
        <v>2232</v>
      </c>
      <c r="B2451">
        <f>I1056</f>
        <v>85</v>
      </c>
    </row>
    <row r="2452" spans="1:2" ht="15" customHeight="1" x14ac:dyDescent="0.3">
      <c r="A2452" t="s">
        <v>2233</v>
      </c>
      <c r="B2452">
        <f>I1062</f>
        <v>80</v>
      </c>
    </row>
    <row r="2453" spans="1:2" ht="15" customHeight="1" x14ac:dyDescent="0.3">
      <c r="A2453" t="s">
        <v>2014</v>
      </c>
      <c r="B2453">
        <f>I1063</f>
        <v>95</v>
      </c>
    </row>
    <row r="2454" spans="1:2" ht="15" customHeight="1" x14ac:dyDescent="0.3">
      <c r="A2454" t="s">
        <v>2422</v>
      </c>
      <c r="B2454">
        <f>I1065</f>
        <v>110</v>
      </c>
    </row>
    <row r="2455" spans="1:2" ht="15" customHeight="1" x14ac:dyDescent="0.3">
      <c r="A2455" t="s">
        <v>2579</v>
      </c>
      <c r="B2455">
        <f>I1065</f>
        <v>110</v>
      </c>
    </row>
    <row r="2456" spans="1:2" ht="15" customHeight="1" x14ac:dyDescent="0.3">
      <c r="A2456" t="s">
        <v>2290</v>
      </c>
      <c r="B2456">
        <f>I1057</f>
        <v>65</v>
      </c>
    </row>
    <row r="2457" spans="1:2" ht="15" customHeight="1" x14ac:dyDescent="0.3">
      <c r="A2457" t="s">
        <v>2330</v>
      </c>
      <c r="B2457">
        <f>I1058</f>
        <v>90</v>
      </c>
    </row>
    <row r="2458" spans="1:2" ht="15" customHeight="1" x14ac:dyDescent="0.3">
      <c r="A2458" t="s">
        <v>2015</v>
      </c>
      <c r="B2458">
        <f>I1060</f>
        <v>180</v>
      </c>
    </row>
    <row r="2459" spans="1:2" ht="15" customHeight="1" x14ac:dyDescent="0.3">
      <c r="A2459" t="s">
        <v>3487</v>
      </c>
      <c r="B2459">
        <f>I1060</f>
        <v>180</v>
      </c>
    </row>
    <row r="2460" spans="1:2" ht="15" customHeight="1" x14ac:dyDescent="0.3">
      <c r="A2460" t="s">
        <v>3488</v>
      </c>
      <c r="B2460">
        <f>I1060</f>
        <v>180</v>
      </c>
    </row>
    <row r="2461" spans="1:2" ht="15" customHeight="1" x14ac:dyDescent="0.3">
      <c r="A2461" t="s">
        <v>2235</v>
      </c>
      <c r="B2461">
        <f>I1059</f>
        <v>160</v>
      </c>
    </row>
    <row r="2462" spans="1:2" ht="15" customHeight="1" x14ac:dyDescent="0.3">
      <c r="A2462" t="s">
        <v>3262</v>
      </c>
      <c r="B2462">
        <f>I1059</f>
        <v>160</v>
      </c>
    </row>
    <row r="2463" spans="1:2" ht="15" customHeight="1" x14ac:dyDescent="0.3">
      <c r="A2463" t="s">
        <v>3489</v>
      </c>
      <c r="B2463">
        <f>I1059</f>
        <v>160</v>
      </c>
    </row>
    <row r="2464" spans="1:2" ht="15" customHeight="1" x14ac:dyDescent="0.3">
      <c r="A2464" t="s">
        <v>3490</v>
      </c>
      <c r="B2464">
        <f>I1059</f>
        <v>160</v>
      </c>
    </row>
    <row r="2465" spans="1:2" ht="15" customHeight="1" x14ac:dyDescent="0.3">
      <c r="A2465" t="s">
        <v>2234</v>
      </c>
      <c r="B2465">
        <f>I1061</f>
        <v>85</v>
      </c>
    </row>
    <row r="2466" spans="1:2" ht="15" customHeight="1" x14ac:dyDescent="0.3">
      <c r="A2466" t="s">
        <v>3264</v>
      </c>
      <c r="B2466">
        <f>I1062</f>
        <v>80</v>
      </c>
    </row>
    <row r="2467" spans="1:2" ht="15" customHeight="1" x14ac:dyDescent="0.3">
      <c r="A2467" t="s">
        <v>2016</v>
      </c>
      <c r="B2467">
        <f>I1063</f>
        <v>95</v>
      </c>
    </row>
    <row r="2468" spans="1:2" ht="15" customHeight="1" x14ac:dyDescent="0.3">
      <c r="A2468" t="s">
        <v>2423</v>
      </c>
      <c r="B2468">
        <f>I1065</f>
        <v>110</v>
      </c>
    </row>
    <row r="2469" spans="1:2" ht="15" customHeight="1" x14ac:dyDescent="0.3">
      <c r="A2469" t="s">
        <v>2578</v>
      </c>
      <c r="B2469">
        <f>I1065</f>
        <v>110</v>
      </c>
    </row>
    <row r="2470" spans="1:2" ht="15" customHeight="1" x14ac:dyDescent="0.3">
      <c r="A2470" t="s">
        <v>2291</v>
      </c>
      <c r="B2470">
        <f>I1066</f>
        <v>65</v>
      </c>
    </row>
    <row r="2471" spans="1:2" ht="15" customHeight="1" x14ac:dyDescent="0.3">
      <c r="A2471" t="s">
        <v>2331</v>
      </c>
      <c r="B2471">
        <f>I1067</f>
        <v>80</v>
      </c>
    </row>
    <row r="2472" spans="1:2" ht="15" customHeight="1" x14ac:dyDescent="0.3">
      <c r="A2472" t="s">
        <v>2236</v>
      </c>
      <c r="B2472">
        <f>I1068</f>
        <v>150</v>
      </c>
    </row>
    <row r="2473" spans="1:2" ht="15" customHeight="1" x14ac:dyDescent="0.3">
      <c r="A2473" t="s">
        <v>3491</v>
      </c>
      <c r="B2473">
        <f>I1068</f>
        <v>150</v>
      </c>
    </row>
    <row r="2474" spans="1:2" ht="15" customHeight="1" x14ac:dyDescent="0.3">
      <c r="A2474" t="s">
        <v>3492</v>
      </c>
      <c r="B2474">
        <f>I1068</f>
        <v>150</v>
      </c>
    </row>
    <row r="2475" spans="1:2" ht="15" customHeight="1" x14ac:dyDescent="0.3">
      <c r="A2475" t="s">
        <v>2237</v>
      </c>
      <c r="B2475">
        <f>I1062</f>
        <v>80</v>
      </c>
    </row>
    <row r="2476" spans="1:2" ht="15" customHeight="1" x14ac:dyDescent="0.3">
      <c r="A2476" t="s">
        <v>10894</v>
      </c>
      <c r="B2476">
        <f>I1069</f>
        <v>180</v>
      </c>
    </row>
    <row r="2477" spans="1:2" ht="15" customHeight="1" x14ac:dyDescent="0.3">
      <c r="A2477" t="s">
        <v>10895</v>
      </c>
      <c r="B2477">
        <f>I1069</f>
        <v>180</v>
      </c>
    </row>
    <row r="2478" spans="1:2" ht="15" customHeight="1" x14ac:dyDescent="0.3">
      <c r="A2478" t="s">
        <v>10896</v>
      </c>
      <c r="B2478">
        <f>I1069</f>
        <v>180</v>
      </c>
    </row>
    <row r="2479" spans="1:2" ht="15" customHeight="1" x14ac:dyDescent="0.3">
      <c r="A2479" t="s">
        <v>10897</v>
      </c>
      <c r="B2479">
        <f>I1069</f>
        <v>180</v>
      </c>
    </row>
    <row r="2480" spans="1:2" ht="15" customHeight="1" x14ac:dyDescent="0.3">
      <c r="A2480" t="s">
        <v>13295</v>
      </c>
      <c r="B2480">
        <f>I1070</f>
        <v>80</v>
      </c>
    </row>
    <row r="2481" spans="1:2" ht="15" customHeight="1" x14ac:dyDescent="0.3">
      <c r="A2481" t="s">
        <v>13296</v>
      </c>
      <c r="B2481">
        <f>I1070</f>
        <v>80</v>
      </c>
    </row>
    <row r="2482" spans="1:2" ht="15" customHeight="1" x14ac:dyDescent="0.3">
      <c r="A2482" t="s">
        <v>13297</v>
      </c>
      <c r="B2482">
        <f>I1070</f>
        <v>80</v>
      </c>
    </row>
    <row r="2483" spans="1:2" ht="15" customHeight="1" x14ac:dyDescent="0.3">
      <c r="A2483" t="s">
        <v>13298</v>
      </c>
      <c r="B2483">
        <f>I1070</f>
        <v>80</v>
      </c>
    </row>
    <row r="2484" spans="1:2" ht="15" customHeight="1" x14ac:dyDescent="0.3">
      <c r="A2484" t="s">
        <v>13299</v>
      </c>
      <c r="B2484">
        <f>I1071</f>
        <v>65</v>
      </c>
    </row>
    <row r="2485" spans="1:2" ht="15" customHeight="1" x14ac:dyDescent="0.3">
      <c r="A2485" t="s">
        <v>13300</v>
      </c>
      <c r="B2485">
        <f>B2484</f>
        <v>65</v>
      </c>
    </row>
    <row r="2486" spans="1:2" ht="15" customHeight="1" x14ac:dyDescent="0.3">
      <c r="A2486" t="s">
        <v>13301</v>
      </c>
      <c r="B2486">
        <f>B2484</f>
        <v>65</v>
      </c>
    </row>
    <row r="2487" spans="1:2" ht="15" customHeight="1" x14ac:dyDescent="0.3">
      <c r="A2487" t="s">
        <v>13302</v>
      </c>
      <c r="B2487">
        <f>B2484</f>
        <v>65</v>
      </c>
    </row>
    <row r="2488" spans="1:2" ht="15" customHeight="1" x14ac:dyDescent="0.3">
      <c r="A2488" t="s">
        <v>10698</v>
      </c>
      <c r="B2488">
        <f>I1072</f>
        <v>80</v>
      </c>
    </row>
    <row r="2489" spans="1:2" ht="15" customHeight="1" x14ac:dyDescent="0.3">
      <c r="A2489" t="s">
        <v>10699</v>
      </c>
      <c r="B2489">
        <f>I1072</f>
        <v>80</v>
      </c>
    </row>
    <row r="2490" spans="1:2" ht="15" customHeight="1" x14ac:dyDescent="0.3">
      <c r="A2490" t="s">
        <v>10700</v>
      </c>
      <c r="B2490">
        <f>I1072</f>
        <v>80</v>
      </c>
    </row>
    <row r="2491" spans="1:2" ht="15" customHeight="1" x14ac:dyDescent="0.3">
      <c r="A2491" t="s">
        <v>10701</v>
      </c>
      <c r="B2491">
        <f>I1072</f>
        <v>80</v>
      </c>
    </row>
    <row r="2492" spans="1:2" ht="15" customHeight="1" x14ac:dyDescent="0.3">
      <c r="A2492" t="s">
        <v>10702</v>
      </c>
      <c r="B2492">
        <f>I1073</f>
        <v>220</v>
      </c>
    </row>
    <row r="2493" spans="1:2" ht="15" customHeight="1" x14ac:dyDescent="0.3">
      <c r="A2493" t="s">
        <v>10703</v>
      </c>
      <c r="B2493">
        <f>I1073</f>
        <v>220</v>
      </c>
    </row>
    <row r="2494" spans="1:2" ht="15" customHeight="1" x14ac:dyDescent="0.3">
      <c r="A2494" t="s">
        <v>10704</v>
      </c>
      <c r="B2494">
        <f>I1073</f>
        <v>220</v>
      </c>
    </row>
    <row r="2495" spans="1:2" ht="15" customHeight="1" x14ac:dyDescent="0.3">
      <c r="A2495" t="s">
        <v>10705</v>
      </c>
      <c r="B2495">
        <f>I1073</f>
        <v>220</v>
      </c>
    </row>
    <row r="2496" spans="1:2" ht="15" customHeight="1" x14ac:dyDescent="0.3">
      <c r="A2496" s="62" t="s">
        <v>12031</v>
      </c>
      <c r="B2496">
        <f>I1074</f>
        <v>280</v>
      </c>
    </row>
    <row r="2497" spans="1:2" ht="15" customHeight="1" x14ac:dyDescent="0.3">
      <c r="A2497" s="62" t="s">
        <v>12030</v>
      </c>
      <c r="B2497">
        <f>I1074</f>
        <v>280</v>
      </c>
    </row>
    <row r="2498" spans="1:2" ht="15" customHeight="1" x14ac:dyDescent="0.3">
      <c r="A2498" s="62" t="s">
        <v>12028</v>
      </c>
      <c r="B2498">
        <f>I1074</f>
        <v>280</v>
      </c>
    </row>
    <row r="2499" spans="1:2" ht="15" customHeight="1" x14ac:dyDescent="0.3">
      <c r="A2499" s="62" t="s">
        <v>12029</v>
      </c>
      <c r="B2499">
        <f>I1074</f>
        <v>280</v>
      </c>
    </row>
    <row r="2500" spans="1:2" ht="15" customHeight="1" x14ac:dyDescent="0.3">
      <c r="A2500" s="62" t="s">
        <v>12024</v>
      </c>
      <c r="B2500">
        <f>I1074</f>
        <v>280</v>
      </c>
    </row>
    <row r="2501" spans="1:2" ht="15" customHeight="1" x14ac:dyDescent="0.3">
      <c r="A2501" s="62" t="s">
        <v>12025</v>
      </c>
      <c r="B2501">
        <f>I1074</f>
        <v>280</v>
      </c>
    </row>
    <row r="2502" spans="1:2" ht="15" customHeight="1" x14ac:dyDescent="0.3">
      <c r="A2502" s="62" t="s">
        <v>12026</v>
      </c>
      <c r="B2502">
        <f>I1074</f>
        <v>280</v>
      </c>
    </row>
    <row r="2503" spans="1:2" ht="15" customHeight="1" x14ac:dyDescent="0.3">
      <c r="A2503" s="62" t="s">
        <v>12027</v>
      </c>
      <c r="B2503">
        <f>I1074</f>
        <v>280</v>
      </c>
    </row>
    <row r="2504" spans="1:2" ht="15" customHeight="1" x14ac:dyDescent="0.3">
      <c r="A2504" s="91" t="s">
        <v>13110</v>
      </c>
      <c r="B2504">
        <f>I1075</f>
        <v>80</v>
      </c>
    </row>
    <row r="2505" spans="1:2" ht="15" customHeight="1" x14ac:dyDescent="0.3">
      <c r="A2505" s="91" t="s">
        <v>13111</v>
      </c>
      <c r="B2505">
        <f>B2504</f>
        <v>80</v>
      </c>
    </row>
    <row r="2506" spans="1:2" ht="15" customHeight="1" x14ac:dyDescent="0.3">
      <c r="A2506" s="91" t="s">
        <v>13112</v>
      </c>
      <c r="B2506">
        <f>B2504</f>
        <v>80</v>
      </c>
    </row>
    <row r="2507" spans="1:2" ht="15" customHeight="1" x14ac:dyDescent="0.3">
      <c r="A2507" s="91" t="s">
        <v>13113</v>
      </c>
      <c r="B2507">
        <f>B2504</f>
        <v>80</v>
      </c>
    </row>
    <row r="2508" spans="1:2" ht="15" customHeight="1" x14ac:dyDescent="0.3">
      <c r="A2508" t="s">
        <v>12415</v>
      </c>
      <c r="B2508">
        <f>I1076</f>
        <v>160</v>
      </c>
    </row>
    <row r="2509" spans="1:2" ht="15" customHeight="1" x14ac:dyDescent="0.3">
      <c r="A2509" t="s">
        <v>12416</v>
      </c>
      <c r="B2509">
        <f>I1076</f>
        <v>160</v>
      </c>
    </row>
    <row r="2510" spans="1:2" ht="15" customHeight="1" x14ac:dyDescent="0.3">
      <c r="A2510" t="s">
        <v>12417</v>
      </c>
      <c r="B2510">
        <f>I1076</f>
        <v>160</v>
      </c>
    </row>
    <row r="2511" spans="1:2" ht="15" customHeight="1" x14ac:dyDescent="0.3">
      <c r="A2511" t="s">
        <v>12418</v>
      </c>
      <c r="B2511">
        <f>I1076</f>
        <v>160</v>
      </c>
    </row>
    <row r="2512" spans="1:2" ht="15" customHeight="1" x14ac:dyDescent="0.3">
      <c r="A2512" t="s">
        <v>12411</v>
      </c>
      <c r="B2512">
        <f>I1077</f>
        <v>270</v>
      </c>
    </row>
    <row r="2513" spans="1:2" ht="15" customHeight="1" x14ac:dyDescent="0.3">
      <c r="A2513" t="s">
        <v>12412</v>
      </c>
      <c r="B2513">
        <f>I1077</f>
        <v>270</v>
      </c>
    </row>
    <row r="2514" spans="1:2" ht="15" customHeight="1" x14ac:dyDescent="0.3">
      <c r="A2514" t="s">
        <v>12413</v>
      </c>
      <c r="B2514">
        <f>I1077</f>
        <v>270</v>
      </c>
    </row>
    <row r="2515" spans="1:2" ht="15" customHeight="1" x14ac:dyDescent="0.3">
      <c r="A2515" t="s">
        <v>12414</v>
      </c>
      <c r="B2515">
        <f>I1077</f>
        <v>270</v>
      </c>
    </row>
    <row r="2516" spans="1:2" ht="15" customHeight="1" x14ac:dyDescent="0.3">
      <c r="A2516" t="s">
        <v>2239</v>
      </c>
      <c r="B2516">
        <f>I1078</f>
        <v>80</v>
      </c>
    </row>
    <row r="2517" spans="1:2" ht="15" customHeight="1" x14ac:dyDescent="0.3">
      <c r="A2517" t="s">
        <v>2017</v>
      </c>
      <c r="B2517">
        <f>I1079</f>
        <v>110</v>
      </c>
    </row>
    <row r="2518" spans="1:2" ht="15" customHeight="1" x14ac:dyDescent="0.3">
      <c r="A2518" t="s">
        <v>2240</v>
      </c>
      <c r="B2518">
        <f>I1078</f>
        <v>80</v>
      </c>
    </row>
    <row r="2519" spans="1:2" ht="15" customHeight="1" x14ac:dyDescent="0.3">
      <c r="A2519" t="s">
        <v>2018</v>
      </c>
      <c r="B2519">
        <f>I1079</f>
        <v>110</v>
      </c>
    </row>
    <row r="2520" spans="1:2" ht="15" customHeight="1" x14ac:dyDescent="0.3">
      <c r="A2520" t="s">
        <v>2238</v>
      </c>
      <c r="B2520">
        <f>I1080</f>
        <v>90</v>
      </c>
    </row>
    <row r="2521" spans="1:2" ht="15" customHeight="1" x14ac:dyDescent="0.3">
      <c r="A2521" t="s">
        <v>2241</v>
      </c>
      <c r="B2521">
        <f>I1087</f>
        <v>105</v>
      </c>
    </row>
    <row r="2522" spans="1:2" ht="15" customHeight="1" x14ac:dyDescent="0.3">
      <c r="A2522" t="s">
        <v>2292</v>
      </c>
      <c r="B2522">
        <f>I1081</f>
        <v>80</v>
      </c>
    </row>
    <row r="2523" spans="1:2" ht="15" customHeight="1" x14ac:dyDescent="0.3">
      <c r="A2523" t="s">
        <v>10936</v>
      </c>
      <c r="B2523">
        <f>I1083</f>
        <v>120</v>
      </c>
    </row>
    <row r="2524" spans="1:2" ht="15" customHeight="1" x14ac:dyDescent="0.3">
      <c r="A2524" t="s">
        <v>10937</v>
      </c>
      <c r="B2524">
        <f>I1083</f>
        <v>120</v>
      </c>
    </row>
    <row r="2525" spans="1:2" ht="15" customHeight="1" x14ac:dyDescent="0.3">
      <c r="A2525" t="s">
        <v>2019</v>
      </c>
      <c r="B2525">
        <f>I1084</f>
        <v>220</v>
      </c>
    </row>
    <row r="2526" spans="1:2" ht="15" customHeight="1" x14ac:dyDescent="0.3">
      <c r="A2526" t="s">
        <v>3493</v>
      </c>
      <c r="B2526">
        <f>I1084</f>
        <v>220</v>
      </c>
    </row>
    <row r="2527" spans="1:2" ht="15" customHeight="1" x14ac:dyDescent="0.3">
      <c r="A2527" t="s">
        <v>3494</v>
      </c>
      <c r="B2527">
        <f>I1084</f>
        <v>220</v>
      </c>
    </row>
    <row r="2528" spans="1:2" ht="15" customHeight="1" x14ac:dyDescent="0.3">
      <c r="A2528" t="s">
        <v>2242</v>
      </c>
      <c r="B2528">
        <f>I1082</f>
        <v>200</v>
      </c>
    </row>
    <row r="2529" spans="1:2" ht="15" customHeight="1" x14ac:dyDescent="0.3">
      <c r="A2529" t="s">
        <v>3495</v>
      </c>
      <c r="B2529">
        <f>I1082</f>
        <v>200</v>
      </c>
    </row>
    <row r="2530" spans="1:2" ht="15" customHeight="1" x14ac:dyDescent="0.3">
      <c r="A2530" t="s">
        <v>3496</v>
      </c>
      <c r="B2530">
        <f>I1082</f>
        <v>200</v>
      </c>
    </row>
    <row r="2531" spans="1:2" ht="15" customHeight="1" x14ac:dyDescent="0.3">
      <c r="A2531" t="s">
        <v>11018</v>
      </c>
      <c r="B2531">
        <f>I1086</f>
        <v>265</v>
      </c>
    </row>
    <row r="2532" spans="1:2" ht="15" customHeight="1" x14ac:dyDescent="0.3">
      <c r="A2532" t="s">
        <v>11019</v>
      </c>
      <c r="B2532">
        <f>I1086</f>
        <v>265</v>
      </c>
    </row>
    <row r="2533" spans="1:2" ht="15" customHeight="1" x14ac:dyDescent="0.3">
      <c r="A2533" t="s">
        <v>4440</v>
      </c>
      <c r="B2533">
        <f>I892</f>
        <v>75</v>
      </c>
    </row>
    <row r="2534" spans="1:2" ht="15" customHeight="1" x14ac:dyDescent="0.3">
      <c r="A2534" t="s">
        <v>4442</v>
      </c>
      <c r="B2534">
        <f>I1090</f>
        <v>100</v>
      </c>
    </row>
    <row r="2535" spans="1:2" ht="15" customHeight="1" x14ac:dyDescent="0.3">
      <c r="A2535" t="s">
        <v>4443</v>
      </c>
      <c r="B2535">
        <f>I892</f>
        <v>75</v>
      </c>
    </row>
    <row r="2536" spans="1:2" ht="15" customHeight="1" x14ac:dyDescent="0.3">
      <c r="A2536" t="s">
        <v>4444</v>
      </c>
      <c r="B2536">
        <f>I1090</f>
        <v>100</v>
      </c>
    </row>
    <row r="2537" spans="1:2" ht="15" customHeight="1" x14ac:dyDescent="0.3">
      <c r="A2537" t="s">
        <v>4448</v>
      </c>
      <c r="B2537">
        <f>I893</f>
        <v>170</v>
      </c>
    </row>
    <row r="2538" spans="1:2" ht="15" customHeight="1" x14ac:dyDescent="0.3">
      <c r="A2538" t="s">
        <v>4449</v>
      </c>
      <c r="B2538">
        <f>I1091</f>
        <v>220</v>
      </c>
    </row>
    <row r="2539" spans="1:2" ht="15" customHeight="1" x14ac:dyDescent="0.3">
      <c r="A2539" t="s">
        <v>4450</v>
      </c>
      <c r="B2539">
        <f>I893</f>
        <v>170</v>
      </c>
    </row>
    <row r="2540" spans="1:2" ht="15" customHeight="1" x14ac:dyDescent="0.3">
      <c r="A2540" t="s">
        <v>4451</v>
      </c>
      <c r="B2540">
        <f>I1091</f>
        <v>220</v>
      </c>
    </row>
    <row r="2541" spans="1:2" ht="15" customHeight="1" x14ac:dyDescent="0.3">
      <c r="A2541" t="s">
        <v>4445</v>
      </c>
      <c r="B2541">
        <f>I893</f>
        <v>170</v>
      </c>
    </row>
    <row r="2542" spans="1:2" ht="15" customHeight="1" x14ac:dyDescent="0.3">
      <c r="A2542" t="s">
        <v>4441</v>
      </c>
      <c r="B2542">
        <f>I1091</f>
        <v>220</v>
      </c>
    </row>
    <row r="2543" spans="1:2" ht="15" customHeight="1" x14ac:dyDescent="0.3">
      <c r="A2543" t="s">
        <v>4446</v>
      </c>
      <c r="B2543">
        <f>I893</f>
        <v>170</v>
      </c>
    </row>
    <row r="2544" spans="1:2" ht="15" customHeight="1" x14ac:dyDescent="0.3">
      <c r="A2544" t="s">
        <v>4447</v>
      </c>
      <c r="B2544">
        <f>I1091</f>
        <v>220</v>
      </c>
    </row>
    <row r="2545" spans="1:2" ht="15" customHeight="1" x14ac:dyDescent="0.3">
      <c r="A2545" t="s">
        <v>4457</v>
      </c>
      <c r="B2545">
        <f>I1092</f>
        <v>90</v>
      </c>
    </row>
    <row r="2546" spans="1:2" ht="15" customHeight="1" x14ac:dyDescent="0.3">
      <c r="A2546" t="s">
        <v>3546</v>
      </c>
      <c r="B2546">
        <f>I1092</f>
        <v>90</v>
      </c>
    </row>
    <row r="2547" spans="1:2" ht="15" customHeight="1" x14ac:dyDescent="0.3">
      <c r="A2547" t="s">
        <v>3548</v>
      </c>
      <c r="B2547">
        <f>I1094</f>
        <v>190</v>
      </c>
    </row>
    <row r="2548" spans="1:2" ht="15" customHeight="1" x14ac:dyDescent="0.3">
      <c r="A2548" t="s">
        <v>4458</v>
      </c>
      <c r="B2548">
        <f>I1094</f>
        <v>190</v>
      </c>
    </row>
    <row r="2549" spans="1:2" ht="15" customHeight="1" x14ac:dyDescent="0.3">
      <c r="A2549" t="s">
        <v>3549</v>
      </c>
      <c r="B2549">
        <f>I1094</f>
        <v>190</v>
      </c>
    </row>
    <row r="2550" spans="1:2" ht="15" customHeight="1" x14ac:dyDescent="0.3">
      <c r="A2550" t="s">
        <v>3547</v>
      </c>
      <c r="B2550">
        <f>I1094</f>
        <v>190</v>
      </c>
    </row>
    <row r="2551" spans="1:2" ht="15" customHeight="1" x14ac:dyDescent="0.3">
      <c r="A2551" t="s">
        <v>4459</v>
      </c>
      <c r="B2551">
        <f>I1093</f>
        <v>110</v>
      </c>
    </row>
    <row r="2552" spans="1:2" ht="15" customHeight="1" x14ac:dyDescent="0.3">
      <c r="A2552" t="s">
        <v>4460</v>
      </c>
      <c r="B2552">
        <f>I1093</f>
        <v>110</v>
      </c>
    </row>
    <row r="2553" spans="1:2" ht="15" customHeight="1" x14ac:dyDescent="0.3">
      <c r="A2553" t="s">
        <v>4461</v>
      </c>
      <c r="B2553">
        <f>I1095</f>
        <v>230</v>
      </c>
    </row>
    <row r="2554" spans="1:2" ht="15" customHeight="1" x14ac:dyDescent="0.3">
      <c r="A2554" t="s">
        <v>4462</v>
      </c>
      <c r="B2554">
        <f>I1095</f>
        <v>230</v>
      </c>
    </row>
    <row r="2555" spans="1:2" ht="15" customHeight="1" x14ac:dyDescent="0.3">
      <c r="A2555" t="s">
        <v>4463</v>
      </c>
      <c r="B2555">
        <f>I1095</f>
        <v>230</v>
      </c>
    </row>
    <row r="2556" spans="1:2" ht="15" customHeight="1" x14ac:dyDescent="0.3">
      <c r="A2556" t="s">
        <v>4464</v>
      </c>
      <c r="B2556">
        <f>I1095</f>
        <v>230</v>
      </c>
    </row>
    <row r="2557" spans="1:2" ht="15" customHeight="1" x14ac:dyDescent="0.3">
      <c r="A2557" t="s">
        <v>4465</v>
      </c>
      <c r="B2557">
        <f>I1102</f>
        <v>200</v>
      </c>
    </row>
    <row r="2558" spans="1:2" ht="15" customHeight="1" x14ac:dyDescent="0.3">
      <c r="A2558" t="s">
        <v>4466</v>
      </c>
      <c r="B2558">
        <f>I1102</f>
        <v>200</v>
      </c>
    </row>
    <row r="2559" spans="1:2" ht="15" customHeight="1" x14ac:dyDescent="0.3">
      <c r="A2559" s="18" t="s">
        <v>12175</v>
      </c>
      <c r="B2559">
        <f>I1105</f>
        <v>80</v>
      </c>
    </row>
    <row r="2560" spans="1:2" ht="15" customHeight="1" x14ac:dyDescent="0.3">
      <c r="A2560" s="18" t="s">
        <v>12176</v>
      </c>
      <c r="B2560">
        <f>I1105</f>
        <v>80</v>
      </c>
    </row>
    <row r="2561" spans="1:2" ht="15" customHeight="1" x14ac:dyDescent="0.3">
      <c r="A2561" s="18" t="s">
        <v>12177</v>
      </c>
      <c r="B2561">
        <f>I1106</f>
        <v>80</v>
      </c>
    </row>
    <row r="2562" spans="1:2" ht="15" customHeight="1" x14ac:dyDescent="0.3">
      <c r="A2562" s="18" t="s">
        <v>12178</v>
      </c>
      <c r="B2562">
        <f>I1106</f>
        <v>80</v>
      </c>
    </row>
    <row r="2563" spans="1:2" ht="15" customHeight="1" x14ac:dyDescent="0.3">
      <c r="A2563" s="18" t="s">
        <v>11039</v>
      </c>
      <c r="B2563">
        <f>I1107</f>
        <v>80</v>
      </c>
    </row>
    <row r="2564" spans="1:2" ht="15" customHeight="1" x14ac:dyDescent="0.3">
      <c r="A2564" s="18" t="s">
        <v>11038</v>
      </c>
      <c r="B2564">
        <f>I1107</f>
        <v>80</v>
      </c>
    </row>
    <row r="2565" spans="1:2" ht="15" customHeight="1" x14ac:dyDescent="0.3">
      <c r="A2565" s="18" t="s">
        <v>11040</v>
      </c>
      <c r="B2565">
        <f>I1108</f>
        <v>80</v>
      </c>
    </row>
    <row r="2566" spans="1:2" ht="15" customHeight="1" x14ac:dyDescent="0.3">
      <c r="A2566" s="18" t="s">
        <v>11041</v>
      </c>
      <c r="B2566">
        <f>I1108</f>
        <v>80</v>
      </c>
    </row>
    <row r="2567" spans="1:2" ht="15" customHeight="1" x14ac:dyDescent="0.3">
      <c r="A2567" s="18" t="s">
        <v>11042</v>
      </c>
      <c r="B2567">
        <f>I1109</f>
        <v>80</v>
      </c>
    </row>
    <row r="2568" spans="1:2" ht="15" customHeight="1" x14ac:dyDescent="0.3">
      <c r="A2568" s="18" t="s">
        <v>11047</v>
      </c>
      <c r="B2568">
        <f>I1109</f>
        <v>80</v>
      </c>
    </row>
    <row r="2569" spans="1:2" ht="15" customHeight="1" x14ac:dyDescent="0.3">
      <c r="A2569" s="18" t="s">
        <v>11043</v>
      </c>
      <c r="B2569">
        <f>I1110</f>
        <v>95</v>
      </c>
    </row>
    <row r="2570" spans="1:2" ht="15" customHeight="1" x14ac:dyDescent="0.3">
      <c r="A2570" s="18" t="s">
        <v>11046</v>
      </c>
      <c r="B2570">
        <f>I1110</f>
        <v>95</v>
      </c>
    </row>
    <row r="2571" spans="1:2" ht="15" customHeight="1" x14ac:dyDescent="0.3">
      <c r="A2571" s="18" t="s">
        <v>11115</v>
      </c>
      <c r="B2571">
        <f>I1111</f>
        <v>80</v>
      </c>
    </row>
    <row r="2572" spans="1:2" ht="15" customHeight="1" x14ac:dyDescent="0.3">
      <c r="A2572" s="18" t="s">
        <v>11116</v>
      </c>
      <c r="B2572">
        <f>I1111</f>
        <v>80</v>
      </c>
    </row>
    <row r="2573" spans="1:2" ht="15" customHeight="1" x14ac:dyDescent="0.3">
      <c r="A2573" s="18" t="s">
        <v>11044</v>
      </c>
      <c r="B2573">
        <f>I1112</f>
        <v>85</v>
      </c>
    </row>
    <row r="2574" spans="1:2" ht="15" customHeight="1" x14ac:dyDescent="0.3">
      <c r="A2574" s="18" t="s">
        <v>11045</v>
      </c>
      <c r="B2574">
        <f>I1112</f>
        <v>85</v>
      </c>
    </row>
    <row r="2575" spans="1:2" ht="15" customHeight="1" x14ac:dyDescent="0.3">
      <c r="A2575" t="s">
        <v>11111</v>
      </c>
      <c r="B2575">
        <f>I1113</f>
        <v>80</v>
      </c>
    </row>
    <row r="2576" spans="1:2" ht="15" customHeight="1" x14ac:dyDescent="0.3">
      <c r="A2576" t="s">
        <v>11112</v>
      </c>
      <c r="B2576">
        <f>I1113</f>
        <v>80</v>
      </c>
    </row>
    <row r="2577" spans="1:2" ht="15" customHeight="1" x14ac:dyDescent="0.3">
      <c r="A2577" t="s">
        <v>11048</v>
      </c>
      <c r="B2577">
        <f>I1114</f>
        <v>85</v>
      </c>
    </row>
    <row r="2578" spans="1:2" ht="15" customHeight="1" x14ac:dyDescent="0.3">
      <c r="A2578" t="s">
        <v>11050</v>
      </c>
      <c r="B2578">
        <f>I1114</f>
        <v>85</v>
      </c>
    </row>
    <row r="2579" spans="1:2" ht="15" customHeight="1" x14ac:dyDescent="0.3">
      <c r="A2579" t="s">
        <v>11049</v>
      </c>
      <c r="B2579">
        <f>I1115</f>
        <v>85</v>
      </c>
    </row>
    <row r="2580" spans="1:2" ht="15" customHeight="1" x14ac:dyDescent="0.3">
      <c r="A2580" t="s">
        <v>11051</v>
      </c>
      <c r="B2580">
        <f>I1115</f>
        <v>85</v>
      </c>
    </row>
    <row r="2581" spans="1:2" ht="15" customHeight="1" x14ac:dyDescent="0.3">
      <c r="A2581" t="s">
        <v>11113</v>
      </c>
      <c r="B2581">
        <f>I1116</f>
        <v>80</v>
      </c>
    </row>
    <row r="2582" spans="1:2" ht="15" customHeight="1" x14ac:dyDescent="0.3">
      <c r="A2582" t="s">
        <v>11114</v>
      </c>
      <c r="B2582">
        <f>I1116</f>
        <v>80</v>
      </c>
    </row>
    <row r="2583" spans="1:2" ht="15" customHeight="1" x14ac:dyDescent="0.3">
      <c r="A2583" t="s">
        <v>1010</v>
      </c>
      <c r="B2583">
        <f t="shared" ref="B2583:B2589" si="1118">I1119</f>
        <v>90</v>
      </c>
    </row>
    <row r="2584" spans="1:2" ht="15" customHeight="1" x14ac:dyDescent="0.3">
      <c r="A2584" t="s">
        <v>2243</v>
      </c>
      <c r="B2584">
        <f t="shared" si="1118"/>
        <v>90</v>
      </c>
    </row>
    <row r="2585" spans="1:2" ht="15" customHeight="1" x14ac:dyDescent="0.3">
      <c r="A2585" t="s">
        <v>2244</v>
      </c>
      <c r="B2585">
        <f t="shared" si="1118"/>
        <v>110</v>
      </c>
    </row>
    <row r="2586" spans="1:2" ht="15" customHeight="1" x14ac:dyDescent="0.3">
      <c r="A2586" t="s">
        <v>2245</v>
      </c>
      <c r="B2586">
        <f t="shared" si="1118"/>
        <v>90</v>
      </c>
    </row>
    <row r="2587" spans="1:2" ht="15" customHeight="1" x14ac:dyDescent="0.3">
      <c r="A2587" t="s">
        <v>2246</v>
      </c>
      <c r="B2587">
        <f t="shared" si="1118"/>
        <v>90</v>
      </c>
    </row>
    <row r="2588" spans="1:2" ht="15" customHeight="1" x14ac:dyDescent="0.3">
      <c r="A2588" t="s">
        <v>2247</v>
      </c>
      <c r="B2588">
        <f t="shared" si="1118"/>
        <v>90</v>
      </c>
    </row>
    <row r="2589" spans="1:2" ht="15" customHeight="1" x14ac:dyDescent="0.3">
      <c r="A2589" t="s">
        <v>2248</v>
      </c>
      <c r="B2589">
        <f t="shared" si="1118"/>
        <v>80</v>
      </c>
    </row>
    <row r="2590" spans="1:2" ht="15" customHeight="1" x14ac:dyDescent="0.3">
      <c r="A2590" t="s">
        <v>13137</v>
      </c>
      <c r="B2590">
        <f>I1128</f>
        <v>85</v>
      </c>
    </row>
    <row r="2591" spans="1:2" ht="15" customHeight="1" x14ac:dyDescent="0.3">
      <c r="A2591" t="s">
        <v>13138</v>
      </c>
      <c r="B2591">
        <f>B2590</f>
        <v>85</v>
      </c>
    </row>
    <row r="2592" spans="1:2" ht="15" customHeight="1" x14ac:dyDescent="0.3">
      <c r="A2592" t="s">
        <v>13139</v>
      </c>
      <c r="B2592">
        <f>I1129</f>
        <v>85</v>
      </c>
    </row>
    <row r="2593" spans="1:2" ht="15" customHeight="1" x14ac:dyDescent="0.3">
      <c r="A2593" t="s">
        <v>13140</v>
      </c>
      <c r="B2593">
        <f>B2592</f>
        <v>85</v>
      </c>
    </row>
    <row r="2594" spans="1:2" ht="15" customHeight="1" x14ac:dyDescent="0.3">
      <c r="A2594" t="s">
        <v>13141</v>
      </c>
      <c r="B2594">
        <f>I1130</f>
        <v>85</v>
      </c>
    </row>
    <row r="2595" spans="1:2" ht="15" customHeight="1" x14ac:dyDescent="0.3">
      <c r="A2595" t="s">
        <v>13142</v>
      </c>
      <c r="B2595">
        <f>B2594</f>
        <v>85</v>
      </c>
    </row>
    <row r="2596" spans="1:2" ht="15" customHeight="1" x14ac:dyDescent="0.3">
      <c r="A2596" t="s">
        <v>11134</v>
      </c>
      <c r="B2596">
        <f>I1133</f>
        <v>75</v>
      </c>
    </row>
    <row r="2597" spans="1:2" ht="15" customHeight="1" x14ac:dyDescent="0.3">
      <c r="A2597" t="s">
        <v>11135</v>
      </c>
      <c r="B2597">
        <f>I1133</f>
        <v>75</v>
      </c>
    </row>
    <row r="2598" spans="1:2" ht="15" customHeight="1" x14ac:dyDescent="0.3">
      <c r="A2598" t="s">
        <v>11138</v>
      </c>
      <c r="B2598">
        <f>I1133</f>
        <v>75</v>
      </c>
    </row>
    <row r="2599" spans="1:2" ht="15" customHeight="1" x14ac:dyDescent="0.3">
      <c r="A2599" t="s">
        <v>11139</v>
      </c>
      <c r="B2599">
        <f>I1133</f>
        <v>75</v>
      </c>
    </row>
    <row r="2600" spans="1:2" ht="15" customHeight="1" x14ac:dyDescent="0.3">
      <c r="A2600" t="s">
        <v>11136</v>
      </c>
      <c r="B2600">
        <f>I1134</f>
        <v>85</v>
      </c>
    </row>
    <row r="2601" spans="1:2" ht="15" customHeight="1" x14ac:dyDescent="0.3">
      <c r="A2601" t="s">
        <v>11137</v>
      </c>
      <c r="B2601">
        <f>I1134</f>
        <v>85</v>
      </c>
    </row>
    <row r="2602" spans="1:2" ht="15" customHeight="1" x14ac:dyDescent="0.3">
      <c r="A2602" t="s">
        <v>11142</v>
      </c>
      <c r="B2602">
        <f>I1135</f>
        <v>105</v>
      </c>
    </row>
    <row r="2603" spans="1:2" ht="15" customHeight="1" x14ac:dyDescent="0.3">
      <c r="A2603" t="s">
        <v>11143</v>
      </c>
      <c r="B2603">
        <f>I1135</f>
        <v>105</v>
      </c>
    </row>
    <row r="2604" spans="1:2" ht="15" customHeight="1" x14ac:dyDescent="0.3">
      <c r="A2604" t="s">
        <v>12620</v>
      </c>
      <c r="B2604">
        <f>I1136</f>
        <v>85</v>
      </c>
    </row>
    <row r="2605" spans="1:2" ht="15" customHeight="1" x14ac:dyDescent="0.3">
      <c r="A2605" t="s">
        <v>12621</v>
      </c>
      <c r="B2605">
        <f>I1136</f>
        <v>85</v>
      </c>
    </row>
    <row r="2606" spans="1:2" ht="15" customHeight="1" x14ac:dyDescent="0.3">
      <c r="A2606" t="s">
        <v>12622</v>
      </c>
      <c r="B2606">
        <f>I1137</f>
        <v>85</v>
      </c>
    </row>
    <row r="2607" spans="1:2" ht="15" customHeight="1" x14ac:dyDescent="0.3">
      <c r="A2607" t="s">
        <v>12623</v>
      </c>
      <c r="B2607">
        <f>I1137</f>
        <v>85</v>
      </c>
    </row>
    <row r="2608" spans="1:2" ht="15" customHeight="1" x14ac:dyDescent="0.3">
      <c r="A2608" t="s">
        <v>13143</v>
      </c>
      <c r="B2608">
        <f>I1138</f>
        <v>85</v>
      </c>
    </row>
    <row r="2609" spans="1:3" ht="15" customHeight="1" x14ac:dyDescent="0.3">
      <c r="A2609" t="s">
        <v>13144</v>
      </c>
      <c r="B2609">
        <f>B2608</f>
        <v>85</v>
      </c>
    </row>
    <row r="2610" spans="1:3" ht="15" customHeight="1" x14ac:dyDescent="0.3">
      <c r="A2610" t="s">
        <v>13145</v>
      </c>
      <c r="B2610">
        <f>I1139</f>
        <v>85</v>
      </c>
    </row>
    <row r="2611" spans="1:3" ht="15" customHeight="1" x14ac:dyDescent="0.3">
      <c r="A2611" t="s">
        <v>13146</v>
      </c>
      <c r="B2611">
        <f>B2610</f>
        <v>85</v>
      </c>
    </row>
    <row r="2612" spans="1:3" ht="15" customHeight="1" x14ac:dyDescent="0.3">
      <c r="A2612" t="s">
        <v>11140</v>
      </c>
      <c r="B2612">
        <f>I1133</f>
        <v>75</v>
      </c>
    </row>
    <row r="2613" spans="1:3" ht="15" customHeight="1" x14ac:dyDescent="0.3">
      <c r="A2613" t="s">
        <v>11141</v>
      </c>
      <c r="B2613">
        <f>I1133</f>
        <v>75</v>
      </c>
    </row>
    <row r="2614" spans="1:3" ht="15" customHeight="1" x14ac:dyDescent="0.3">
      <c r="A2614" t="s">
        <v>12624</v>
      </c>
      <c r="B2614">
        <f>I1142</f>
        <v>85</v>
      </c>
    </row>
    <row r="2615" spans="1:3" ht="15" customHeight="1" x14ac:dyDescent="0.3">
      <c r="A2615" t="s">
        <v>12625</v>
      </c>
      <c r="B2615">
        <f>I1142</f>
        <v>85</v>
      </c>
    </row>
    <row r="2616" spans="1:3" ht="15" customHeight="1" x14ac:dyDescent="0.3">
      <c r="A2616" t="s">
        <v>3097</v>
      </c>
      <c r="B2616">
        <f>B1276</f>
        <v>65</v>
      </c>
      <c r="C2616" t="s">
        <v>12919</v>
      </c>
    </row>
    <row r="2617" spans="1:3" ht="15" customHeight="1" x14ac:dyDescent="0.3">
      <c r="A2617" t="s">
        <v>2643</v>
      </c>
      <c r="B2617">
        <f>B1270</f>
        <v>75</v>
      </c>
      <c r="C2617" t="s">
        <v>12921</v>
      </c>
    </row>
    <row r="2618" spans="1:3" ht="15" customHeight="1" x14ac:dyDescent="0.3">
      <c r="A2618" t="s">
        <v>3098</v>
      </c>
      <c r="B2618">
        <f>B1275</f>
        <v>65</v>
      </c>
      <c r="C2618" t="s">
        <v>12919</v>
      </c>
    </row>
    <row r="2619" spans="1:3" ht="15" customHeight="1" x14ac:dyDescent="0.3">
      <c r="A2619" t="s">
        <v>2644</v>
      </c>
      <c r="B2619">
        <f>B1277</f>
        <v>75</v>
      </c>
      <c r="C2619" t="s">
        <v>12921</v>
      </c>
    </row>
    <row r="2620" spans="1:3" ht="15" customHeight="1" x14ac:dyDescent="0.3">
      <c r="A2620" t="s">
        <v>3099</v>
      </c>
      <c r="B2620">
        <f>B1290</f>
        <v>60</v>
      </c>
    </row>
    <row r="2621" spans="1:3" ht="15" customHeight="1" x14ac:dyDescent="0.3">
      <c r="A2621" t="s">
        <v>2645</v>
      </c>
      <c r="B2621">
        <f>B1291</f>
        <v>65</v>
      </c>
    </row>
    <row r="2622" spans="1:3" ht="15" customHeight="1" x14ac:dyDescent="0.3">
      <c r="A2622" t="s">
        <v>3100</v>
      </c>
      <c r="B2622">
        <f>B1296</f>
        <v>100</v>
      </c>
    </row>
    <row r="2623" spans="1:3" ht="15" customHeight="1" x14ac:dyDescent="0.3">
      <c r="A2623" t="s">
        <v>2646</v>
      </c>
      <c r="B2623">
        <f>B1297</f>
        <v>160</v>
      </c>
    </row>
    <row r="2624" spans="1:3" ht="15" customHeight="1" x14ac:dyDescent="0.3">
      <c r="A2624" t="s">
        <v>3101</v>
      </c>
      <c r="B2624">
        <f>B1310</f>
        <v>65</v>
      </c>
    </row>
    <row r="2625" spans="1:2" ht="15" customHeight="1" x14ac:dyDescent="0.3">
      <c r="A2625" t="s">
        <v>2647</v>
      </c>
      <c r="B2625">
        <f>B1311</f>
        <v>80</v>
      </c>
    </row>
    <row r="2626" spans="1:2" ht="15" customHeight="1" x14ac:dyDescent="0.3">
      <c r="A2626" t="s">
        <v>3102</v>
      </c>
      <c r="B2626">
        <f>B1324</f>
        <v>60</v>
      </c>
    </row>
    <row r="2627" spans="1:2" ht="15" customHeight="1" x14ac:dyDescent="0.3">
      <c r="A2627" t="s">
        <v>2648</v>
      </c>
      <c r="B2627">
        <f>B1325</f>
        <v>65</v>
      </c>
    </row>
    <row r="2628" spans="1:2" ht="15" customHeight="1" x14ac:dyDescent="0.3">
      <c r="A2628" t="s">
        <v>3103</v>
      </c>
      <c r="B2628">
        <f>B1330</f>
        <v>100</v>
      </c>
    </row>
    <row r="2629" spans="1:2" ht="15" customHeight="1" x14ac:dyDescent="0.3">
      <c r="A2629" t="s">
        <v>3104</v>
      </c>
      <c r="B2629">
        <f>B1337</f>
        <v>65</v>
      </c>
    </row>
    <row r="2630" spans="1:2" ht="15" customHeight="1" x14ac:dyDescent="0.3">
      <c r="A2630" t="s">
        <v>2649</v>
      </c>
      <c r="B2630">
        <f>B1338</f>
        <v>75</v>
      </c>
    </row>
    <row r="2631" spans="1:2" ht="15" customHeight="1" x14ac:dyDescent="0.3">
      <c r="A2631" t="s">
        <v>3105</v>
      </c>
      <c r="B2631">
        <f>B1343</f>
        <v>65</v>
      </c>
    </row>
    <row r="2632" spans="1:2" ht="15" customHeight="1" x14ac:dyDescent="0.3">
      <c r="A2632" t="s">
        <v>2650</v>
      </c>
      <c r="B2632">
        <f>B1344</f>
        <v>80</v>
      </c>
    </row>
    <row r="2633" spans="1:2" ht="15" customHeight="1" x14ac:dyDescent="0.3">
      <c r="A2633" t="s">
        <v>3106</v>
      </c>
      <c r="B2633">
        <f>B1365</f>
        <v>60</v>
      </c>
    </row>
    <row r="2634" spans="1:2" ht="15" customHeight="1" x14ac:dyDescent="0.3">
      <c r="A2634" t="s">
        <v>2651</v>
      </c>
      <c r="B2634">
        <f>B1366</f>
        <v>65</v>
      </c>
    </row>
    <row r="2635" spans="1:2" ht="15" customHeight="1" x14ac:dyDescent="0.3">
      <c r="A2635" t="s">
        <v>3107</v>
      </c>
      <c r="B2635">
        <f>B1383</f>
        <v>155</v>
      </c>
    </row>
    <row r="2636" spans="1:2" ht="15" customHeight="1" x14ac:dyDescent="0.3">
      <c r="A2636" t="s">
        <v>2652</v>
      </c>
      <c r="B2636">
        <f>B1375</f>
        <v>165</v>
      </c>
    </row>
    <row r="2637" spans="1:2" ht="15" customHeight="1" x14ac:dyDescent="0.3">
      <c r="A2637" t="s">
        <v>2789</v>
      </c>
      <c r="B2637">
        <f>B1380</f>
        <v>80</v>
      </c>
    </row>
    <row r="2638" spans="1:2" ht="15" customHeight="1" x14ac:dyDescent="0.3">
      <c r="A2638" t="s">
        <v>3108</v>
      </c>
      <c r="B2638">
        <f>B1384</f>
        <v>75</v>
      </c>
    </row>
    <row r="2639" spans="1:2" ht="15" customHeight="1" x14ac:dyDescent="0.3">
      <c r="A2639" t="s">
        <v>2653</v>
      </c>
      <c r="B2639">
        <f>B1385</f>
        <v>85</v>
      </c>
    </row>
    <row r="2640" spans="1:2" ht="15" customHeight="1" x14ac:dyDescent="0.3">
      <c r="A2640" t="s">
        <v>3109</v>
      </c>
      <c r="B2640">
        <f>B1390</f>
        <v>65</v>
      </c>
    </row>
    <row r="2641" spans="1:2" ht="15" customHeight="1" x14ac:dyDescent="0.3">
      <c r="A2641" t="s">
        <v>2654</v>
      </c>
      <c r="B2641">
        <f>B1391</f>
        <v>80</v>
      </c>
    </row>
    <row r="2642" spans="1:2" ht="15" customHeight="1" x14ac:dyDescent="0.3">
      <c r="A2642" t="s">
        <v>2655</v>
      </c>
      <c r="B2642">
        <f>B1404</f>
        <v>90</v>
      </c>
    </row>
    <row r="2643" spans="1:2" ht="15" customHeight="1" x14ac:dyDescent="0.3">
      <c r="A2643" t="s">
        <v>2843</v>
      </c>
      <c r="B2643">
        <f>B1405</f>
        <v>65</v>
      </c>
    </row>
    <row r="2644" spans="1:2" ht="15" customHeight="1" x14ac:dyDescent="0.3">
      <c r="A2644" t="s">
        <v>2790</v>
      </c>
      <c r="B2644">
        <f>B1406</f>
        <v>80</v>
      </c>
    </row>
    <row r="2645" spans="1:2" ht="15" customHeight="1" x14ac:dyDescent="0.3">
      <c r="A2645" t="s">
        <v>3110</v>
      </c>
      <c r="B2645">
        <f>B1416</f>
        <v>155</v>
      </c>
    </row>
    <row r="2646" spans="1:2" ht="15" customHeight="1" x14ac:dyDescent="0.3">
      <c r="A2646" t="s">
        <v>2656</v>
      </c>
      <c r="B2646">
        <f>B1409</f>
        <v>165</v>
      </c>
    </row>
    <row r="2647" spans="1:2" ht="15" customHeight="1" x14ac:dyDescent="0.3">
      <c r="A2647" t="s">
        <v>2844</v>
      </c>
      <c r="B2647">
        <f>B1417</f>
        <v>65</v>
      </c>
    </row>
    <row r="2648" spans="1:2" ht="15" customHeight="1" x14ac:dyDescent="0.3">
      <c r="A2648" t="s">
        <v>2791</v>
      </c>
      <c r="B2648">
        <f>B1418</f>
        <v>80</v>
      </c>
    </row>
    <row r="2649" spans="1:2" ht="15" customHeight="1" x14ac:dyDescent="0.3">
      <c r="A2649" t="s">
        <v>3111</v>
      </c>
      <c r="B2649">
        <f>B1428</f>
        <v>160</v>
      </c>
    </row>
    <row r="2650" spans="1:2" ht="15" customHeight="1" x14ac:dyDescent="0.3">
      <c r="A2650" t="s">
        <v>2657</v>
      </c>
      <c r="B2650">
        <f>B1421</f>
        <v>165</v>
      </c>
    </row>
    <row r="2651" spans="1:2" ht="15" customHeight="1" x14ac:dyDescent="0.3">
      <c r="A2651" t="s">
        <v>2091</v>
      </c>
      <c r="B2651">
        <f>B1429</f>
        <v>60</v>
      </c>
    </row>
    <row r="2652" spans="1:2" ht="15" customHeight="1" x14ac:dyDescent="0.3">
      <c r="A2652" t="s">
        <v>3113</v>
      </c>
      <c r="B2652">
        <f>B1430</f>
        <v>60</v>
      </c>
    </row>
    <row r="2653" spans="1:2" ht="15" customHeight="1" x14ac:dyDescent="0.3">
      <c r="A2653" t="s">
        <v>3114</v>
      </c>
      <c r="B2653">
        <f>B1432</f>
        <v>75</v>
      </c>
    </row>
    <row r="2654" spans="1:2" ht="15" customHeight="1" x14ac:dyDescent="0.3">
      <c r="A2654" t="s">
        <v>2658</v>
      </c>
      <c r="B2654">
        <f>B1433</f>
        <v>90</v>
      </c>
    </row>
    <row r="2655" spans="1:2" ht="15" customHeight="1" x14ac:dyDescent="0.3">
      <c r="A2655" t="s">
        <v>3115</v>
      </c>
      <c r="B2655">
        <f>B1435</f>
        <v>65</v>
      </c>
    </row>
    <row r="2656" spans="1:2" ht="15" customHeight="1" x14ac:dyDescent="0.3">
      <c r="A2656" t="s">
        <v>2659</v>
      </c>
      <c r="B2656">
        <f>B1436</f>
        <v>80</v>
      </c>
    </row>
    <row r="2657" spans="1:2" ht="15" customHeight="1" x14ac:dyDescent="0.3">
      <c r="A2657" t="s">
        <v>3116</v>
      </c>
      <c r="B2657">
        <f>B1437</f>
        <v>70</v>
      </c>
    </row>
    <row r="2658" spans="1:2" ht="15" customHeight="1" x14ac:dyDescent="0.3">
      <c r="A2658" t="s">
        <v>2845</v>
      </c>
      <c r="B2658">
        <f>B1438</f>
        <v>75</v>
      </c>
    </row>
    <row r="2659" spans="1:2" ht="15" customHeight="1" x14ac:dyDescent="0.3">
      <c r="A2659" t="s">
        <v>3117</v>
      </c>
      <c r="B2659">
        <f>B1449</f>
        <v>180</v>
      </c>
    </row>
    <row r="2660" spans="1:2" ht="15" customHeight="1" x14ac:dyDescent="0.3">
      <c r="A2660" t="s">
        <v>2660</v>
      </c>
      <c r="B2660">
        <f>B1441</f>
        <v>205</v>
      </c>
    </row>
    <row r="2661" spans="1:2" ht="15" customHeight="1" x14ac:dyDescent="0.3">
      <c r="A2661" t="s">
        <v>2792</v>
      </c>
      <c r="B2661">
        <f>B1446</f>
        <v>85</v>
      </c>
    </row>
    <row r="2662" spans="1:2" ht="15" customHeight="1" x14ac:dyDescent="0.3">
      <c r="A2662" t="s">
        <v>3118</v>
      </c>
      <c r="B2662">
        <f>B1450</f>
        <v>65</v>
      </c>
    </row>
    <row r="2663" spans="1:2" ht="15" customHeight="1" x14ac:dyDescent="0.3">
      <c r="A2663" t="s">
        <v>2661</v>
      </c>
      <c r="B2663">
        <f>B1451</f>
        <v>80</v>
      </c>
    </row>
    <row r="2664" spans="1:2" ht="15" customHeight="1" x14ac:dyDescent="0.3">
      <c r="A2664" t="s">
        <v>2662</v>
      </c>
      <c r="B2664">
        <f>B1458</f>
        <v>80</v>
      </c>
    </row>
    <row r="2665" spans="1:2" ht="15" customHeight="1" x14ac:dyDescent="0.3">
      <c r="A2665" t="s">
        <v>3388</v>
      </c>
      <c r="B2665">
        <f>B1471</f>
        <v>85</v>
      </c>
    </row>
    <row r="2666" spans="1:2" ht="15" customHeight="1" x14ac:dyDescent="0.3">
      <c r="A2666" t="s">
        <v>3120</v>
      </c>
      <c r="B2666">
        <f>B1472</f>
        <v>90</v>
      </c>
    </row>
    <row r="2667" spans="1:2" ht="15" customHeight="1" x14ac:dyDescent="0.3">
      <c r="A2667" t="s">
        <v>3121</v>
      </c>
      <c r="B2667">
        <f>B1479</f>
        <v>60</v>
      </c>
    </row>
    <row r="2668" spans="1:2" ht="15" customHeight="1" x14ac:dyDescent="0.3">
      <c r="A2668" t="s">
        <v>3122</v>
      </c>
      <c r="B2668">
        <f>B1480</f>
        <v>65</v>
      </c>
    </row>
    <row r="2669" spans="1:2" ht="15" customHeight="1" x14ac:dyDescent="0.3">
      <c r="A2669" t="s">
        <v>3123</v>
      </c>
      <c r="B2669">
        <f>B1481</f>
        <v>75</v>
      </c>
    </row>
    <row r="2670" spans="1:2" ht="15" customHeight="1" x14ac:dyDescent="0.3">
      <c r="A2670" t="s">
        <v>2663</v>
      </c>
      <c r="B2670">
        <f>B1482</f>
        <v>80</v>
      </c>
    </row>
    <row r="2671" spans="1:2" ht="15" customHeight="1" x14ac:dyDescent="0.3">
      <c r="A2671" t="s">
        <v>3124</v>
      </c>
      <c r="B2671">
        <f>B1489</f>
        <v>65</v>
      </c>
    </row>
    <row r="2672" spans="1:2" ht="15" customHeight="1" x14ac:dyDescent="0.3">
      <c r="A2672" t="s">
        <v>2664</v>
      </c>
      <c r="B2672">
        <f>B1490</f>
        <v>75</v>
      </c>
    </row>
    <row r="2673" spans="1:2" ht="15" customHeight="1" x14ac:dyDescent="0.3">
      <c r="A2673" t="s">
        <v>3125</v>
      </c>
      <c r="B2673">
        <f>B1491</f>
        <v>70</v>
      </c>
    </row>
    <row r="2674" spans="1:2" ht="15" customHeight="1" x14ac:dyDescent="0.3">
      <c r="A2674" t="s">
        <v>2665</v>
      </c>
      <c r="B2674">
        <f>B1493</f>
        <v>85</v>
      </c>
    </row>
    <row r="2675" spans="1:2" ht="15" customHeight="1" x14ac:dyDescent="0.3">
      <c r="A2675" t="s">
        <v>3127</v>
      </c>
      <c r="B2675">
        <f>B1498</f>
        <v>70</v>
      </c>
    </row>
    <row r="2676" spans="1:2" ht="15" customHeight="1" x14ac:dyDescent="0.3">
      <c r="A2676" t="s">
        <v>2666</v>
      </c>
      <c r="B2676">
        <f>B1500</f>
        <v>85</v>
      </c>
    </row>
    <row r="2677" spans="1:2" ht="15" customHeight="1" x14ac:dyDescent="0.3">
      <c r="A2677" t="s">
        <v>3128</v>
      </c>
      <c r="B2677">
        <f>B1505</f>
        <v>70</v>
      </c>
    </row>
    <row r="2678" spans="1:2" ht="15" customHeight="1" x14ac:dyDescent="0.3">
      <c r="A2678" t="s">
        <v>2667</v>
      </c>
      <c r="B2678">
        <f>B1506</f>
        <v>85</v>
      </c>
    </row>
    <row r="2679" spans="1:2" ht="15" customHeight="1" x14ac:dyDescent="0.3">
      <c r="A2679" t="s">
        <v>13287</v>
      </c>
      <c r="B2679">
        <f>I636</f>
        <v>110</v>
      </c>
    </row>
    <row r="2680" spans="1:2" ht="15" customHeight="1" x14ac:dyDescent="0.3">
      <c r="A2680" t="s">
        <v>13288</v>
      </c>
      <c r="B2680">
        <f>I636</f>
        <v>110</v>
      </c>
    </row>
    <row r="2681" spans="1:2" ht="15" customHeight="1" x14ac:dyDescent="0.3">
      <c r="A2681" t="s">
        <v>13289</v>
      </c>
      <c r="B2681">
        <f>I637</f>
        <v>105</v>
      </c>
    </row>
    <row r="2682" spans="1:2" ht="15" customHeight="1" x14ac:dyDescent="0.3">
      <c r="A2682" t="s">
        <v>13290</v>
      </c>
      <c r="B2682">
        <f>I637</f>
        <v>105</v>
      </c>
    </row>
    <row r="2683" spans="1:2" ht="15" customHeight="1" x14ac:dyDescent="0.3">
      <c r="A2683" t="s">
        <v>3129</v>
      </c>
      <c r="B2683">
        <f>B1507</f>
        <v>70</v>
      </c>
    </row>
    <row r="2684" spans="1:2" ht="15" customHeight="1" x14ac:dyDescent="0.3">
      <c r="A2684" t="s">
        <v>3130</v>
      </c>
      <c r="B2684">
        <f>B1508</f>
        <v>60</v>
      </c>
    </row>
    <row r="2685" spans="1:2" ht="15" customHeight="1" x14ac:dyDescent="0.3">
      <c r="A2685" t="s">
        <v>2668</v>
      </c>
      <c r="B2685">
        <f>B1509</f>
        <v>80</v>
      </c>
    </row>
    <row r="2686" spans="1:2" ht="15" customHeight="1" x14ac:dyDescent="0.3">
      <c r="A2686" t="s">
        <v>3131</v>
      </c>
      <c r="B2686">
        <f>B1514</f>
        <v>70</v>
      </c>
    </row>
    <row r="2687" spans="1:2" ht="15" customHeight="1" x14ac:dyDescent="0.3">
      <c r="A2687" t="s">
        <v>3132</v>
      </c>
      <c r="B2687">
        <f>B1515</f>
        <v>65</v>
      </c>
    </row>
    <row r="2688" spans="1:2" ht="15" customHeight="1" x14ac:dyDescent="0.3">
      <c r="A2688" t="s">
        <v>2669</v>
      </c>
      <c r="B2688">
        <f>B1516</f>
        <v>90</v>
      </c>
    </row>
    <row r="2689" spans="1:2" ht="15" customHeight="1" x14ac:dyDescent="0.3">
      <c r="A2689" t="s">
        <v>2846</v>
      </c>
      <c r="B2689">
        <f>B1521</f>
        <v>65</v>
      </c>
    </row>
    <row r="2690" spans="1:2" ht="15" customHeight="1" x14ac:dyDescent="0.3">
      <c r="A2690" t="s">
        <v>3133</v>
      </c>
      <c r="B2690">
        <f>B1526</f>
        <v>155</v>
      </c>
    </row>
    <row r="2691" spans="1:2" ht="15" customHeight="1" x14ac:dyDescent="0.3">
      <c r="A2691" t="s">
        <v>2847</v>
      </c>
      <c r="B2691">
        <f>B1533</f>
        <v>75</v>
      </c>
    </row>
    <row r="2692" spans="1:2" ht="15" customHeight="1" x14ac:dyDescent="0.3">
      <c r="A2692" t="s">
        <v>2793</v>
      </c>
      <c r="B2692">
        <f>B1541</f>
        <v>100</v>
      </c>
    </row>
    <row r="2693" spans="1:2" ht="15" customHeight="1" x14ac:dyDescent="0.3">
      <c r="A2693" t="s">
        <v>3134</v>
      </c>
      <c r="B2693">
        <f>B1544</f>
        <v>180</v>
      </c>
    </row>
    <row r="2694" spans="1:2" ht="15" customHeight="1" x14ac:dyDescent="0.3">
      <c r="A2694" t="s">
        <v>2670</v>
      </c>
      <c r="B2694">
        <f>B1536</f>
        <v>215</v>
      </c>
    </row>
    <row r="2695" spans="1:2" ht="15" customHeight="1" x14ac:dyDescent="0.3">
      <c r="A2695" t="s">
        <v>3135</v>
      </c>
      <c r="B2695">
        <f>B1545</f>
        <v>75</v>
      </c>
    </row>
    <row r="2696" spans="1:2" ht="15" customHeight="1" x14ac:dyDescent="0.3">
      <c r="A2696" t="s">
        <v>2671</v>
      </c>
      <c r="B2696">
        <f>B1546</f>
        <v>95</v>
      </c>
    </row>
    <row r="2697" spans="1:2" ht="15" customHeight="1" x14ac:dyDescent="0.3">
      <c r="A2697" t="s">
        <v>3136</v>
      </c>
      <c r="B2697">
        <f>B1553</f>
        <v>65</v>
      </c>
    </row>
    <row r="2698" spans="1:2" ht="15" customHeight="1" x14ac:dyDescent="0.3">
      <c r="A2698" t="s">
        <v>2672</v>
      </c>
      <c r="B2698">
        <f>B1554</f>
        <v>80</v>
      </c>
    </row>
    <row r="2699" spans="1:2" ht="15" customHeight="1" x14ac:dyDescent="0.3">
      <c r="A2699" t="s">
        <v>3137</v>
      </c>
      <c r="B2699">
        <f>B1555</f>
        <v>60</v>
      </c>
    </row>
    <row r="2700" spans="1:2" ht="15" customHeight="1" x14ac:dyDescent="0.3">
      <c r="A2700" t="s">
        <v>2673</v>
      </c>
      <c r="B2700">
        <f>B1556</f>
        <v>90</v>
      </c>
    </row>
    <row r="2701" spans="1:2" ht="15" customHeight="1" x14ac:dyDescent="0.3">
      <c r="A2701" t="s">
        <v>3138</v>
      </c>
      <c r="B2701">
        <f>B1561</f>
        <v>65</v>
      </c>
    </row>
    <row r="2702" spans="1:2" ht="15" customHeight="1" x14ac:dyDescent="0.3">
      <c r="A2702" t="s">
        <v>2674</v>
      </c>
      <c r="B2702">
        <f>B1562</f>
        <v>90</v>
      </c>
    </row>
    <row r="2703" spans="1:2" ht="15" customHeight="1" x14ac:dyDescent="0.3">
      <c r="A2703" t="s">
        <v>3139</v>
      </c>
      <c r="B2703">
        <f>B1573</f>
        <v>60</v>
      </c>
    </row>
    <row r="2704" spans="1:2" ht="15" customHeight="1" x14ac:dyDescent="0.3">
      <c r="A2704" t="s">
        <v>2675</v>
      </c>
      <c r="B2704">
        <f>B1574</f>
        <v>65</v>
      </c>
    </row>
    <row r="2705" spans="1:2" ht="15" customHeight="1" x14ac:dyDescent="0.3">
      <c r="A2705" t="s">
        <v>3140</v>
      </c>
      <c r="B2705">
        <f>B1567</f>
        <v>70</v>
      </c>
    </row>
    <row r="2706" spans="1:2" ht="15" customHeight="1" x14ac:dyDescent="0.3">
      <c r="A2706" t="s">
        <v>2676</v>
      </c>
      <c r="B2706">
        <f>B1568</f>
        <v>100</v>
      </c>
    </row>
    <row r="2707" spans="1:2" ht="15" customHeight="1" x14ac:dyDescent="0.3">
      <c r="A2707" t="s">
        <v>3141</v>
      </c>
      <c r="B2707">
        <f>B1590</f>
        <v>180</v>
      </c>
    </row>
    <row r="2708" spans="1:2" ht="15" customHeight="1" x14ac:dyDescent="0.3">
      <c r="A2708" t="s">
        <v>2677</v>
      </c>
      <c r="B2708">
        <f>B1582</f>
        <v>205</v>
      </c>
    </row>
    <row r="2709" spans="1:2" ht="15" customHeight="1" x14ac:dyDescent="0.3">
      <c r="A2709" t="s">
        <v>2848</v>
      </c>
      <c r="B2709">
        <f>B1579</f>
        <v>75</v>
      </c>
    </row>
    <row r="2710" spans="1:2" ht="15" customHeight="1" x14ac:dyDescent="0.3">
      <c r="A2710" t="s">
        <v>2794</v>
      </c>
      <c r="B2710">
        <f>B1587</f>
        <v>85</v>
      </c>
    </row>
    <row r="2711" spans="1:2" ht="15" customHeight="1" x14ac:dyDescent="0.3">
      <c r="A2711" t="s">
        <v>2678</v>
      </c>
      <c r="B2711">
        <f>B1598</f>
        <v>200</v>
      </c>
    </row>
    <row r="2712" spans="1:2" ht="15" customHeight="1" x14ac:dyDescent="0.3">
      <c r="A2712" t="s">
        <v>2849</v>
      </c>
      <c r="B2712">
        <f>B1591</f>
        <v>70</v>
      </c>
    </row>
    <row r="2713" spans="1:2" ht="15" customHeight="1" x14ac:dyDescent="0.3">
      <c r="A2713" t="s">
        <v>2795</v>
      </c>
      <c r="B2713">
        <f>B1599</f>
        <v>90</v>
      </c>
    </row>
    <row r="2714" spans="1:2" ht="15" customHeight="1" x14ac:dyDescent="0.3">
      <c r="A2714" t="s">
        <v>3142</v>
      </c>
      <c r="B2714">
        <f>B1633</f>
        <v>60</v>
      </c>
    </row>
    <row r="2715" spans="1:2" ht="15" customHeight="1" x14ac:dyDescent="0.3">
      <c r="A2715" t="s">
        <v>2679</v>
      </c>
      <c r="B2715">
        <f>B1634</f>
        <v>75</v>
      </c>
    </row>
    <row r="2716" spans="1:2" ht="15" customHeight="1" x14ac:dyDescent="0.3">
      <c r="A2716" t="s">
        <v>3143</v>
      </c>
      <c r="B2716">
        <f>B1639</f>
        <v>75</v>
      </c>
    </row>
    <row r="2717" spans="1:2" ht="15" customHeight="1" x14ac:dyDescent="0.3">
      <c r="A2717" t="s">
        <v>2680</v>
      </c>
      <c r="B2717">
        <f>B1640</f>
        <v>90</v>
      </c>
    </row>
    <row r="2718" spans="1:2" ht="15" customHeight="1" x14ac:dyDescent="0.3">
      <c r="A2718" t="s">
        <v>3144</v>
      </c>
      <c r="B2718">
        <f>B1645</f>
        <v>75</v>
      </c>
    </row>
    <row r="2719" spans="1:2" ht="15" customHeight="1" x14ac:dyDescent="0.3">
      <c r="A2719" t="s">
        <v>2681</v>
      </c>
      <c r="B2719">
        <f>B1646</f>
        <v>85</v>
      </c>
    </row>
    <row r="2720" spans="1:2" ht="15" customHeight="1" x14ac:dyDescent="0.3">
      <c r="A2720" t="s">
        <v>3146</v>
      </c>
      <c r="B2720">
        <f>B1655</f>
        <v>65</v>
      </c>
    </row>
    <row r="2721" spans="1:2" ht="15" customHeight="1" x14ac:dyDescent="0.3">
      <c r="A2721" t="s">
        <v>2683</v>
      </c>
      <c r="B2721">
        <f>B1656</f>
        <v>75</v>
      </c>
    </row>
    <row r="2722" spans="1:2" ht="15" customHeight="1" x14ac:dyDescent="0.3">
      <c r="A2722" t="s">
        <v>3147</v>
      </c>
      <c r="B2722">
        <f>B1661</f>
        <v>75</v>
      </c>
    </row>
    <row r="2723" spans="1:2" ht="15" customHeight="1" x14ac:dyDescent="0.3">
      <c r="A2723" t="s">
        <v>3148</v>
      </c>
      <c r="B2723">
        <f>B1668</f>
        <v>65</v>
      </c>
    </row>
    <row r="2724" spans="1:2" ht="15" customHeight="1" x14ac:dyDescent="0.3">
      <c r="A2724" t="s">
        <v>3149</v>
      </c>
      <c r="B2724">
        <f>B1669</f>
        <v>60</v>
      </c>
    </row>
    <row r="2725" spans="1:2" ht="15" customHeight="1" x14ac:dyDescent="0.3">
      <c r="A2725" t="s">
        <v>2684</v>
      </c>
      <c r="B2725">
        <f>B1670</f>
        <v>90</v>
      </c>
    </row>
    <row r="2726" spans="1:2" ht="15" customHeight="1" x14ac:dyDescent="0.3">
      <c r="A2726" t="s">
        <v>3150</v>
      </c>
      <c r="B2726">
        <f>B1671</f>
        <v>170</v>
      </c>
    </row>
    <row r="2727" spans="1:2" ht="15" customHeight="1" x14ac:dyDescent="0.3">
      <c r="A2727" t="s">
        <v>2685</v>
      </c>
      <c r="B2727">
        <f>B1673</f>
        <v>170</v>
      </c>
    </row>
    <row r="2728" spans="1:2" ht="15" customHeight="1" x14ac:dyDescent="0.3">
      <c r="A2728" t="s">
        <v>3151</v>
      </c>
      <c r="B2728">
        <f>B1678</f>
        <v>135</v>
      </c>
    </row>
    <row r="2729" spans="1:2" ht="15" customHeight="1" x14ac:dyDescent="0.3">
      <c r="A2729" t="s">
        <v>3152</v>
      </c>
      <c r="B2729">
        <f>B1683</f>
        <v>120</v>
      </c>
    </row>
    <row r="2730" spans="1:2" ht="15" customHeight="1" x14ac:dyDescent="0.3">
      <c r="A2730" t="s">
        <v>3153</v>
      </c>
      <c r="B2730">
        <f>B1686</f>
        <v>150</v>
      </c>
    </row>
    <row r="2731" spans="1:2" ht="15" customHeight="1" x14ac:dyDescent="0.3">
      <c r="A2731" t="s">
        <v>3154</v>
      </c>
      <c r="B2731">
        <f>B1689</f>
        <v>120</v>
      </c>
    </row>
    <row r="2732" spans="1:2" ht="15" customHeight="1" x14ac:dyDescent="0.3">
      <c r="A2732" t="s">
        <v>3155</v>
      </c>
      <c r="B2732">
        <f>B1692</f>
        <v>165</v>
      </c>
    </row>
    <row r="2733" spans="1:2" ht="15" customHeight="1" x14ac:dyDescent="0.3">
      <c r="A2733" t="s">
        <v>3156</v>
      </c>
      <c r="B2733">
        <f>B1114</f>
        <v>65</v>
      </c>
    </row>
    <row r="2734" spans="1:2" ht="15" customHeight="1" x14ac:dyDescent="0.3">
      <c r="A2734" t="s">
        <v>2686</v>
      </c>
      <c r="B2734">
        <f>B1693</f>
        <v>75</v>
      </c>
    </row>
    <row r="2735" spans="1:2" ht="15" customHeight="1" x14ac:dyDescent="0.3">
      <c r="A2735" t="s">
        <v>3157</v>
      </c>
      <c r="B2735">
        <f>B1119</f>
        <v>60</v>
      </c>
    </row>
    <row r="2736" spans="1:2" ht="15" customHeight="1" x14ac:dyDescent="0.3">
      <c r="A2736" t="s">
        <v>2687</v>
      </c>
      <c r="B2736">
        <f>B1698</f>
        <v>70</v>
      </c>
    </row>
    <row r="2737" spans="1:2" ht="15" customHeight="1" x14ac:dyDescent="0.3">
      <c r="A2737" t="s">
        <v>3158</v>
      </c>
      <c r="B2737">
        <f>B1703</f>
        <v>60</v>
      </c>
    </row>
    <row r="2738" spans="1:2" ht="15" customHeight="1" x14ac:dyDescent="0.3">
      <c r="A2738" t="s">
        <v>2688</v>
      </c>
      <c r="B2738">
        <f>B1704</f>
        <v>75</v>
      </c>
    </row>
    <row r="2739" spans="1:2" ht="15" customHeight="1" x14ac:dyDescent="0.3">
      <c r="A2739" t="s">
        <v>3159</v>
      </c>
      <c r="B2739">
        <f>B1709</f>
        <v>65</v>
      </c>
    </row>
    <row r="2740" spans="1:2" ht="15" customHeight="1" x14ac:dyDescent="0.3">
      <c r="A2740" t="s">
        <v>2689</v>
      </c>
      <c r="B2740">
        <f>B1710</f>
        <v>75</v>
      </c>
    </row>
    <row r="2741" spans="1:2" ht="15" customHeight="1" x14ac:dyDescent="0.3">
      <c r="A2741" t="s">
        <v>3160</v>
      </c>
      <c r="B2741">
        <f>B1715</f>
        <v>65</v>
      </c>
    </row>
    <row r="2742" spans="1:2" ht="15" customHeight="1" x14ac:dyDescent="0.3">
      <c r="A2742" t="s">
        <v>2690</v>
      </c>
      <c r="B2742">
        <f>B1716</f>
        <v>80</v>
      </c>
    </row>
    <row r="2743" spans="1:2" ht="15" customHeight="1" x14ac:dyDescent="0.3">
      <c r="A2743" t="s">
        <v>3161</v>
      </c>
      <c r="B2743">
        <f>B1721</f>
        <v>40</v>
      </c>
    </row>
    <row r="2744" spans="1:2" ht="15" customHeight="1" x14ac:dyDescent="0.3">
      <c r="A2744" t="s">
        <v>3162</v>
      </c>
      <c r="B2744">
        <f>B1722</f>
        <v>55</v>
      </c>
    </row>
    <row r="2745" spans="1:2" ht="15" customHeight="1" x14ac:dyDescent="0.3">
      <c r="A2745" t="s">
        <v>3163</v>
      </c>
      <c r="B2745">
        <f>B1723</f>
        <v>65</v>
      </c>
    </row>
    <row r="2746" spans="1:2" ht="15" customHeight="1" x14ac:dyDescent="0.3">
      <c r="A2746" t="s">
        <v>2691</v>
      </c>
      <c r="B2746">
        <f>B1724</f>
        <v>75</v>
      </c>
    </row>
    <row r="2747" spans="1:2" ht="15" customHeight="1" x14ac:dyDescent="0.3">
      <c r="A2747" t="s">
        <v>3164</v>
      </c>
      <c r="B2747">
        <f t="shared" ref="B2747:B2755" si="1119">B1729</f>
        <v>65</v>
      </c>
    </row>
    <row r="2748" spans="1:2" ht="15" customHeight="1" x14ac:dyDescent="0.3">
      <c r="A2748" t="s">
        <v>3165</v>
      </c>
      <c r="B2748">
        <f t="shared" si="1119"/>
        <v>55</v>
      </c>
    </row>
    <row r="2749" spans="1:2" ht="15" customHeight="1" x14ac:dyDescent="0.3">
      <c r="A2749" t="s">
        <v>3166</v>
      </c>
      <c r="B2749">
        <f t="shared" si="1119"/>
        <v>60</v>
      </c>
    </row>
    <row r="2750" spans="1:2" ht="15" customHeight="1" x14ac:dyDescent="0.3">
      <c r="A2750" t="s">
        <v>3167</v>
      </c>
      <c r="B2750">
        <f t="shared" si="1119"/>
        <v>65</v>
      </c>
    </row>
    <row r="2751" spans="1:2" ht="15" customHeight="1" x14ac:dyDescent="0.3">
      <c r="A2751" t="s">
        <v>2692</v>
      </c>
      <c r="B2751">
        <f t="shared" si="1119"/>
        <v>70</v>
      </c>
    </row>
    <row r="2752" spans="1:2" ht="15" customHeight="1" x14ac:dyDescent="0.3">
      <c r="A2752" t="s">
        <v>3168</v>
      </c>
      <c r="B2752">
        <f t="shared" si="1119"/>
        <v>60</v>
      </c>
    </row>
    <row r="2753" spans="1:3" ht="15" customHeight="1" x14ac:dyDescent="0.3">
      <c r="A2753" t="s">
        <v>2693</v>
      </c>
      <c r="B2753">
        <f t="shared" si="1119"/>
        <v>75</v>
      </c>
    </row>
    <row r="2754" spans="1:3" ht="15" customHeight="1" x14ac:dyDescent="0.3">
      <c r="A2754" t="s">
        <v>3169</v>
      </c>
      <c r="B2754">
        <f t="shared" si="1119"/>
        <v>65</v>
      </c>
      <c r="C2754" t="s">
        <v>12918</v>
      </c>
    </row>
    <row r="2755" spans="1:3" ht="15" customHeight="1" x14ac:dyDescent="0.3">
      <c r="A2755" t="s">
        <v>2694</v>
      </c>
      <c r="B2755">
        <f t="shared" si="1119"/>
        <v>75</v>
      </c>
    </row>
    <row r="2756" spans="1:3" ht="15" customHeight="1" x14ac:dyDescent="0.3">
      <c r="A2756" t="s">
        <v>3170</v>
      </c>
      <c r="B2756">
        <f>B1113</f>
        <v>65</v>
      </c>
      <c r="C2756" t="s">
        <v>12918</v>
      </c>
    </row>
    <row r="2757" spans="1:3" ht="15" customHeight="1" x14ac:dyDescent="0.3">
      <c r="A2757" t="s">
        <v>2695</v>
      </c>
      <c r="B2757">
        <f>B1740</f>
        <v>75</v>
      </c>
    </row>
    <row r="2758" spans="1:3" ht="15" customHeight="1" x14ac:dyDescent="0.3">
      <c r="A2758" t="s">
        <v>3171</v>
      </c>
      <c r="B2758">
        <f>B1741</f>
        <v>60</v>
      </c>
    </row>
    <row r="2759" spans="1:3" ht="15" customHeight="1" x14ac:dyDescent="0.3">
      <c r="A2759" t="s">
        <v>2696</v>
      </c>
      <c r="B2759">
        <f>B1742</f>
        <v>65</v>
      </c>
    </row>
    <row r="2760" spans="1:3" ht="15" customHeight="1" x14ac:dyDescent="0.3">
      <c r="A2760" t="s">
        <v>3172</v>
      </c>
      <c r="B2760">
        <f>B1747</f>
        <v>60</v>
      </c>
    </row>
    <row r="2761" spans="1:3" ht="15" customHeight="1" x14ac:dyDescent="0.3">
      <c r="A2761" t="s">
        <v>2697</v>
      </c>
      <c r="B2761">
        <f>B1748</f>
        <v>75</v>
      </c>
    </row>
    <row r="2762" spans="1:3" ht="15" customHeight="1" x14ac:dyDescent="0.3">
      <c r="A2762" t="s">
        <v>3173</v>
      </c>
      <c r="B2762">
        <f>B1753</f>
        <v>60</v>
      </c>
    </row>
    <row r="2763" spans="1:3" ht="15" customHeight="1" x14ac:dyDescent="0.3">
      <c r="A2763" t="s">
        <v>2698</v>
      </c>
      <c r="B2763">
        <f>B1754</f>
        <v>65</v>
      </c>
    </row>
    <row r="2764" spans="1:3" ht="15" customHeight="1" x14ac:dyDescent="0.3">
      <c r="A2764" t="s">
        <v>3175</v>
      </c>
      <c r="B2764">
        <f>B1765</f>
        <v>250</v>
      </c>
    </row>
    <row r="2765" spans="1:3" ht="15" customHeight="1" x14ac:dyDescent="0.3">
      <c r="A2765" t="s">
        <v>3174</v>
      </c>
      <c r="B2765">
        <f>B1777</f>
        <v>220</v>
      </c>
    </row>
    <row r="2766" spans="1:3" ht="15" customHeight="1" x14ac:dyDescent="0.3">
      <c r="A2766" t="s">
        <v>2699</v>
      </c>
      <c r="B2766">
        <f>B1771</f>
        <v>240</v>
      </c>
    </row>
    <row r="2767" spans="1:3" ht="15" customHeight="1" x14ac:dyDescent="0.3">
      <c r="A2767" t="s">
        <v>2850</v>
      </c>
      <c r="B2767">
        <f>B1786</f>
        <v>75</v>
      </c>
    </row>
    <row r="2768" spans="1:3" ht="15" customHeight="1" x14ac:dyDescent="0.3">
      <c r="A2768" t="s">
        <v>3176</v>
      </c>
      <c r="B2768">
        <f>B1789</f>
        <v>180</v>
      </c>
    </row>
    <row r="2769" spans="1:2" ht="15" customHeight="1" x14ac:dyDescent="0.3">
      <c r="A2769" t="s">
        <v>3177</v>
      </c>
      <c r="B2769">
        <f>B1794</f>
        <v>340</v>
      </c>
    </row>
    <row r="2770" spans="1:2" ht="15" customHeight="1" x14ac:dyDescent="0.3">
      <c r="A2770" t="s">
        <v>2700</v>
      </c>
      <c r="B2770">
        <f>B1833</f>
        <v>65</v>
      </c>
    </row>
    <row r="2771" spans="1:2" ht="15" customHeight="1" x14ac:dyDescent="0.3">
      <c r="A2771" t="s">
        <v>2701</v>
      </c>
      <c r="B2771">
        <f>B1835</f>
        <v>70</v>
      </c>
    </row>
    <row r="2772" spans="1:2" ht="15" customHeight="1" x14ac:dyDescent="0.3">
      <c r="A2772" t="s">
        <v>3178</v>
      </c>
      <c r="B2772">
        <f>B1837</f>
        <v>75</v>
      </c>
    </row>
    <row r="2773" spans="1:2" ht="15" customHeight="1" x14ac:dyDescent="0.3">
      <c r="A2773" t="s">
        <v>2702</v>
      </c>
      <c r="B2773">
        <f>B1838</f>
        <v>95</v>
      </c>
    </row>
    <row r="2774" spans="1:2" ht="15" customHeight="1" x14ac:dyDescent="0.3">
      <c r="A2774" t="s">
        <v>3179</v>
      </c>
      <c r="B2774">
        <f>B1836</f>
        <v>75</v>
      </c>
    </row>
    <row r="2775" spans="1:2" ht="15" customHeight="1" x14ac:dyDescent="0.3">
      <c r="A2775" t="s">
        <v>2703</v>
      </c>
      <c r="B2775">
        <f>B1839</f>
        <v>85</v>
      </c>
    </row>
    <row r="2776" spans="1:2" ht="15" customHeight="1" x14ac:dyDescent="0.3">
      <c r="A2776" t="s">
        <v>3180</v>
      </c>
      <c r="B2776">
        <f>B1842</f>
        <v>75</v>
      </c>
    </row>
    <row r="2777" spans="1:2" ht="15" customHeight="1" x14ac:dyDescent="0.3">
      <c r="A2777" t="s">
        <v>2704</v>
      </c>
      <c r="B2777">
        <f>B1845</f>
        <v>85</v>
      </c>
    </row>
    <row r="2778" spans="1:2" ht="15" customHeight="1" x14ac:dyDescent="0.3">
      <c r="A2778" t="s">
        <v>3181</v>
      </c>
      <c r="B2778">
        <f>B1846</f>
        <v>75</v>
      </c>
    </row>
    <row r="2779" spans="1:2" ht="15" customHeight="1" x14ac:dyDescent="0.3">
      <c r="A2779" t="s">
        <v>2705</v>
      </c>
      <c r="B2779">
        <f>B1847</f>
        <v>95</v>
      </c>
    </row>
    <row r="2780" spans="1:2" ht="15" customHeight="1" x14ac:dyDescent="0.3">
      <c r="A2780" t="s">
        <v>3182</v>
      </c>
      <c r="B2780">
        <f>B1848</f>
        <v>65</v>
      </c>
    </row>
    <row r="2781" spans="1:2" ht="15" customHeight="1" x14ac:dyDescent="0.3">
      <c r="A2781" t="s">
        <v>2706</v>
      </c>
      <c r="B2781">
        <f>B1849</f>
        <v>80</v>
      </c>
    </row>
    <row r="2782" spans="1:2" ht="15" customHeight="1" x14ac:dyDescent="0.3">
      <c r="A2782" t="s">
        <v>3183</v>
      </c>
      <c r="B2782">
        <f>B1852</f>
        <v>65</v>
      </c>
    </row>
    <row r="2783" spans="1:2" ht="15" customHeight="1" x14ac:dyDescent="0.3">
      <c r="A2783" t="s">
        <v>2707</v>
      </c>
      <c r="B2783">
        <f>B1855</f>
        <v>80</v>
      </c>
    </row>
    <row r="2784" spans="1:2" ht="15" customHeight="1" x14ac:dyDescent="0.3">
      <c r="A2784" t="s">
        <v>3184</v>
      </c>
      <c r="B2784">
        <f>B1868</f>
        <v>65</v>
      </c>
    </row>
    <row r="2785" spans="1:2" ht="15" customHeight="1" x14ac:dyDescent="0.3">
      <c r="A2785" t="s">
        <v>2708</v>
      </c>
      <c r="B2785">
        <f>B1869</f>
        <v>80</v>
      </c>
    </row>
    <row r="2786" spans="1:2" ht="15" customHeight="1" x14ac:dyDescent="0.3">
      <c r="A2786" t="s">
        <v>3185</v>
      </c>
      <c r="B2786">
        <f>B1870</f>
        <v>65</v>
      </c>
    </row>
    <row r="2787" spans="1:2" ht="15" customHeight="1" x14ac:dyDescent="0.3">
      <c r="A2787" t="s">
        <v>2709</v>
      </c>
      <c r="B2787">
        <f>B1871</f>
        <v>80</v>
      </c>
    </row>
    <row r="2788" spans="1:2" ht="15" customHeight="1" x14ac:dyDescent="0.3">
      <c r="A2788" t="s">
        <v>3186</v>
      </c>
      <c r="B2788">
        <f>B1876</f>
        <v>65</v>
      </c>
    </row>
    <row r="2789" spans="1:2" ht="15" customHeight="1" x14ac:dyDescent="0.3">
      <c r="A2789" t="s">
        <v>2710</v>
      </c>
      <c r="B2789">
        <f>B1877</f>
        <v>80</v>
      </c>
    </row>
    <row r="2790" spans="1:2" ht="15" customHeight="1" x14ac:dyDescent="0.3">
      <c r="A2790" t="s">
        <v>3187</v>
      </c>
      <c r="B2790">
        <f>B1882</f>
        <v>70</v>
      </c>
    </row>
    <row r="2791" spans="1:2" ht="15" customHeight="1" x14ac:dyDescent="0.3">
      <c r="A2791" t="s">
        <v>2711</v>
      </c>
      <c r="B2791">
        <f>B1883</f>
        <v>85</v>
      </c>
    </row>
    <row r="2792" spans="1:2" ht="15" customHeight="1" x14ac:dyDescent="0.3">
      <c r="A2792" t="s">
        <v>3188</v>
      </c>
      <c r="B2792">
        <f>B1886</f>
        <v>75</v>
      </c>
    </row>
    <row r="2793" spans="1:2" ht="15" customHeight="1" x14ac:dyDescent="0.3">
      <c r="A2793" t="s">
        <v>3189</v>
      </c>
      <c r="B2793">
        <f>B1887</f>
        <v>75</v>
      </c>
    </row>
    <row r="2794" spans="1:2" ht="15" customHeight="1" x14ac:dyDescent="0.3">
      <c r="A2794" t="s">
        <v>2712</v>
      </c>
      <c r="B2794">
        <f>B1888</f>
        <v>85</v>
      </c>
    </row>
    <row r="2795" spans="1:2" ht="15" customHeight="1" x14ac:dyDescent="0.3">
      <c r="A2795" t="s">
        <v>3190</v>
      </c>
      <c r="B2795">
        <f>B1893</f>
        <v>65</v>
      </c>
    </row>
    <row r="2796" spans="1:2" ht="15" customHeight="1" x14ac:dyDescent="0.3">
      <c r="A2796" t="s">
        <v>2713</v>
      </c>
      <c r="B2796">
        <f>B1894</f>
        <v>80</v>
      </c>
    </row>
    <row r="2797" spans="1:2" ht="15" customHeight="1" x14ac:dyDescent="0.3">
      <c r="A2797" t="s">
        <v>3191</v>
      </c>
      <c r="B2797">
        <f>B1899</f>
        <v>75</v>
      </c>
    </row>
    <row r="2798" spans="1:2" ht="15" customHeight="1" x14ac:dyDescent="0.3">
      <c r="A2798" t="s">
        <v>2714</v>
      </c>
      <c r="B2798">
        <f>B1900</f>
        <v>85</v>
      </c>
    </row>
    <row r="2799" spans="1:2" ht="15" customHeight="1" x14ac:dyDescent="0.3">
      <c r="A2799" t="s">
        <v>3192</v>
      </c>
      <c r="B2799">
        <f>B1905</f>
        <v>65</v>
      </c>
    </row>
    <row r="2800" spans="1:2" ht="15" customHeight="1" x14ac:dyDescent="0.3">
      <c r="A2800" t="s">
        <v>2715</v>
      </c>
      <c r="B2800">
        <f>B1906</f>
        <v>80</v>
      </c>
    </row>
    <row r="2801" spans="1:2" ht="15" customHeight="1" x14ac:dyDescent="0.3">
      <c r="A2801" t="s">
        <v>2716</v>
      </c>
      <c r="B2801">
        <f>B1913</f>
        <v>80</v>
      </c>
    </row>
    <row r="2802" spans="1:2" ht="15" customHeight="1" x14ac:dyDescent="0.3">
      <c r="A2802" t="s">
        <v>2717</v>
      </c>
      <c r="B2802">
        <f>B1918</f>
        <v>70</v>
      </c>
    </row>
    <row r="2803" spans="1:2" ht="15" customHeight="1" x14ac:dyDescent="0.3">
      <c r="A2803" t="s">
        <v>2718</v>
      </c>
      <c r="B2803">
        <f>B1921</f>
        <v>70</v>
      </c>
    </row>
    <row r="2804" spans="1:2" ht="15" customHeight="1" x14ac:dyDescent="0.3">
      <c r="A2804" t="s">
        <v>2719</v>
      </c>
      <c r="B2804">
        <f>B1922</f>
        <v>70</v>
      </c>
    </row>
    <row r="2805" spans="1:2" ht="15" customHeight="1" x14ac:dyDescent="0.3">
      <c r="A2805" t="s">
        <v>3193</v>
      </c>
      <c r="B2805">
        <f>B1923</f>
        <v>140</v>
      </c>
    </row>
    <row r="2806" spans="1:2" ht="15" customHeight="1" x14ac:dyDescent="0.3">
      <c r="A2806" t="s">
        <v>2851</v>
      </c>
      <c r="B2806">
        <f>B1926</f>
        <v>100</v>
      </c>
    </row>
    <row r="2807" spans="1:2" ht="15" customHeight="1" x14ac:dyDescent="0.3">
      <c r="A2807" t="s">
        <v>3194</v>
      </c>
      <c r="B2807">
        <f>B1929</f>
        <v>225</v>
      </c>
    </row>
    <row r="2808" spans="1:2" ht="15" customHeight="1" x14ac:dyDescent="0.3">
      <c r="A2808" t="s">
        <v>2852</v>
      </c>
      <c r="B2808">
        <f>B1942</f>
        <v>110</v>
      </c>
    </row>
    <row r="2809" spans="1:2" ht="15" customHeight="1" x14ac:dyDescent="0.3">
      <c r="A2809" t="s">
        <v>3195</v>
      </c>
      <c r="B2809">
        <f>B1943</f>
        <v>65</v>
      </c>
    </row>
    <row r="2810" spans="1:2" ht="15" customHeight="1" x14ac:dyDescent="0.3">
      <c r="A2810" t="s">
        <v>3196</v>
      </c>
      <c r="B2810">
        <f>B1946</f>
        <v>140</v>
      </c>
    </row>
    <row r="2811" spans="1:2" ht="15" customHeight="1" x14ac:dyDescent="0.3">
      <c r="A2811" t="s">
        <v>2854</v>
      </c>
      <c r="B2811">
        <f>B1948</f>
        <v>100</v>
      </c>
    </row>
    <row r="2812" spans="1:2" ht="15" customHeight="1" x14ac:dyDescent="0.3">
      <c r="A2812" t="s">
        <v>3197</v>
      </c>
      <c r="B2812">
        <f>B1951</f>
        <v>160</v>
      </c>
    </row>
    <row r="2813" spans="1:2" ht="15" customHeight="1" x14ac:dyDescent="0.3">
      <c r="A2813" t="s">
        <v>2855</v>
      </c>
      <c r="B2813">
        <f>B1954</f>
        <v>110</v>
      </c>
    </row>
    <row r="2814" spans="1:2" ht="15" customHeight="1" x14ac:dyDescent="0.3">
      <c r="A2814" t="s">
        <v>3199</v>
      </c>
      <c r="B2814">
        <f>B1957</f>
        <v>250</v>
      </c>
    </row>
    <row r="2815" spans="1:2" ht="15" customHeight="1" x14ac:dyDescent="0.3">
      <c r="A2815" t="s">
        <v>2856</v>
      </c>
      <c r="B2815">
        <f>B1961</f>
        <v>80</v>
      </c>
    </row>
    <row r="2816" spans="1:2" ht="15" customHeight="1" x14ac:dyDescent="0.3">
      <c r="A2816" t="s">
        <v>3200</v>
      </c>
      <c r="B2816">
        <f>B1964</f>
        <v>190</v>
      </c>
    </row>
    <row r="2817" spans="1:2" ht="15" customHeight="1" x14ac:dyDescent="0.3">
      <c r="A2817" t="s">
        <v>2857</v>
      </c>
      <c r="B2817">
        <f>B1965</f>
        <v>80</v>
      </c>
    </row>
    <row r="2818" spans="1:2" ht="15" customHeight="1" x14ac:dyDescent="0.3">
      <c r="A2818" t="s">
        <v>3201</v>
      </c>
      <c r="B2818">
        <f>B1968</f>
        <v>190</v>
      </c>
    </row>
    <row r="2819" spans="1:2" ht="15" customHeight="1" x14ac:dyDescent="0.3">
      <c r="A2819" t="s">
        <v>3202</v>
      </c>
      <c r="B2819">
        <f>B1970</f>
        <v>85</v>
      </c>
    </row>
    <row r="2820" spans="1:2" ht="15" customHeight="1" x14ac:dyDescent="0.3">
      <c r="A2820" t="s">
        <v>3203</v>
      </c>
      <c r="B2820">
        <f>B1969</f>
        <v>75</v>
      </c>
    </row>
    <row r="2821" spans="1:2" ht="15" customHeight="1" x14ac:dyDescent="0.3">
      <c r="A2821" t="s">
        <v>2858</v>
      </c>
      <c r="B2821">
        <f>B1971</f>
        <v>75</v>
      </c>
    </row>
    <row r="2822" spans="1:2" ht="15" customHeight="1" x14ac:dyDescent="0.3">
      <c r="A2822" t="s">
        <v>3204</v>
      </c>
      <c r="B2822">
        <f t="shared" ref="B2822:B2827" si="1120">B1974</f>
        <v>180</v>
      </c>
    </row>
    <row r="2823" spans="1:2" ht="15" customHeight="1" x14ac:dyDescent="0.3">
      <c r="A2823" t="s">
        <v>3205</v>
      </c>
      <c r="B2823">
        <f t="shared" si="1120"/>
        <v>80</v>
      </c>
    </row>
    <row r="2824" spans="1:2" ht="15" customHeight="1" x14ac:dyDescent="0.3">
      <c r="A2824" t="s">
        <v>3206</v>
      </c>
      <c r="B2824">
        <f t="shared" si="1120"/>
        <v>80</v>
      </c>
    </row>
    <row r="2825" spans="1:2" ht="15" customHeight="1" x14ac:dyDescent="0.3">
      <c r="A2825" t="s">
        <v>3207</v>
      </c>
      <c r="B2825">
        <f t="shared" si="1120"/>
        <v>60</v>
      </c>
    </row>
    <row r="2826" spans="1:2" ht="15" customHeight="1" x14ac:dyDescent="0.3">
      <c r="A2826" t="s">
        <v>3208</v>
      </c>
      <c r="B2826">
        <f t="shared" si="1120"/>
        <v>60</v>
      </c>
    </row>
    <row r="2827" spans="1:2" ht="15" customHeight="1" x14ac:dyDescent="0.3">
      <c r="A2827" t="s">
        <v>2720</v>
      </c>
      <c r="B2827">
        <f t="shared" si="1120"/>
        <v>80</v>
      </c>
    </row>
    <row r="2828" spans="1:2" ht="15" customHeight="1" x14ac:dyDescent="0.3">
      <c r="A2828" t="s">
        <v>3209</v>
      </c>
      <c r="B2828">
        <f>B1984</f>
        <v>60</v>
      </c>
    </row>
    <row r="2829" spans="1:2" ht="15" customHeight="1" x14ac:dyDescent="0.3">
      <c r="A2829" t="s">
        <v>2721</v>
      </c>
      <c r="B2829">
        <f>B1985</f>
        <v>80</v>
      </c>
    </row>
    <row r="2830" spans="1:2" ht="15" customHeight="1" x14ac:dyDescent="0.3">
      <c r="A2830" t="s">
        <v>3210</v>
      </c>
      <c r="B2830">
        <f>B1990</f>
        <v>60</v>
      </c>
    </row>
    <row r="2831" spans="1:2" ht="15" customHeight="1" x14ac:dyDescent="0.3">
      <c r="A2831" t="s">
        <v>2722</v>
      </c>
      <c r="B2831">
        <f>B1991</f>
        <v>80</v>
      </c>
    </row>
    <row r="2832" spans="1:2" ht="15" customHeight="1" x14ac:dyDescent="0.3">
      <c r="A2832" t="s">
        <v>3211</v>
      </c>
      <c r="B2832">
        <f>B1996</f>
        <v>65</v>
      </c>
    </row>
    <row r="2833" spans="1:2" ht="15" customHeight="1" x14ac:dyDescent="0.3">
      <c r="A2833" t="s">
        <v>3212</v>
      </c>
      <c r="B2833">
        <f>B2003</f>
        <v>70</v>
      </c>
    </row>
    <row r="2834" spans="1:2" ht="15" customHeight="1" x14ac:dyDescent="0.3">
      <c r="A2834" t="s">
        <v>2723</v>
      </c>
      <c r="B2834">
        <f>B2005</f>
        <v>80</v>
      </c>
    </row>
    <row r="2835" spans="1:2" ht="15" customHeight="1" x14ac:dyDescent="0.3">
      <c r="A2835" t="s">
        <v>3214</v>
      </c>
      <c r="B2835">
        <f>B2010</f>
        <v>65</v>
      </c>
    </row>
    <row r="2836" spans="1:2" ht="15" customHeight="1" x14ac:dyDescent="0.3">
      <c r="A2836" t="s">
        <v>2724</v>
      </c>
      <c r="B2836">
        <f>B2011</f>
        <v>90</v>
      </c>
    </row>
    <row r="2837" spans="1:2" ht="15" customHeight="1" x14ac:dyDescent="0.3">
      <c r="A2837" t="s">
        <v>3215</v>
      </c>
      <c r="B2837">
        <f>B2014</f>
        <v>65</v>
      </c>
    </row>
    <row r="2838" spans="1:2" ht="15" customHeight="1" x14ac:dyDescent="0.3">
      <c r="A2838" t="s">
        <v>2725</v>
      </c>
      <c r="B2838">
        <f>B2015</f>
        <v>90</v>
      </c>
    </row>
    <row r="2839" spans="1:2" ht="15" customHeight="1" x14ac:dyDescent="0.3">
      <c r="A2839" t="s">
        <v>3216</v>
      </c>
      <c r="B2839">
        <f>B2034</f>
        <v>150</v>
      </c>
    </row>
    <row r="2840" spans="1:2" ht="15" customHeight="1" x14ac:dyDescent="0.3">
      <c r="A2840" t="s">
        <v>2859</v>
      </c>
      <c r="B2840">
        <f>B2020</f>
        <v>65</v>
      </c>
    </row>
    <row r="2841" spans="1:2" ht="15" customHeight="1" x14ac:dyDescent="0.3">
      <c r="A2841" t="s">
        <v>2726</v>
      </c>
      <c r="B2841">
        <f>B2027</f>
        <v>180</v>
      </c>
    </row>
    <row r="2842" spans="1:2" ht="15" customHeight="1" x14ac:dyDescent="0.3">
      <c r="A2842" t="s">
        <v>2796</v>
      </c>
      <c r="B2842">
        <f>B2029</f>
        <v>80</v>
      </c>
    </row>
    <row r="2843" spans="1:2" ht="15" customHeight="1" x14ac:dyDescent="0.3">
      <c r="A2843" t="s">
        <v>2727</v>
      </c>
      <c r="B2843">
        <f>B2046</f>
        <v>180</v>
      </c>
    </row>
    <row r="2844" spans="1:2" ht="15" customHeight="1" x14ac:dyDescent="0.3">
      <c r="A2844" t="s">
        <v>2797</v>
      </c>
      <c r="B2844">
        <f>B2047</f>
        <v>80</v>
      </c>
    </row>
    <row r="2845" spans="1:2" ht="15" customHeight="1" x14ac:dyDescent="0.3">
      <c r="A2845" t="s">
        <v>3217</v>
      </c>
      <c r="B2845">
        <f>B2050</f>
        <v>150</v>
      </c>
    </row>
    <row r="2846" spans="1:2" ht="15" customHeight="1" x14ac:dyDescent="0.3">
      <c r="A2846" t="s">
        <v>2860</v>
      </c>
      <c r="B2846">
        <f>B2043</f>
        <v>65</v>
      </c>
    </row>
    <row r="2847" spans="1:2" ht="15" customHeight="1" x14ac:dyDescent="0.3">
      <c r="A2847" t="s">
        <v>3218</v>
      </c>
      <c r="B2847">
        <f>B2054</f>
        <v>85</v>
      </c>
    </row>
    <row r="2848" spans="1:2" ht="15" customHeight="1" x14ac:dyDescent="0.3">
      <c r="A2848" t="s">
        <v>10505</v>
      </c>
      <c r="B2848">
        <f>B2029</f>
        <v>80</v>
      </c>
    </row>
    <row r="2849" spans="1:2" ht="15" customHeight="1" x14ac:dyDescent="0.3">
      <c r="A2849" t="s">
        <v>10508</v>
      </c>
      <c r="B2849">
        <f>B2050</f>
        <v>150</v>
      </c>
    </row>
    <row r="2850" spans="1:2" ht="15" customHeight="1" x14ac:dyDescent="0.3">
      <c r="A2850" t="s">
        <v>10506</v>
      </c>
      <c r="B2850">
        <f>B2046</f>
        <v>180</v>
      </c>
    </row>
    <row r="2851" spans="1:2" ht="15" customHeight="1" x14ac:dyDescent="0.3">
      <c r="A2851" t="s">
        <v>10507</v>
      </c>
      <c r="B2851">
        <f>B2047</f>
        <v>80</v>
      </c>
    </row>
    <row r="2852" spans="1:2" ht="15" customHeight="1" x14ac:dyDescent="0.3">
      <c r="A2852" t="s">
        <v>10509</v>
      </c>
      <c r="B2852">
        <f>B2043</f>
        <v>65</v>
      </c>
    </row>
    <row r="2853" spans="1:2" ht="15" customHeight="1" x14ac:dyDescent="0.3">
      <c r="A2853" t="s">
        <v>10510</v>
      </c>
      <c r="B2853">
        <f>B2054</f>
        <v>85</v>
      </c>
    </row>
    <row r="2854" spans="1:2" ht="15" customHeight="1" x14ac:dyDescent="0.3">
      <c r="A2854" t="s">
        <v>2861</v>
      </c>
      <c r="B2854">
        <f>B2055</f>
        <v>80</v>
      </c>
    </row>
    <row r="2855" spans="1:2" ht="15" customHeight="1" x14ac:dyDescent="0.3">
      <c r="A2855" t="s">
        <v>2728</v>
      </c>
      <c r="B2855">
        <f>B2058</f>
        <v>220</v>
      </c>
    </row>
    <row r="2856" spans="1:2" ht="15" customHeight="1" x14ac:dyDescent="0.3">
      <c r="A2856" t="s">
        <v>3219</v>
      </c>
      <c r="B2856">
        <f>B2061</f>
        <v>90</v>
      </c>
    </row>
    <row r="2857" spans="1:2" ht="15" customHeight="1" x14ac:dyDescent="0.3">
      <c r="A2857" t="s">
        <v>10511</v>
      </c>
      <c r="B2857">
        <f>B2061</f>
        <v>90</v>
      </c>
    </row>
    <row r="2858" spans="1:2" ht="15" customHeight="1" x14ac:dyDescent="0.3">
      <c r="A2858" t="s">
        <v>3220</v>
      </c>
      <c r="B2858">
        <f>B2065</f>
        <v>200</v>
      </c>
    </row>
    <row r="2859" spans="1:2" ht="15" customHeight="1" x14ac:dyDescent="0.3">
      <c r="A2859" t="s">
        <v>2862</v>
      </c>
      <c r="B2859">
        <f>B2062</f>
        <v>80</v>
      </c>
    </row>
    <row r="2860" spans="1:2" ht="15" customHeight="1" x14ac:dyDescent="0.3">
      <c r="A2860" t="s">
        <v>2729</v>
      </c>
      <c r="B2860">
        <f>B2070</f>
        <v>220</v>
      </c>
    </row>
    <row r="2861" spans="1:2" ht="15" customHeight="1" x14ac:dyDescent="0.3">
      <c r="A2861" t="s">
        <v>2730</v>
      </c>
      <c r="B2861">
        <f>B2081</f>
        <v>180</v>
      </c>
    </row>
    <row r="2862" spans="1:2" ht="15" customHeight="1" x14ac:dyDescent="0.3">
      <c r="A2862" t="s">
        <v>2798</v>
      </c>
      <c r="B2862">
        <f>B2082</f>
        <v>90</v>
      </c>
    </row>
    <row r="2863" spans="1:2" ht="15" customHeight="1" x14ac:dyDescent="0.3">
      <c r="A2863" t="s">
        <v>3221</v>
      </c>
      <c r="B2863">
        <f>B2085</f>
        <v>160</v>
      </c>
    </row>
    <row r="2864" spans="1:2" ht="15" customHeight="1" x14ac:dyDescent="0.3">
      <c r="A2864" t="s">
        <v>2863</v>
      </c>
      <c r="B2864">
        <f>B2079</f>
        <v>65</v>
      </c>
    </row>
    <row r="2865" spans="1:2" ht="15" customHeight="1" x14ac:dyDescent="0.3">
      <c r="A2865" t="s">
        <v>2731</v>
      </c>
      <c r="B2865">
        <f>B2097</f>
        <v>180</v>
      </c>
    </row>
    <row r="2866" spans="1:2" ht="15" customHeight="1" x14ac:dyDescent="0.3">
      <c r="A2866" t="s">
        <v>2799</v>
      </c>
      <c r="B2866">
        <f>B2098</f>
        <v>90</v>
      </c>
    </row>
    <row r="2867" spans="1:2" ht="15" customHeight="1" x14ac:dyDescent="0.3">
      <c r="A2867" t="s">
        <v>3222</v>
      </c>
      <c r="B2867">
        <f>B2101</f>
        <v>160</v>
      </c>
    </row>
    <row r="2868" spans="1:2" ht="15" customHeight="1" x14ac:dyDescent="0.3">
      <c r="A2868" t="s">
        <v>2864</v>
      </c>
      <c r="B2868">
        <f>B2094</f>
        <v>65</v>
      </c>
    </row>
    <row r="2869" spans="1:2" ht="15" customHeight="1" x14ac:dyDescent="0.3">
      <c r="A2869" t="s">
        <v>10512</v>
      </c>
      <c r="B2869">
        <f>B2081</f>
        <v>180</v>
      </c>
    </row>
    <row r="2870" spans="1:2" ht="15" customHeight="1" x14ac:dyDescent="0.3">
      <c r="A2870" t="s">
        <v>10513</v>
      </c>
      <c r="B2870">
        <f>B2082</f>
        <v>90</v>
      </c>
    </row>
    <row r="2871" spans="1:2" ht="15" customHeight="1" x14ac:dyDescent="0.3">
      <c r="A2871" t="s">
        <v>10516</v>
      </c>
      <c r="B2871">
        <f>B2097</f>
        <v>180</v>
      </c>
    </row>
    <row r="2872" spans="1:2" ht="15" customHeight="1" x14ac:dyDescent="0.3">
      <c r="A2872" t="s">
        <v>10517</v>
      </c>
      <c r="B2872">
        <f>B2098</f>
        <v>90</v>
      </c>
    </row>
    <row r="2873" spans="1:2" ht="15" customHeight="1" x14ac:dyDescent="0.3">
      <c r="A2873" t="s">
        <v>10518</v>
      </c>
      <c r="B2873">
        <f>B2101</f>
        <v>160</v>
      </c>
    </row>
    <row r="2874" spans="1:2" ht="15" customHeight="1" x14ac:dyDescent="0.3">
      <c r="A2874" t="s">
        <v>10519</v>
      </c>
      <c r="B2874">
        <f>B2094</f>
        <v>65</v>
      </c>
    </row>
    <row r="2875" spans="1:2" ht="15" customHeight="1" x14ac:dyDescent="0.3">
      <c r="A2875" t="s">
        <v>10520</v>
      </c>
      <c r="B2875">
        <f>B2103</f>
        <v>85</v>
      </c>
    </row>
    <row r="2876" spans="1:2" ht="15" customHeight="1" x14ac:dyDescent="0.3">
      <c r="A2876" t="s">
        <v>3224</v>
      </c>
      <c r="B2876">
        <f>B2111</f>
        <v>200</v>
      </c>
    </row>
    <row r="2877" spans="1:2" ht="15" customHeight="1" x14ac:dyDescent="0.3">
      <c r="A2877" t="s">
        <v>2865</v>
      </c>
      <c r="B2877">
        <f>B2108</f>
        <v>80</v>
      </c>
    </row>
    <row r="2878" spans="1:2" ht="15" customHeight="1" x14ac:dyDescent="0.3">
      <c r="A2878" t="s">
        <v>2732</v>
      </c>
      <c r="B2878">
        <f>B2116</f>
        <v>220</v>
      </c>
    </row>
    <row r="2879" spans="1:2" ht="15" customHeight="1" x14ac:dyDescent="0.3">
      <c r="A2879" t="s">
        <v>2733</v>
      </c>
      <c r="B2879">
        <f>B2134</f>
        <v>190</v>
      </c>
    </row>
    <row r="2880" spans="1:2" ht="15" customHeight="1" x14ac:dyDescent="0.3">
      <c r="A2880" t="s">
        <v>2800</v>
      </c>
      <c r="B2880">
        <f>B2131</f>
        <v>90</v>
      </c>
    </row>
    <row r="2881" spans="1:2" ht="15" customHeight="1" x14ac:dyDescent="0.3">
      <c r="A2881" t="s">
        <v>2734</v>
      </c>
      <c r="B2881">
        <f>B2146</f>
        <v>220</v>
      </c>
    </row>
    <row r="2882" spans="1:2" ht="15" customHeight="1" x14ac:dyDescent="0.3">
      <c r="A2882" t="s">
        <v>2801</v>
      </c>
      <c r="B2882">
        <f>B2143</f>
        <v>100</v>
      </c>
    </row>
    <row r="2883" spans="1:2" ht="15" customHeight="1" x14ac:dyDescent="0.3">
      <c r="A2883" t="s">
        <v>2735</v>
      </c>
      <c r="B2883">
        <f>B2162</f>
        <v>230</v>
      </c>
    </row>
    <row r="2884" spans="1:2" ht="15" customHeight="1" x14ac:dyDescent="0.3">
      <c r="A2884" t="s">
        <v>2802</v>
      </c>
      <c r="B2884">
        <f>B2159</f>
        <v>120</v>
      </c>
    </row>
    <row r="2885" spans="1:2" ht="15" customHeight="1" x14ac:dyDescent="0.3">
      <c r="A2885" t="s">
        <v>3226</v>
      </c>
      <c r="B2885">
        <f>B2165</f>
        <v>200</v>
      </c>
    </row>
    <row r="2886" spans="1:2" ht="15" customHeight="1" x14ac:dyDescent="0.3">
      <c r="A2886" t="s">
        <v>2736</v>
      </c>
      <c r="B2886">
        <f>B2176</f>
        <v>230</v>
      </c>
    </row>
    <row r="2887" spans="1:2" ht="15" customHeight="1" x14ac:dyDescent="0.3">
      <c r="A2887" t="s">
        <v>2803</v>
      </c>
      <c r="B2887">
        <f>B2173</f>
        <v>110</v>
      </c>
    </row>
    <row r="2888" spans="1:2" ht="15" customHeight="1" x14ac:dyDescent="0.3">
      <c r="A2888" t="s">
        <v>3227</v>
      </c>
      <c r="B2888">
        <f>B2181</f>
        <v>190</v>
      </c>
    </row>
    <row r="2889" spans="1:2" ht="15" customHeight="1" x14ac:dyDescent="0.3">
      <c r="A2889" t="s">
        <v>2867</v>
      </c>
      <c r="B2889">
        <f>B2182</f>
        <v>90</v>
      </c>
    </row>
    <row r="2890" spans="1:2" ht="15" customHeight="1" x14ac:dyDescent="0.3">
      <c r="A2890" t="s">
        <v>3228</v>
      </c>
      <c r="B2890">
        <f>B2127</f>
        <v>160</v>
      </c>
    </row>
    <row r="2891" spans="1:2" ht="15" customHeight="1" x14ac:dyDescent="0.3">
      <c r="A2891" t="s">
        <v>2868</v>
      </c>
      <c r="B2891">
        <f>B2124</f>
        <v>65</v>
      </c>
    </row>
    <row r="2892" spans="1:2" ht="15" customHeight="1" x14ac:dyDescent="0.3">
      <c r="A2892" t="s">
        <v>2737</v>
      </c>
      <c r="B2892">
        <f>B2196</f>
        <v>200</v>
      </c>
    </row>
    <row r="2893" spans="1:2" ht="15" customHeight="1" x14ac:dyDescent="0.3">
      <c r="A2893" t="s">
        <v>2804</v>
      </c>
      <c r="B2893">
        <f>B2197</f>
        <v>95</v>
      </c>
    </row>
    <row r="2894" spans="1:2" ht="15" customHeight="1" x14ac:dyDescent="0.3">
      <c r="A2894" t="s">
        <v>3229</v>
      </c>
      <c r="B2894">
        <f>B2200</f>
        <v>170</v>
      </c>
    </row>
    <row r="2895" spans="1:2" ht="15" customHeight="1" x14ac:dyDescent="0.3">
      <c r="A2895" t="s">
        <v>2869</v>
      </c>
      <c r="B2895">
        <f>B2193</f>
        <v>85</v>
      </c>
    </row>
    <row r="2896" spans="1:2" ht="15" customHeight="1" x14ac:dyDescent="0.3">
      <c r="A2896" t="s">
        <v>2738</v>
      </c>
      <c r="B2896">
        <f>B2212</f>
        <v>270</v>
      </c>
    </row>
    <row r="2897" spans="1:2" ht="15" customHeight="1" x14ac:dyDescent="0.3">
      <c r="A2897" t="s">
        <v>2805</v>
      </c>
      <c r="B2897">
        <f>B2213</f>
        <v>155</v>
      </c>
    </row>
    <row r="2898" spans="1:2" ht="15" customHeight="1" x14ac:dyDescent="0.3">
      <c r="A2898" t="s">
        <v>3230</v>
      </c>
      <c r="B2898">
        <f>B2216</f>
        <v>220</v>
      </c>
    </row>
    <row r="2899" spans="1:2" ht="15" customHeight="1" x14ac:dyDescent="0.3">
      <c r="A2899" t="s">
        <v>2870</v>
      </c>
      <c r="B2899">
        <f>B2209</f>
        <v>100</v>
      </c>
    </row>
    <row r="2900" spans="1:2" ht="15" customHeight="1" x14ac:dyDescent="0.3">
      <c r="A2900" t="s">
        <v>10521</v>
      </c>
      <c r="B2900">
        <f>B2162</f>
        <v>230</v>
      </c>
    </row>
    <row r="2901" spans="1:2" ht="15" customHeight="1" x14ac:dyDescent="0.3">
      <c r="A2901" t="s">
        <v>10522</v>
      </c>
      <c r="B2901">
        <f>B2159</f>
        <v>120</v>
      </c>
    </row>
    <row r="2902" spans="1:2" ht="15" customHeight="1" x14ac:dyDescent="0.3">
      <c r="A2902" t="s">
        <v>10523</v>
      </c>
      <c r="B2902">
        <f>B2165</f>
        <v>200</v>
      </c>
    </row>
    <row r="2903" spans="1:2" ht="15" customHeight="1" x14ac:dyDescent="0.3">
      <c r="A2903" t="s">
        <v>10524</v>
      </c>
      <c r="B2903">
        <f>B2176</f>
        <v>230</v>
      </c>
    </row>
    <row r="2904" spans="1:2" ht="15" customHeight="1" x14ac:dyDescent="0.3">
      <c r="A2904" t="s">
        <v>10525</v>
      </c>
      <c r="B2904">
        <f>B2173</f>
        <v>110</v>
      </c>
    </row>
    <row r="2905" spans="1:2" ht="15" customHeight="1" x14ac:dyDescent="0.3">
      <c r="A2905" t="s">
        <v>10526</v>
      </c>
      <c r="B2905">
        <f>B2181</f>
        <v>190</v>
      </c>
    </row>
    <row r="2906" spans="1:2" ht="15" customHeight="1" x14ac:dyDescent="0.3">
      <c r="A2906" t="s">
        <v>10527</v>
      </c>
      <c r="B2906">
        <f>B2182</f>
        <v>90</v>
      </c>
    </row>
    <row r="2907" spans="1:2" ht="15" customHeight="1" x14ac:dyDescent="0.3">
      <c r="A2907" t="s">
        <v>13026</v>
      </c>
      <c r="B2907">
        <f>B2228</f>
        <v>190</v>
      </c>
    </row>
    <row r="2908" spans="1:2" ht="15" customHeight="1" x14ac:dyDescent="0.3">
      <c r="A2908" t="s">
        <v>13027</v>
      </c>
      <c r="B2908">
        <f>B2225</f>
        <v>90</v>
      </c>
    </row>
    <row r="2909" spans="1:2" ht="15" customHeight="1" x14ac:dyDescent="0.3">
      <c r="A2909" t="s">
        <v>10528</v>
      </c>
      <c r="B2909">
        <f>B2196</f>
        <v>200</v>
      </c>
    </row>
    <row r="2910" spans="1:2" ht="15" customHeight="1" x14ac:dyDescent="0.3">
      <c r="A2910" t="s">
        <v>10529</v>
      </c>
      <c r="B2910">
        <f>B2197</f>
        <v>95</v>
      </c>
    </row>
    <row r="2911" spans="1:2" ht="15" customHeight="1" x14ac:dyDescent="0.3">
      <c r="A2911" t="s">
        <v>10530</v>
      </c>
      <c r="B2911">
        <f>B2200</f>
        <v>170</v>
      </c>
    </row>
    <row r="2912" spans="1:2" ht="15" customHeight="1" x14ac:dyDescent="0.3">
      <c r="A2912" t="s">
        <v>10531</v>
      </c>
      <c r="B2912">
        <f>B2193</f>
        <v>85</v>
      </c>
    </row>
    <row r="2913" spans="1:2" ht="15" customHeight="1" x14ac:dyDescent="0.3">
      <c r="A2913" t="s">
        <v>10532</v>
      </c>
      <c r="B2913">
        <f>B2212</f>
        <v>270</v>
      </c>
    </row>
    <row r="2914" spans="1:2" ht="15" customHeight="1" x14ac:dyDescent="0.3">
      <c r="A2914" t="s">
        <v>10533</v>
      </c>
      <c r="B2914">
        <f>B2213</f>
        <v>155</v>
      </c>
    </row>
    <row r="2915" spans="1:2" ht="15" customHeight="1" x14ac:dyDescent="0.3">
      <c r="A2915" t="s">
        <v>10534</v>
      </c>
      <c r="B2915">
        <f>B2216</f>
        <v>220</v>
      </c>
    </row>
    <row r="2916" spans="1:2" ht="15" customHeight="1" x14ac:dyDescent="0.3">
      <c r="A2916" t="s">
        <v>10535</v>
      </c>
      <c r="B2916">
        <f>B2209</f>
        <v>100</v>
      </c>
    </row>
    <row r="2917" spans="1:2" ht="15" customHeight="1" x14ac:dyDescent="0.3">
      <c r="A2917" s="62" t="s">
        <v>13028</v>
      </c>
      <c r="B2917">
        <f>I930</f>
        <v>200</v>
      </c>
    </row>
    <row r="2918" spans="1:2" ht="15" customHeight="1" x14ac:dyDescent="0.3">
      <c r="A2918" s="62" t="s">
        <v>13029</v>
      </c>
      <c r="B2918">
        <f>I930</f>
        <v>200</v>
      </c>
    </row>
    <row r="2919" spans="1:2" ht="15" customHeight="1" x14ac:dyDescent="0.3">
      <c r="A2919" s="62" t="s">
        <v>13030</v>
      </c>
      <c r="B2919">
        <f>I930</f>
        <v>200</v>
      </c>
    </row>
    <row r="2920" spans="1:2" ht="15" customHeight="1" x14ac:dyDescent="0.3">
      <c r="A2920" s="62" t="s">
        <v>13031</v>
      </c>
      <c r="B2920">
        <f>I930</f>
        <v>200</v>
      </c>
    </row>
    <row r="2921" spans="1:2" ht="15" customHeight="1" x14ac:dyDescent="0.3">
      <c r="A2921" s="62" t="s">
        <v>13032</v>
      </c>
      <c r="B2921">
        <f>I931</f>
        <v>220</v>
      </c>
    </row>
    <row r="2922" spans="1:2" ht="15" customHeight="1" x14ac:dyDescent="0.3">
      <c r="A2922" s="62" t="s">
        <v>13033</v>
      </c>
      <c r="B2922">
        <f>I931</f>
        <v>220</v>
      </c>
    </row>
    <row r="2923" spans="1:2" ht="15" customHeight="1" x14ac:dyDescent="0.3">
      <c r="A2923" s="62" t="s">
        <v>13034</v>
      </c>
      <c r="B2923">
        <f>I931</f>
        <v>220</v>
      </c>
    </row>
    <row r="2924" spans="1:2" ht="15" customHeight="1" x14ac:dyDescent="0.3">
      <c r="A2924" s="62" t="s">
        <v>13035</v>
      </c>
      <c r="B2924">
        <f>I931</f>
        <v>220</v>
      </c>
    </row>
    <row r="2925" spans="1:2" ht="15" customHeight="1" x14ac:dyDescent="0.3">
      <c r="A2925" t="s">
        <v>10637</v>
      </c>
      <c r="B2925">
        <f>I929</f>
        <v>85</v>
      </c>
    </row>
    <row r="2926" spans="1:2" ht="15" customHeight="1" x14ac:dyDescent="0.3">
      <c r="A2926" t="s">
        <v>10638</v>
      </c>
      <c r="B2926">
        <f>I929</f>
        <v>85</v>
      </c>
    </row>
    <row r="2927" spans="1:2" ht="15" customHeight="1" x14ac:dyDescent="0.3">
      <c r="A2927" t="s">
        <v>10639</v>
      </c>
      <c r="B2927">
        <f>I929</f>
        <v>85</v>
      </c>
    </row>
    <row r="2928" spans="1:2" ht="15" customHeight="1" x14ac:dyDescent="0.3">
      <c r="A2928" t="s">
        <v>10640</v>
      </c>
      <c r="B2928">
        <f>I929</f>
        <v>85</v>
      </c>
    </row>
    <row r="2929" spans="1:2" ht="15" customHeight="1" x14ac:dyDescent="0.3">
      <c r="A2929" t="s">
        <v>3231</v>
      </c>
      <c r="B2929">
        <f>B2558</f>
        <v>200</v>
      </c>
    </row>
    <row r="2930" spans="1:2" ht="15" customHeight="1" x14ac:dyDescent="0.3">
      <c r="A2930" t="s">
        <v>2871</v>
      </c>
      <c r="B2930">
        <f>B2552</f>
        <v>110</v>
      </c>
    </row>
    <row r="2931" spans="1:2" ht="15" customHeight="1" x14ac:dyDescent="0.3">
      <c r="A2931" t="s">
        <v>5081</v>
      </c>
      <c r="B2931">
        <f>B2285</f>
        <v>60</v>
      </c>
    </row>
    <row r="2932" spans="1:2" ht="15" customHeight="1" x14ac:dyDescent="0.3">
      <c r="A2932" t="s">
        <v>2873</v>
      </c>
      <c r="B2932">
        <f>B2470</f>
        <v>65</v>
      </c>
    </row>
    <row r="2933" spans="1:2" ht="15" customHeight="1" x14ac:dyDescent="0.3">
      <c r="A2933" t="s">
        <v>2807</v>
      </c>
      <c r="B2933">
        <f>B2471</f>
        <v>80</v>
      </c>
    </row>
    <row r="2934" spans="1:2" ht="15" customHeight="1" x14ac:dyDescent="0.3">
      <c r="A2934" t="s">
        <v>3263</v>
      </c>
      <c r="B2934">
        <f>B2472</f>
        <v>150</v>
      </c>
    </row>
    <row r="2935" spans="1:2" ht="15" customHeight="1" x14ac:dyDescent="0.3">
      <c r="A2935" t="s">
        <v>3232</v>
      </c>
      <c r="B2935">
        <f>B2286</f>
        <v>75</v>
      </c>
    </row>
    <row r="2936" spans="1:2" ht="15" customHeight="1" x14ac:dyDescent="0.3">
      <c r="A2936" t="s">
        <v>3233</v>
      </c>
      <c r="B2936">
        <f>B2287</f>
        <v>65</v>
      </c>
    </row>
    <row r="2937" spans="1:2" ht="15" customHeight="1" x14ac:dyDescent="0.3">
      <c r="A2937" t="s">
        <v>3234</v>
      </c>
      <c r="B2937">
        <f>B2290</f>
        <v>65</v>
      </c>
    </row>
    <row r="2938" spans="1:2" ht="15" customHeight="1" x14ac:dyDescent="0.3">
      <c r="A2938" t="s">
        <v>3235</v>
      </c>
      <c r="B2938">
        <f>B2291</f>
        <v>65</v>
      </c>
    </row>
    <row r="2939" spans="1:2" ht="15" customHeight="1" x14ac:dyDescent="0.3">
      <c r="A2939" t="s">
        <v>3236</v>
      </c>
      <c r="B2939">
        <f>B2292</f>
        <v>65</v>
      </c>
    </row>
    <row r="2940" spans="1:2" ht="15" customHeight="1" x14ac:dyDescent="0.3">
      <c r="A2940" t="s">
        <v>3237</v>
      </c>
      <c r="B2940">
        <f>B2293</f>
        <v>75</v>
      </c>
    </row>
    <row r="2941" spans="1:2" ht="15" customHeight="1" x14ac:dyDescent="0.3">
      <c r="A2941" t="s">
        <v>3238</v>
      </c>
      <c r="B2941">
        <f t="shared" ref="B2941:B2946" si="1121">B2300</f>
        <v>55</v>
      </c>
    </row>
    <row r="2942" spans="1:2" ht="15" customHeight="1" x14ac:dyDescent="0.3">
      <c r="A2942" t="s">
        <v>3239</v>
      </c>
      <c r="B2942">
        <f t="shared" si="1121"/>
        <v>65</v>
      </c>
    </row>
    <row r="2943" spans="1:2" ht="15" customHeight="1" x14ac:dyDescent="0.3">
      <c r="A2943" t="s">
        <v>3240</v>
      </c>
      <c r="B2943">
        <f t="shared" si="1121"/>
        <v>65</v>
      </c>
    </row>
    <row r="2944" spans="1:2" ht="15" customHeight="1" x14ac:dyDescent="0.3">
      <c r="A2944" t="s">
        <v>3241</v>
      </c>
      <c r="B2944">
        <f t="shared" si="1121"/>
        <v>65</v>
      </c>
    </row>
    <row r="2945" spans="1:2" ht="15" customHeight="1" x14ac:dyDescent="0.3">
      <c r="A2945" t="s">
        <v>3242</v>
      </c>
      <c r="B2945">
        <f t="shared" si="1121"/>
        <v>65</v>
      </c>
    </row>
    <row r="2946" spans="1:2" ht="15" customHeight="1" x14ac:dyDescent="0.3">
      <c r="A2946" t="s">
        <v>2739</v>
      </c>
      <c r="B2946">
        <f t="shared" si="1121"/>
        <v>80</v>
      </c>
    </row>
    <row r="2947" spans="1:2" ht="15" customHeight="1" x14ac:dyDescent="0.3">
      <c r="A2947" t="s">
        <v>3243</v>
      </c>
      <c r="B2947">
        <f>B2308</f>
        <v>60</v>
      </c>
    </row>
    <row r="2948" spans="1:2" ht="15" customHeight="1" x14ac:dyDescent="0.3">
      <c r="A2948" t="s">
        <v>2740</v>
      </c>
      <c r="B2948">
        <f>B2309</f>
        <v>75</v>
      </c>
    </row>
    <row r="2949" spans="1:2" ht="15" customHeight="1" x14ac:dyDescent="0.3">
      <c r="A2949" t="s">
        <v>3244</v>
      </c>
      <c r="B2949">
        <f>B2312</f>
        <v>60</v>
      </c>
    </row>
    <row r="2950" spans="1:2" ht="15" customHeight="1" x14ac:dyDescent="0.3">
      <c r="A2950" t="s">
        <v>2741</v>
      </c>
      <c r="B2950">
        <f>B2313</f>
        <v>75</v>
      </c>
    </row>
    <row r="2951" spans="1:2" ht="15" customHeight="1" x14ac:dyDescent="0.3">
      <c r="A2951" t="s">
        <v>10303</v>
      </c>
      <c r="B2951">
        <f>B2316</f>
        <v>60</v>
      </c>
    </row>
    <row r="2952" spans="1:2" ht="15" customHeight="1" x14ac:dyDescent="0.3">
      <c r="A2952" t="s">
        <v>3245</v>
      </c>
      <c r="B2952">
        <f>B2317</f>
        <v>65</v>
      </c>
    </row>
    <row r="2953" spans="1:2" ht="15" customHeight="1" x14ac:dyDescent="0.3">
      <c r="A2953" t="s">
        <v>2742</v>
      </c>
      <c r="B2953">
        <f>B2318</f>
        <v>80</v>
      </c>
    </row>
    <row r="2954" spans="1:2" ht="15" customHeight="1" x14ac:dyDescent="0.3">
      <c r="A2954" t="s">
        <v>2743</v>
      </c>
      <c r="B2954">
        <f>B2324</f>
        <v>90</v>
      </c>
    </row>
    <row r="2955" spans="1:2" ht="15" customHeight="1" x14ac:dyDescent="0.3">
      <c r="A2955" t="s">
        <v>3247</v>
      </c>
      <c r="B2955">
        <f>B2329</f>
        <v>80</v>
      </c>
    </row>
    <row r="2956" spans="1:2" ht="15" customHeight="1" x14ac:dyDescent="0.3">
      <c r="A2956" t="s">
        <v>2744</v>
      </c>
      <c r="B2956">
        <f>B2330</f>
        <v>90</v>
      </c>
    </row>
    <row r="2957" spans="1:2" ht="15" customHeight="1" x14ac:dyDescent="0.3">
      <c r="A2957" t="s">
        <v>3248</v>
      </c>
      <c r="B2957">
        <f>B2333</f>
        <v>60</v>
      </c>
    </row>
    <row r="2958" spans="1:2" ht="15" customHeight="1" x14ac:dyDescent="0.3">
      <c r="A2958" t="s">
        <v>2745</v>
      </c>
      <c r="B2958">
        <f>B2334</f>
        <v>80</v>
      </c>
    </row>
    <row r="2959" spans="1:2" ht="15" customHeight="1" x14ac:dyDescent="0.3">
      <c r="A2959" t="s">
        <v>3249</v>
      </c>
      <c r="B2959">
        <f>B2337</f>
        <v>70</v>
      </c>
    </row>
    <row r="2960" spans="1:2" ht="15" customHeight="1" x14ac:dyDescent="0.3">
      <c r="A2960" t="s">
        <v>2746</v>
      </c>
      <c r="B2960">
        <f>B2338</f>
        <v>85</v>
      </c>
    </row>
    <row r="2961" spans="1:2" ht="15" customHeight="1" x14ac:dyDescent="0.3">
      <c r="A2961" t="s">
        <v>3250</v>
      </c>
      <c r="B2961">
        <f>B2344</f>
        <v>80</v>
      </c>
    </row>
    <row r="2962" spans="1:2" ht="15" customHeight="1" x14ac:dyDescent="0.3">
      <c r="A2962" t="s">
        <v>2747</v>
      </c>
      <c r="B2962">
        <f>B2347</f>
        <v>85</v>
      </c>
    </row>
    <row r="2963" spans="1:2" ht="15" customHeight="1" x14ac:dyDescent="0.3">
      <c r="A2963" t="s">
        <v>3252</v>
      </c>
      <c r="B2963">
        <f>B2346</f>
        <v>65</v>
      </c>
    </row>
    <row r="2964" spans="1:2" ht="15" customHeight="1" x14ac:dyDescent="0.3">
      <c r="A2964" t="s">
        <v>2748</v>
      </c>
      <c r="B2964">
        <f>B2350</f>
        <v>80</v>
      </c>
    </row>
    <row r="2965" spans="1:2" ht="15" customHeight="1" x14ac:dyDescent="0.3">
      <c r="A2965" t="s">
        <v>2749</v>
      </c>
      <c r="B2965">
        <f>B2371</f>
        <v>90</v>
      </c>
    </row>
    <row r="2966" spans="1:2" ht="15" customHeight="1" x14ac:dyDescent="0.3">
      <c r="A2966" t="s">
        <v>3254</v>
      </c>
      <c r="B2966">
        <f>B2370</f>
        <v>65</v>
      </c>
    </row>
    <row r="2967" spans="1:2" ht="15" customHeight="1" x14ac:dyDescent="0.3">
      <c r="A2967" t="s">
        <v>2750</v>
      </c>
      <c r="B2967">
        <f>B2374</f>
        <v>80</v>
      </c>
    </row>
    <row r="2968" spans="1:2" ht="15" customHeight="1" x14ac:dyDescent="0.3">
      <c r="A2968" t="s">
        <v>3255</v>
      </c>
      <c r="B2968">
        <f>B2378</f>
        <v>75</v>
      </c>
    </row>
    <row r="2969" spans="1:2" ht="15" customHeight="1" x14ac:dyDescent="0.3">
      <c r="A2969" t="s">
        <v>2751</v>
      </c>
      <c r="B2969">
        <f>B2379</f>
        <v>85</v>
      </c>
    </row>
    <row r="2970" spans="1:2" ht="15" customHeight="1" x14ac:dyDescent="0.3">
      <c r="A2970" t="s">
        <v>3256</v>
      </c>
      <c r="B2970">
        <f>B2387</f>
        <v>70</v>
      </c>
    </row>
    <row r="2971" spans="1:2" ht="15" customHeight="1" x14ac:dyDescent="0.3">
      <c r="A2971" t="s">
        <v>3257</v>
      </c>
      <c r="B2971">
        <f>B2398</f>
        <v>65</v>
      </c>
    </row>
    <row r="2972" spans="1:2" ht="15" customHeight="1" x14ac:dyDescent="0.3">
      <c r="A2972" t="s">
        <v>3258</v>
      </c>
      <c r="B2972">
        <f>B2445</f>
        <v>65</v>
      </c>
    </row>
    <row r="2973" spans="1:2" ht="15" customHeight="1" x14ac:dyDescent="0.3">
      <c r="A2973" t="s">
        <v>2752</v>
      </c>
      <c r="B2973">
        <f>B2446</f>
        <v>80</v>
      </c>
    </row>
    <row r="2974" spans="1:2" ht="15" customHeight="1" x14ac:dyDescent="0.3">
      <c r="A2974" t="s">
        <v>3259</v>
      </c>
      <c r="B2974">
        <f>B2451</f>
        <v>85</v>
      </c>
    </row>
    <row r="2975" spans="1:2" ht="15" customHeight="1" x14ac:dyDescent="0.3">
      <c r="A2975" t="s">
        <v>3260</v>
      </c>
      <c r="B2975">
        <f>B2452</f>
        <v>80</v>
      </c>
    </row>
    <row r="2976" spans="1:2" ht="15" customHeight="1" x14ac:dyDescent="0.3">
      <c r="A2976" t="s">
        <v>2753</v>
      </c>
      <c r="B2976">
        <f>B2453</f>
        <v>95</v>
      </c>
    </row>
    <row r="2977" spans="1:2" ht="15" customHeight="1" x14ac:dyDescent="0.3">
      <c r="A2977" t="s">
        <v>2872</v>
      </c>
      <c r="B2977">
        <f>B2456</f>
        <v>65</v>
      </c>
    </row>
    <row r="2978" spans="1:2" ht="15" customHeight="1" x14ac:dyDescent="0.3">
      <c r="A2978" t="s">
        <v>2806</v>
      </c>
      <c r="B2978">
        <f>B2457</f>
        <v>90</v>
      </c>
    </row>
    <row r="2979" spans="1:2" ht="15" customHeight="1" x14ac:dyDescent="0.3">
      <c r="A2979" t="s">
        <v>2754</v>
      </c>
      <c r="B2979">
        <f>B2460</f>
        <v>180</v>
      </c>
    </row>
    <row r="2980" spans="1:2" ht="15" customHeight="1" x14ac:dyDescent="0.3">
      <c r="A2980" t="s">
        <v>3261</v>
      </c>
      <c r="B2980">
        <f>B2465</f>
        <v>85</v>
      </c>
    </row>
    <row r="2981" spans="1:2" ht="15" customHeight="1" x14ac:dyDescent="0.3">
      <c r="A2981" t="s">
        <v>2755</v>
      </c>
      <c r="B2981">
        <f>B2467</f>
        <v>95</v>
      </c>
    </row>
    <row r="2982" spans="1:2" ht="15" customHeight="1" x14ac:dyDescent="0.3">
      <c r="A2982" t="s">
        <v>3266</v>
      </c>
      <c r="B2982">
        <f>B2516</f>
        <v>80</v>
      </c>
    </row>
    <row r="2983" spans="1:2" ht="15" customHeight="1" x14ac:dyDescent="0.3">
      <c r="A2983" t="s">
        <v>2756</v>
      </c>
      <c r="B2983">
        <f>B2517</f>
        <v>110</v>
      </c>
    </row>
    <row r="2984" spans="1:2" ht="15" customHeight="1" x14ac:dyDescent="0.3">
      <c r="A2984" t="s">
        <v>3265</v>
      </c>
      <c r="B2984">
        <f>B2520</f>
        <v>90</v>
      </c>
    </row>
    <row r="2985" spans="1:2" ht="15" customHeight="1" x14ac:dyDescent="0.3">
      <c r="A2985" t="s">
        <v>3267</v>
      </c>
      <c r="B2985">
        <f>B2518</f>
        <v>80</v>
      </c>
    </row>
    <row r="2986" spans="1:2" ht="15" customHeight="1" x14ac:dyDescent="0.3">
      <c r="A2986" t="s">
        <v>2757</v>
      </c>
      <c r="B2986">
        <f>B2519</f>
        <v>110</v>
      </c>
    </row>
    <row r="2987" spans="1:2" ht="15" customHeight="1" x14ac:dyDescent="0.3">
      <c r="A2987" t="s">
        <v>2874</v>
      </c>
      <c r="B2987">
        <f>B2522</f>
        <v>80</v>
      </c>
    </row>
    <row r="2988" spans="1:2" ht="15" customHeight="1" x14ac:dyDescent="0.3">
      <c r="A2988" t="s">
        <v>3269</v>
      </c>
      <c r="B2988">
        <f>B2530</f>
        <v>200</v>
      </c>
    </row>
    <row r="2989" spans="1:2" ht="15" customHeight="1" x14ac:dyDescent="0.3">
      <c r="A2989" t="s">
        <v>2758</v>
      </c>
      <c r="B2989">
        <f>B2527</f>
        <v>220</v>
      </c>
    </row>
    <row r="2990" spans="1:2" ht="15" customHeight="1" x14ac:dyDescent="0.3">
      <c r="A2990" t="s">
        <v>3268</v>
      </c>
      <c r="B2990">
        <f>B2521</f>
        <v>105</v>
      </c>
    </row>
    <row r="2991" spans="1:2" ht="15" customHeight="1" x14ac:dyDescent="0.3">
      <c r="A2991" t="s">
        <v>10641</v>
      </c>
      <c r="B2991">
        <f>I929</f>
        <v>85</v>
      </c>
    </row>
    <row r="2992" spans="1:2" ht="15" customHeight="1" x14ac:dyDescent="0.3">
      <c r="A2992" t="s">
        <v>10642</v>
      </c>
      <c r="B2992">
        <f>I929</f>
        <v>85</v>
      </c>
    </row>
    <row r="2993" spans="1:2" ht="15" customHeight="1" x14ac:dyDescent="0.3">
      <c r="A2993" t="s">
        <v>10643</v>
      </c>
      <c r="B2993">
        <f>I929</f>
        <v>85</v>
      </c>
    </row>
    <row r="2994" spans="1:2" ht="15" customHeight="1" x14ac:dyDescent="0.3">
      <c r="A2994" t="s">
        <v>10653</v>
      </c>
      <c r="B2994">
        <f>I929</f>
        <v>85</v>
      </c>
    </row>
    <row r="2995" spans="1:2" ht="15" customHeight="1" x14ac:dyDescent="0.3">
      <c r="A2995" t="s">
        <v>10644</v>
      </c>
      <c r="B2995">
        <f>I929</f>
        <v>85</v>
      </c>
    </row>
    <row r="2996" spans="1:2" ht="15" customHeight="1" x14ac:dyDescent="0.3">
      <c r="A2996" t="s">
        <v>10645</v>
      </c>
      <c r="B2996">
        <f>I929</f>
        <v>85</v>
      </c>
    </row>
    <row r="2997" spans="1:2" ht="15" customHeight="1" x14ac:dyDescent="0.3">
      <c r="A2997" t="s">
        <v>10646</v>
      </c>
      <c r="B2997">
        <f>I929</f>
        <v>85</v>
      </c>
    </row>
    <row r="2998" spans="1:2" ht="15" customHeight="1" x14ac:dyDescent="0.3">
      <c r="A2998" t="s">
        <v>10654</v>
      </c>
      <c r="B2998">
        <f>I929</f>
        <v>85</v>
      </c>
    </row>
    <row r="2999" spans="1:2" ht="15" customHeight="1" x14ac:dyDescent="0.3">
      <c r="A2999" t="s">
        <v>10647</v>
      </c>
      <c r="B2999">
        <f>I1099</f>
        <v>200</v>
      </c>
    </row>
    <row r="3000" spans="1:2" ht="15" customHeight="1" x14ac:dyDescent="0.3">
      <c r="A3000" t="s">
        <v>10648</v>
      </c>
      <c r="B3000">
        <f>I1099</f>
        <v>200</v>
      </c>
    </row>
    <row r="3001" spans="1:2" ht="15" customHeight="1" x14ac:dyDescent="0.3">
      <c r="A3001" t="s">
        <v>10649</v>
      </c>
      <c r="B3001">
        <f>I1099</f>
        <v>200</v>
      </c>
    </row>
    <row r="3002" spans="1:2" ht="15" customHeight="1" x14ac:dyDescent="0.3">
      <c r="A3002" t="s">
        <v>10655</v>
      </c>
      <c r="B3002">
        <f>I1099</f>
        <v>200</v>
      </c>
    </row>
    <row r="3003" spans="1:2" ht="15" customHeight="1" x14ac:dyDescent="0.3">
      <c r="A3003" t="s">
        <v>13036</v>
      </c>
      <c r="B3003">
        <f>I1100</f>
        <v>220</v>
      </c>
    </row>
    <row r="3004" spans="1:2" ht="15" customHeight="1" x14ac:dyDescent="0.3">
      <c r="A3004" t="s">
        <v>13037</v>
      </c>
      <c r="B3004">
        <f>I1100</f>
        <v>220</v>
      </c>
    </row>
    <row r="3005" spans="1:2" ht="15" customHeight="1" x14ac:dyDescent="0.3">
      <c r="A3005" t="s">
        <v>13038</v>
      </c>
      <c r="B3005">
        <f>I1100</f>
        <v>220</v>
      </c>
    </row>
    <row r="3006" spans="1:2" ht="15" customHeight="1" x14ac:dyDescent="0.3">
      <c r="A3006" t="s">
        <v>13039</v>
      </c>
      <c r="B3006">
        <f>I1100</f>
        <v>220</v>
      </c>
    </row>
    <row r="3007" spans="1:2" ht="15" customHeight="1" x14ac:dyDescent="0.3">
      <c r="A3007" t="s">
        <v>10650</v>
      </c>
      <c r="B3007">
        <f>I1099</f>
        <v>200</v>
      </c>
    </row>
    <row r="3008" spans="1:2" ht="15" customHeight="1" x14ac:dyDescent="0.3">
      <c r="A3008" t="s">
        <v>10651</v>
      </c>
      <c r="B3008">
        <f>I1099</f>
        <v>200</v>
      </c>
    </row>
    <row r="3009" spans="1:2" ht="15" customHeight="1" x14ac:dyDescent="0.3">
      <c r="A3009" t="s">
        <v>10652</v>
      </c>
      <c r="B3009">
        <f>I1099</f>
        <v>200</v>
      </c>
    </row>
    <row r="3010" spans="1:2" ht="15" customHeight="1" x14ac:dyDescent="0.3">
      <c r="A3010" t="s">
        <v>10656</v>
      </c>
      <c r="B3010">
        <f>I1099</f>
        <v>200</v>
      </c>
    </row>
    <row r="3011" spans="1:2" ht="15" customHeight="1" x14ac:dyDescent="0.3">
      <c r="A3011" t="s">
        <v>3271</v>
      </c>
      <c r="B3011">
        <f>B2585</f>
        <v>110</v>
      </c>
    </row>
    <row r="3012" spans="1:2" ht="15" customHeight="1" x14ac:dyDescent="0.3">
      <c r="A3012" t="s">
        <v>3270</v>
      </c>
      <c r="B3012">
        <f>B2584</f>
        <v>90</v>
      </c>
    </row>
    <row r="3013" spans="1:2" ht="15" customHeight="1" x14ac:dyDescent="0.3">
      <c r="A3013" t="s">
        <v>3272</v>
      </c>
      <c r="B3013">
        <f>B2586</f>
        <v>90</v>
      </c>
    </row>
    <row r="3014" spans="1:2" ht="15" customHeight="1" x14ac:dyDescent="0.3">
      <c r="A3014" t="s">
        <v>3273</v>
      </c>
      <c r="B3014">
        <f>B2587</f>
        <v>90</v>
      </c>
    </row>
    <row r="3015" spans="1:2" ht="15" customHeight="1" x14ac:dyDescent="0.3">
      <c r="A3015" t="s">
        <v>3274</v>
      </c>
      <c r="B3015">
        <f>B2588</f>
        <v>90</v>
      </c>
    </row>
    <row r="3016" spans="1:2" ht="15" customHeight="1" x14ac:dyDescent="0.3">
      <c r="A3016" t="s">
        <v>3275</v>
      </c>
      <c r="B3016">
        <f>B2589</f>
        <v>80</v>
      </c>
    </row>
    <row r="3018" spans="1:2" ht="15" customHeight="1" x14ac:dyDescent="0.3">
      <c r="A3018" t="s">
        <v>4148</v>
      </c>
      <c r="B3018">
        <f>F1014</f>
        <v>35</v>
      </c>
    </row>
    <row r="3019" spans="1:2" ht="15" customHeight="1" x14ac:dyDescent="0.3">
      <c r="A3019" t="s">
        <v>4149</v>
      </c>
      <c r="B3019">
        <f>F1015</f>
        <v>55</v>
      </c>
    </row>
    <row r="3020" spans="1:2" ht="15" customHeight="1" x14ac:dyDescent="0.3">
      <c r="A3020" t="s">
        <v>4150</v>
      </c>
      <c r="B3020">
        <f>F1016</f>
        <v>25</v>
      </c>
    </row>
    <row r="3021" spans="1:2" ht="15" customHeight="1" x14ac:dyDescent="0.3">
      <c r="A3021" s="23" t="s">
        <v>4467</v>
      </c>
      <c r="B3021">
        <f>F1017</f>
        <v>15</v>
      </c>
    </row>
    <row r="3022" spans="1:2" ht="15" customHeight="1" x14ac:dyDescent="0.3">
      <c r="A3022" s="23" t="s">
        <v>4472</v>
      </c>
      <c r="B3022">
        <f>F1017</f>
        <v>15</v>
      </c>
    </row>
    <row r="3023" spans="1:2" ht="15" customHeight="1" x14ac:dyDescent="0.3">
      <c r="A3023" s="23" t="s">
        <v>4468</v>
      </c>
      <c r="B3023">
        <f>F1017</f>
        <v>15</v>
      </c>
    </row>
    <row r="3024" spans="1:2" ht="15" customHeight="1" x14ac:dyDescent="0.3">
      <c r="A3024" s="23" t="s">
        <v>4469</v>
      </c>
      <c r="B3024">
        <f>F1017</f>
        <v>15</v>
      </c>
    </row>
    <row r="3025" spans="1:2" ht="15" customHeight="1" x14ac:dyDescent="0.3">
      <c r="A3025" s="23" t="s">
        <v>4470</v>
      </c>
      <c r="B3025">
        <f>F1017</f>
        <v>15</v>
      </c>
    </row>
    <row r="3026" spans="1:2" ht="15" customHeight="1" x14ac:dyDescent="0.3">
      <c r="A3026" s="23" t="s">
        <v>4471</v>
      </c>
      <c r="B3026">
        <f>F1017</f>
        <v>15</v>
      </c>
    </row>
    <row r="3027" spans="1:2" ht="15" customHeight="1" x14ac:dyDescent="0.3">
      <c r="A3027" s="23" t="s">
        <v>4473</v>
      </c>
      <c r="B3027">
        <f>F1017</f>
        <v>15</v>
      </c>
    </row>
    <row r="3028" spans="1:2" ht="15" customHeight="1" x14ac:dyDescent="0.3">
      <c r="A3028" s="23" t="s">
        <v>4474</v>
      </c>
      <c r="B3028">
        <f>F1017</f>
        <v>15</v>
      </c>
    </row>
    <row r="3029" spans="1:2" ht="15" customHeight="1" x14ac:dyDescent="0.3">
      <c r="A3029" s="23" t="s">
        <v>4475</v>
      </c>
      <c r="B3029">
        <f>F1017</f>
        <v>15</v>
      </c>
    </row>
    <row r="3030" spans="1:2" ht="15" customHeight="1" x14ac:dyDescent="0.3">
      <c r="A3030" s="23" t="s">
        <v>4476</v>
      </c>
      <c r="B3030">
        <f>F1018</f>
        <v>15</v>
      </c>
    </row>
    <row r="3031" spans="1:2" ht="15" customHeight="1" x14ac:dyDescent="0.3">
      <c r="A3031" s="23" t="s">
        <v>4477</v>
      </c>
      <c r="B3031">
        <f>F1018</f>
        <v>15</v>
      </c>
    </row>
    <row r="3032" spans="1:2" ht="15" customHeight="1" x14ac:dyDescent="0.3">
      <c r="A3032" s="23" t="s">
        <v>4478</v>
      </c>
      <c r="B3032">
        <f>F1018</f>
        <v>15</v>
      </c>
    </row>
    <row r="3033" spans="1:2" ht="15" customHeight="1" x14ac:dyDescent="0.3">
      <c r="A3033" s="23" t="s">
        <v>4479</v>
      </c>
      <c r="B3033">
        <f>F1018</f>
        <v>15</v>
      </c>
    </row>
    <row r="3034" spans="1:2" ht="15" customHeight="1" x14ac:dyDescent="0.3">
      <c r="A3034" s="23" t="s">
        <v>4480</v>
      </c>
      <c r="B3034">
        <f>F1019</f>
        <v>40</v>
      </c>
    </row>
    <row r="3035" spans="1:2" ht="15" customHeight="1" x14ac:dyDescent="0.3">
      <c r="A3035" t="s">
        <v>1016</v>
      </c>
      <c r="B3035">
        <f>F1020</f>
        <v>0</v>
      </c>
    </row>
    <row r="3036" spans="1:2" ht="15" customHeight="1" x14ac:dyDescent="0.3">
      <c r="A3036" s="23" t="s">
        <v>4483</v>
      </c>
      <c r="B3036">
        <f>F1022</f>
        <v>15</v>
      </c>
    </row>
    <row r="3037" spans="1:2" ht="15" customHeight="1" x14ac:dyDescent="0.3">
      <c r="A3037" s="23" t="s">
        <v>4484</v>
      </c>
      <c r="B3037">
        <f>F1022</f>
        <v>15</v>
      </c>
    </row>
    <row r="3038" spans="1:2" ht="15" customHeight="1" x14ac:dyDescent="0.3">
      <c r="A3038" s="23" t="s">
        <v>4481</v>
      </c>
      <c r="B3038">
        <f>F1021</f>
        <v>15</v>
      </c>
    </row>
    <row r="3039" spans="1:2" ht="15" customHeight="1" x14ac:dyDescent="0.3">
      <c r="A3039" s="23" t="s">
        <v>4482</v>
      </c>
      <c r="B3039">
        <f>F1021</f>
        <v>15</v>
      </c>
    </row>
    <row r="3040" spans="1:2" ht="15" customHeight="1" x14ac:dyDescent="0.3">
      <c r="A3040" s="23" t="s">
        <v>4485</v>
      </c>
      <c r="B3040">
        <f>F1023</f>
        <v>12</v>
      </c>
    </row>
    <row r="3041" spans="1:2" ht="15" customHeight="1" x14ac:dyDescent="0.3">
      <c r="A3041" s="23" t="s">
        <v>4486</v>
      </c>
      <c r="B3041">
        <f>F1023</f>
        <v>12</v>
      </c>
    </row>
    <row r="3042" spans="1:2" ht="15" customHeight="1" x14ac:dyDescent="0.3">
      <c r="A3042" s="23" t="s">
        <v>4487</v>
      </c>
      <c r="B3042">
        <f>F1023</f>
        <v>12</v>
      </c>
    </row>
    <row r="3043" spans="1:2" ht="15" customHeight="1" x14ac:dyDescent="0.3">
      <c r="A3043" s="23" t="s">
        <v>4488</v>
      </c>
      <c r="B3043">
        <f>F1023</f>
        <v>12</v>
      </c>
    </row>
    <row r="3044" spans="1:2" ht="15" customHeight="1" x14ac:dyDescent="0.3">
      <c r="A3044" s="23" t="s">
        <v>4489</v>
      </c>
      <c r="B3044">
        <f>F1023</f>
        <v>12</v>
      </c>
    </row>
    <row r="3045" spans="1:2" ht="15" customHeight="1" x14ac:dyDescent="0.3">
      <c r="A3045" s="23" t="s">
        <v>4490</v>
      </c>
      <c r="B3045">
        <f>F1023</f>
        <v>12</v>
      </c>
    </row>
    <row r="3046" spans="1:2" ht="15" customHeight="1" x14ac:dyDescent="0.3">
      <c r="A3046" s="23" t="s">
        <v>4491</v>
      </c>
      <c r="B3046">
        <f>F1024</f>
        <v>12</v>
      </c>
    </row>
    <row r="3047" spans="1:2" ht="15" customHeight="1" x14ac:dyDescent="0.3">
      <c r="A3047" s="23" t="s">
        <v>4492</v>
      </c>
      <c r="B3047">
        <f>F1024</f>
        <v>12</v>
      </c>
    </row>
    <row r="3048" spans="1:2" ht="15" customHeight="1" x14ac:dyDescent="0.3">
      <c r="A3048" s="23" t="s">
        <v>4493</v>
      </c>
      <c r="B3048">
        <f>F1024</f>
        <v>12</v>
      </c>
    </row>
    <row r="3049" spans="1:2" ht="15" customHeight="1" x14ac:dyDescent="0.3">
      <c r="A3049" s="23" t="s">
        <v>4494</v>
      </c>
      <c r="B3049">
        <f>F1024</f>
        <v>12</v>
      </c>
    </row>
    <row r="3050" spans="1:2" ht="15" customHeight="1" x14ac:dyDescent="0.3">
      <c r="A3050" s="23" t="s">
        <v>4495</v>
      </c>
      <c r="B3050">
        <f>F1024</f>
        <v>12</v>
      </c>
    </row>
    <row r="3051" spans="1:2" ht="15" customHeight="1" x14ac:dyDescent="0.3">
      <c r="A3051" s="23" t="s">
        <v>4496</v>
      </c>
      <c r="B3051">
        <f>F1024</f>
        <v>12</v>
      </c>
    </row>
    <row r="3052" spans="1:2" ht="15" customHeight="1" x14ac:dyDescent="0.3">
      <c r="A3052" s="23" t="s">
        <v>4497</v>
      </c>
      <c r="B3052">
        <f>F1024</f>
        <v>12</v>
      </c>
    </row>
    <row r="3053" spans="1:2" ht="15" customHeight="1" x14ac:dyDescent="0.3">
      <c r="A3053" s="23" t="s">
        <v>4498</v>
      </c>
      <c r="B3053">
        <f>F1024</f>
        <v>12</v>
      </c>
    </row>
    <row r="3054" spans="1:2" ht="15" customHeight="1" x14ac:dyDescent="0.3">
      <c r="A3054" s="23" t="s">
        <v>4499</v>
      </c>
      <c r="B3054">
        <f>F1024</f>
        <v>12</v>
      </c>
    </row>
    <row r="3055" spans="1:2" ht="15" customHeight="1" x14ac:dyDescent="0.3">
      <c r="A3055" s="23" t="s">
        <v>4500</v>
      </c>
      <c r="B3055">
        <f>F1024</f>
        <v>12</v>
      </c>
    </row>
    <row r="3056" spans="1:2" ht="15" customHeight="1" x14ac:dyDescent="0.3">
      <c r="A3056" s="23" t="s">
        <v>4501</v>
      </c>
      <c r="B3056">
        <f>F1024</f>
        <v>12</v>
      </c>
    </row>
    <row r="3057" spans="1:2" ht="15" customHeight="1" x14ac:dyDescent="0.3">
      <c r="A3057" s="23" t="s">
        <v>4502</v>
      </c>
      <c r="B3057">
        <f>F1024</f>
        <v>12</v>
      </c>
    </row>
    <row r="3058" spans="1:2" ht="15" customHeight="1" x14ac:dyDescent="0.3">
      <c r="A3058" s="23" t="s">
        <v>4503</v>
      </c>
      <c r="B3058">
        <f>F1024</f>
        <v>12</v>
      </c>
    </row>
    <row r="3059" spans="1:2" ht="15" customHeight="1" x14ac:dyDescent="0.3">
      <c r="A3059" s="23" t="s">
        <v>4504</v>
      </c>
      <c r="B3059">
        <f>F1024</f>
        <v>12</v>
      </c>
    </row>
    <row r="3060" spans="1:2" ht="15" customHeight="1" x14ac:dyDescent="0.3">
      <c r="A3060" s="23" t="s">
        <v>4505</v>
      </c>
      <c r="B3060">
        <f>F1024</f>
        <v>12</v>
      </c>
    </row>
    <row r="3061" spans="1:2" ht="15" customHeight="1" x14ac:dyDescent="0.3">
      <c r="A3061" s="23" t="s">
        <v>4508</v>
      </c>
      <c r="B3061">
        <f>F1024</f>
        <v>12</v>
      </c>
    </row>
    <row r="3062" spans="1:2" ht="15" customHeight="1" x14ac:dyDescent="0.3">
      <c r="A3062" s="23" t="s">
        <v>4506</v>
      </c>
      <c r="B3062">
        <f>F1024</f>
        <v>12</v>
      </c>
    </row>
    <row r="3063" spans="1:2" ht="15" customHeight="1" x14ac:dyDescent="0.3">
      <c r="A3063" s="23" t="s">
        <v>4507</v>
      </c>
      <c r="B3063">
        <f>F1024</f>
        <v>12</v>
      </c>
    </row>
    <row r="3064" spans="1:2" ht="15" customHeight="1" x14ac:dyDescent="0.3">
      <c r="A3064" s="23" t="s">
        <v>4509</v>
      </c>
      <c r="B3064">
        <f>F1024</f>
        <v>12</v>
      </c>
    </row>
    <row r="3065" spans="1:2" ht="15" customHeight="1" x14ac:dyDescent="0.3">
      <c r="A3065" t="s">
        <v>10953</v>
      </c>
      <c r="B3065">
        <f>F1378</f>
        <v>15</v>
      </c>
    </row>
    <row r="3066" spans="1:2" ht="15" customHeight="1" x14ac:dyDescent="0.3">
      <c r="A3066" t="s">
        <v>10955</v>
      </c>
      <c r="B3066">
        <f>F1378</f>
        <v>15</v>
      </c>
    </row>
    <row r="3067" spans="1:2" ht="15" customHeight="1" x14ac:dyDescent="0.3">
      <c r="A3067" t="s">
        <v>10954</v>
      </c>
      <c r="B3067">
        <f>F1378</f>
        <v>15</v>
      </c>
    </row>
    <row r="3068" spans="1:2" ht="15" customHeight="1" x14ac:dyDescent="0.3">
      <c r="A3068" t="s">
        <v>10956</v>
      </c>
      <c r="B3068">
        <f>F1378</f>
        <v>15</v>
      </c>
    </row>
    <row r="3069" spans="1:2" ht="15" customHeight="1" x14ac:dyDescent="0.3">
      <c r="A3069" t="s">
        <v>10957</v>
      </c>
      <c r="B3069">
        <f>F1026</f>
        <v>12</v>
      </c>
    </row>
    <row r="3070" spans="1:2" ht="15" customHeight="1" x14ac:dyDescent="0.3">
      <c r="A3070" t="s">
        <v>10958</v>
      </c>
      <c r="B3070">
        <f>F1026</f>
        <v>12</v>
      </c>
    </row>
    <row r="3071" spans="1:2" ht="15" customHeight="1" x14ac:dyDescent="0.3">
      <c r="A3071" t="s">
        <v>10952</v>
      </c>
      <c r="B3071">
        <f>F1026</f>
        <v>12</v>
      </c>
    </row>
    <row r="3072" spans="1:2" ht="15" customHeight="1" x14ac:dyDescent="0.3">
      <c r="A3072" t="s">
        <v>10959</v>
      </c>
      <c r="B3072">
        <f>F1026</f>
        <v>12</v>
      </c>
    </row>
    <row r="3073" spans="1:2" ht="15" customHeight="1" x14ac:dyDescent="0.3">
      <c r="A3073" t="s">
        <v>1020</v>
      </c>
      <c r="B3073">
        <f>F1025</f>
        <v>12</v>
      </c>
    </row>
    <row r="3074" spans="1:2" ht="15" customHeight="1" x14ac:dyDescent="0.3">
      <c r="A3074" t="s">
        <v>10810</v>
      </c>
      <c r="B3074">
        <f>F1025</f>
        <v>12</v>
      </c>
    </row>
    <row r="3075" spans="1:2" ht="15" customHeight="1" x14ac:dyDescent="0.3">
      <c r="A3075" t="s">
        <v>10811</v>
      </c>
      <c r="B3075">
        <f>F1025</f>
        <v>12</v>
      </c>
    </row>
    <row r="3076" spans="1:2" ht="15" customHeight="1" x14ac:dyDescent="0.3">
      <c r="A3076" t="s">
        <v>10812</v>
      </c>
      <c r="B3076">
        <f>F1025</f>
        <v>12</v>
      </c>
    </row>
    <row r="3077" spans="1:2" ht="15" customHeight="1" x14ac:dyDescent="0.3">
      <c r="A3077" t="s">
        <v>10813</v>
      </c>
      <c r="B3077">
        <f>F1025</f>
        <v>12</v>
      </c>
    </row>
    <row r="3078" spans="1:2" ht="15" customHeight="1" x14ac:dyDescent="0.3">
      <c r="A3078" t="s">
        <v>10814</v>
      </c>
      <c r="B3078">
        <f>F1025</f>
        <v>12</v>
      </c>
    </row>
    <row r="3079" spans="1:2" ht="15" customHeight="1" x14ac:dyDescent="0.3">
      <c r="A3079" t="s">
        <v>10815</v>
      </c>
      <c r="B3079">
        <f>F1025</f>
        <v>12</v>
      </c>
    </row>
    <row r="3080" spans="1:2" ht="15" customHeight="1" x14ac:dyDescent="0.3">
      <c r="A3080" t="s">
        <v>10816</v>
      </c>
      <c r="B3080">
        <f>F1025</f>
        <v>12</v>
      </c>
    </row>
    <row r="3081" spans="1:2" ht="15" customHeight="1" x14ac:dyDescent="0.3">
      <c r="A3081" t="s">
        <v>10817</v>
      </c>
      <c r="B3081">
        <f>F1025</f>
        <v>12</v>
      </c>
    </row>
    <row r="3082" spans="1:2" ht="15" customHeight="1" x14ac:dyDescent="0.3">
      <c r="A3082" s="23" t="s">
        <v>4510</v>
      </c>
      <c r="B3082">
        <f>F1027</f>
        <v>12</v>
      </c>
    </row>
    <row r="3083" spans="1:2" ht="15" customHeight="1" x14ac:dyDescent="0.3">
      <c r="A3083" s="23" t="s">
        <v>4511</v>
      </c>
      <c r="B3083">
        <f>F1027</f>
        <v>12</v>
      </c>
    </row>
    <row r="3084" spans="1:2" ht="15" customHeight="1" x14ac:dyDescent="0.3">
      <c r="A3084" s="23" t="s">
        <v>4512</v>
      </c>
      <c r="B3084">
        <f>F1027</f>
        <v>12</v>
      </c>
    </row>
    <row r="3085" spans="1:2" ht="15" customHeight="1" x14ac:dyDescent="0.3">
      <c r="A3085" s="23" t="s">
        <v>4513</v>
      </c>
      <c r="B3085">
        <f>F1028</f>
        <v>12</v>
      </c>
    </row>
    <row r="3086" spans="1:2" ht="15" customHeight="1" x14ac:dyDescent="0.3">
      <c r="A3086" s="23" t="s">
        <v>4514</v>
      </c>
      <c r="B3086">
        <f>F1028</f>
        <v>12</v>
      </c>
    </row>
    <row r="3087" spans="1:2" ht="15" customHeight="1" x14ac:dyDescent="0.3">
      <c r="A3087" t="s">
        <v>1023</v>
      </c>
      <c r="B3087">
        <f>F1024</f>
        <v>12</v>
      </c>
    </row>
    <row r="3088" spans="1:2" ht="15" customHeight="1" x14ac:dyDescent="0.3">
      <c r="A3088" t="s">
        <v>1024</v>
      </c>
      <c r="B3088">
        <f>F1029</f>
        <v>15</v>
      </c>
    </row>
    <row r="3089" spans="1:2" ht="15" customHeight="1" x14ac:dyDescent="0.3">
      <c r="A3089" s="48" t="s">
        <v>10659</v>
      </c>
      <c r="B3089">
        <f>F1024</f>
        <v>12</v>
      </c>
    </row>
    <row r="3090" spans="1:2" ht="15" customHeight="1" x14ac:dyDescent="0.3">
      <c r="A3090" s="23" t="s">
        <v>4515</v>
      </c>
      <c r="B3090">
        <f>F1024</f>
        <v>12</v>
      </c>
    </row>
    <row r="3091" spans="1:2" ht="15" customHeight="1" x14ac:dyDescent="0.3">
      <c r="A3091" s="23" t="s">
        <v>4516</v>
      </c>
      <c r="B3091">
        <f>F1030</f>
        <v>10</v>
      </c>
    </row>
    <row r="3092" spans="1:2" ht="15" customHeight="1" x14ac:dyDescent="0.3">
      <c r="A3092" s="48" t="s">
        <v>10660</v>
      </c>
      <c r="B3092">
        <f>F1024</f>
        <v>12</v>
      </c>
    </row>
    <row r="3093" spans="1:2" ht="15" customHeight="1" x14ac:dyDescent="0.3">
      <c r="A3093" s="23" t="s">
        <v>4517</v>
      </c>
      <c r="B3093">
        <f>F1030</f>
        <v>10</v>
      </c>
    </row>
    <row r="3094" spans="1:2" ht="15" customHeight="1" x14ac:dyDescent="0.3">
      <c r="A3094" s="23" t="s">
        <v>4518</v>
      </c>
      <c r="B3094">
        <f>F1030</f>
        <v>10</v>
      </c>
    </row>
    <row r="3095" spans="1:2" ht="15" customHeight="1" x14ac:dyDescent="0.3">
      <c r="A3095" s="23" t="s">
        <v>4519</v>
      </c>
      <c r="B3095">
        <f>F1030</f>
        <v>10</v>
      </c>
    </row>
    <row r="3096" spans="1:2" ht="15" customHeight="1" x14ac:dyDescent="0.3">
      <c r="A3096" t="s">
        <v>1026</v>
      </c>
      <c r="B3096">
        <f>F1031</f>
        <v>0</v>
      </c>
    </row>
    <row r="3097" spans="1:2" ht="15" customHeight="1" x14ac:dyDescent="0.3">
      <c r="A3097" s="23" t="s">
        <v>4520</v>
      </c>
      <c r="B3097">
        <f>F1032</f>
        <v>10</v>
      </c>
    </row>
    <row r="3098" spans="1:2" ht="15" customHeight="1" x14ac:dyDescent="0.3">
      <c r="A3098" s="23" t="s">
        <v>4521</v>
      </c>
      <c r="B3098">
        <f>F1032</f>
        <v>10</v>
      </c>
    </row>
    <row r="3099" spans="1:2" ht="15" customHeight="1" x14ac:dyDescent="0.3">
      <c r="A3099" s="23" t="s">
        <v>4522</v>
      </c>
      <c r="B3099">
        <f>F1032</f>
        <v>10</v>
      </c>
    </row>
    <row r="3100" spans="1:2" ht="15" customHeight="1" x14ac:dyDescent="0.3">
      <c r="A3100" s="23" t="s">
        <v>4523</v>
      </c>
      <c r="B3100">
        <f>F1032</f>
        <v>10</v>
      </c>
    </row>
    <row r="3101" spans="1:2" ht="15" customHeight="1" x14ac:dyDescent="0.3">
      <c r="A3101" s="23" t="s">
        <v>4524</v>
      </c>
      <c r="B3101">
        <f>F1032</f>
        <v>10</v>
      </c>
    </row>
    <row r="3102" spans="1:2" ht="15" customHeight="1" x14ac:dyDescent="0.3">
      <c r="A3102" s="23" t="s">
        <v>4525</v>
      </c>
      <c r="B3102">
        <f>F1033</f>
        <v>10</v>
      </c>
    </row>
    <row r="3103" spans="1:2" ht="15" customHeight="1" x14ac:dyDescent="0.3">
      <c r="A3103" s="23" t="s">
        <v>4526</v>
      </c>
      <c r="B3103">
        <f>F1033</f>
        <v>10</v>
      </c>
    </row>
    <row r="3104" spans="1:2" ht="15" customHeight="1" x14ac:dyDescent="0.3">
      <c r="A3104" s="23" t="s">
        <v>4527</v>
      </c>
      <c r="B3104">
        <f>F1033</f>
        <v>10</v>
      </c>
    </row>
    <row r="3105" spans="1:2" ht="15" customHeight="1" x14ac:dyDescent="0.3">
      <c r="A3105" s="23" t="s">
        <v>4528</v>
      </c>
      <c r="B3105">
        <f>F1033</f>
        <v>10</v>
      </c>
    </row>
    <row r="3106" spans="1:2" ht="15" customHeight="1" x14ac:dyDescent="0.3">
      <c r="A3106" s="23" t="s">
        <v>4529</v>
      </c>
      <c r="B3106">
        <f>F1033</f>
        <v>10</v>
      </c>
    </row>
    <row r="3107" spans="1:2" ht="15" customHeight="1" x14ac:dyDescent="0.3">
      <c r="A3107" s="23" t="s">
        <v>4530</v>
      </c>
      <c r="B3107">
        <f>F1033</f>
        <v>10</v>
      </c>
    </row>
    <row r="3108" spans="1:2" ht="15" customHeight="1" x14ac:dyDescent="0.3">
      <c r="A3108" s="23" t="s">
        <v>4531</v>
      </c>
      <c r="B3108">
        <f>F1033</f>
        <v>10</v>
      </c>
    </row>
    <row r="3109" spans="1:2" ht="15" customHeight="1" x14ac:dyDescent="0.3">
      <c r="A3109" s="23" t="s">
        <v>4533</v>
      </c>
      <c r="B3109">
        <f>F1033</f>
        <v>10</v>
      </c>
    </row>
    <row r="3110" spans="1:2" ht="15" customHeight="1" x14ac:dyDescent="0.3">
      <c r="A3110" s="23" t="s">
        <v>4532</v>
      </c>
      <c r="B3110">
        <f>F1033</f>
        <v>10</v>
      </c>
    </row>
    <row r="3111" spans="1:2" ht="15" customHeight="1" x14ac:dyDescent="0.3">
      <c r="A3111" s="23" t="s">
        <v>4534</v>
      </c>
      <c r="B3111">
        <f>F1033</f>
        <v>10</v>
      </c>
    </row>
    <row r="3112" spans="1:2" ht="15" customHeight="1" x14ac:dyDescent="0.3">
      <c r="A3112" s="23" t="s">
        <v>4535</v>
      </c>
      <c r="B3112">
        <f>F1033</f>
        <v>10</v>
      </c>
    </row>
    <row r="3113" spans="1:2" ht="15" customHeight="1" x14ac:dyDescent="0.3">
      <c r="A3113" s="23" t="s">
        <v>4536</v>
      </c>
      <c r="B3113">
        <f>F1033</f>
        <v>10</v>
      </c>
    </row>
    <row r="3114" spans="1:2" ht="15" customHeight="1" x14ac:dyDescent="0.3">
      <c r="A3114" s="23" t="s">
        <v>4537</v>
      </c>
      <c r="B3114">
        <f>F1033</f>
        <v>10</v>
      </c>
    </row>
    <row r="3115" spans="1:2" ht="15" customHeight="1" x14ac:dyDescent="0.3">
      <c r="A3115" s="23" t="s">
        <v>4538</v>
      </c>
      <c r="B3115">
        <f>F1033</f>
        <v>10</v>
      </c>
    </row>
    <row r="3116" spans="1:2" ht="15" customHeight="1" x14ac:dyDescent="0.3">
      <c r="A3116" s="23" t="s">
        <v>4539</v>
      </c>
      <c r="B3116">
        <f>F1033</f>
        <v>10</v>
      </c>
    </row>
    <row r="3117" spans="1:2" ht="15" customHeight="1" x14ac:dyDescent="0.3">
      <c r="A3117" s="23" t="s">
        <v>4540</v>
      </c>
      <c r="B3117">
        <f>F1033</f>
        <v>10</v>
      </c>
    </row>
    <row r="3118" spans="1:2" ht="15" customHeight="1" x14ac:dyDescent="0.3">
      <c r="A3118" s="23" t="s">
        <v>4541</v>
      </c>
      <c r="B3118">
        <f>F1033</f>
        <v>10</v>
      </c>
    </row>
    <row r="3119" spans="1:2" ht="15" customHeight="1" x14ac:dyDescent="0.3">
      <c r="A3119" s="23" t="s">
        <v>4542</v>
      </c>
      <c r="B3119">
        <f>F1033</f>
        <v>10</v>
      </c>
    </row>
    <row r="3120" spans="1:2" ht="15" customHeight="1" x14ac:dyDescent="0.3">
      <c r="A3120" s="23" t="s">
        <v>4543</v>
      </c>
      <c r="B3120">
        <f>F1033</f>
        <v>10</v>
      </c>
    </row>
    <row r="3121" spans="1:2" ht="15" customHeight="1" x14ac:dyDescent="0.3">
      <c r="A3121" s="23" t="s">
        <v>4544</v>
      </c>
      <c r="B3121">
        <f>F1033</f>
        <v>10</v>
      </c>
    </row>
    <row r="3122" spans="1:2" ht="15" customHeight="1" x14ac:dyDescent="0.3">
      <c r="A3122" s="23" t="s">
        <v>4545</v>
      </c>
      <c r="B3122">
        <f>F1033</f>
        <v>10</v>
      </c>
    </row>
    <row r="3123" spans="1:2" ht="15" customHeight="1" x14ac:dyDescent="0.3">
      <c r="A3123" s="23" t="s">
        <v>4546</v>
      </c>
      <c r="B3123">
        <f>F1033</f>
        <v>10</v>
      </c>
    </row>
    <row r="3124" spans="1:2" ht="15" customHeight="1" x14ac:dyDescent="0.3">
      <c r="A3124" s="23" t="s">
        <v>4547</v>
      </c>
      <c r="B3124">
        <f>F1033</f>
        <v>10</v>
      </c>
    </row>
    <row r="3125" spans="1:2" ht="15" customHeight="1" x14ac:dyDescent="0.3">
      <c r="A3125" s="23" t="s">
        <v>4548</v>
      </c>
      <c r="B3125">
        <f>F1033</f>
        <v>10</v>
      </c>
    </row>
    <row r="3126" spans="1:2" ht="15" customHeight="1" x14ac:dyDescent="0.3">
      <c r="A3126" s="23" t="s">
        <v>4549</v>
      </c>
      <c r="B3126">
        <f>F1033</f>
        <v>10</v>
      </c>
    </row>
    <row r="3127" spans="1:2" ht="15" customHeight="1" x14ac:dyDescent="0.3">
      <c r="A3127" s="23" t="s">
        <v>4550</v>
      </c>
      <c r="B3127">
        <f>F1033</f>
        <v>10</v>
      </c>
    </row>
    <row r="3128" spans="1:2" ht="15" customHeight="1" x14ac:dyDescent="0.3">
      <c r="A3128" s="23" t="s">
        <v>4551</v>
      </c>
      <c r="B3128">
        <f>F1033</f>
        <v>10</v>
      </c>
    </row>
    <row r="3129" spans="1:2" ht="15" customHeight="1" x14ac:dyDescent="0.3">
      <c r="A3129" s="23" t="s">
        <v>4552</v>
      </c>
      <c r="B3129">
        <f>F1033</f>
        <v>10</v>
      </c>
    </row>
    <row r="3130" spans="1:2" ht="15" customHeight="1" x14ac:dyDescent="0.3">
      <c r="A3130" s="23" t="s">
        <v>4553</v>
      </c>
      <c r="B3130">
        <f>F1033</f>
        <v>10</v>
      </c>
    </row>
    <row r="3131" spans="1:2" ht="15" customHeight="1" x14ac:dyDescent="0.3">
      <c r="A3131" s="23" t="s">
        <v>4554</v>
      </c>
      <c r="B3131">
        <f>F1033</f>
        <v>10</v>
      </c>
    </row>
    <row r="3132" spans="1:2" ht="15" customHeight="1" x14ac:dyDescent="0.3">
      <c r="A3132" s="23" t="s">
        <v>4555</v>
      </c>
      <c r="B3132">
        <f>F1033</f>
        <v>10</v>
      </c>
    </row>
    <row r="3133" spans="1:2" ht="15" customHeight="1" x14ac:dyDescent="0.3">
      <c r="A3133" s="23" t="s">
        <v>4556</v>
      </c>
      <c r="B3133">
        <f>F1033</f>
        <v>10</v>
      </c>
    </row>
    <row r="3134" spans="1:2" ht="15" customHeight="1" x14ac:dyDescent="0.3">
      <c r="A3134" s="23" t="s">
        <v>4557</v>
      </c>
      <c r="B3134">
        <f>F1034</f>
        <v>15</v>
      </c>
    </row>
    <row r="3135" spans="1:2" ht="15" customHeight="1" x14ac:dyDescent="0.3">
      <c r="A3135" s="23" t="s">
        <v>4558</v>
      </c>
      <c r="B3135">
        <f>F1034</f>
        <v>15</v>
      </c>
    </row>
    <row r="3136" spans="1:2" ht="15" customHeight="1" x14ac:dyDescent="0.3">
      <c r="A3136" s="23" t="s">
        <v>4559</v>
      </c>
      <c r="B3136">
        <f>F1034</f>
        <v>15</v>
      </c>
    </row>
    <row r="3137" spans="1:2" ht="15" customHeight="1" x14ac:dyDescent="0.3">
      <c r="A3137" s="23" t="s">
        <v>4560</v>
      </c>
      <c r="B3137">
        <f>F1034</f>
        <v>15</v>
      </c>
    </row>
    <row r="3138" spans="1:2" ht="15" customHeight="1" x14ac:dyDescent="0.3">
      <c r="A3138" s="23" t="s">
        <v>4561</v>
      </c>
      <c r="B3138">
        <f>F1034</f>
        <v>15</v>
      </c>
    </row>
    <row r="3139" spans="1:2" ht="15" customHeight="1" x14ac:dyDescent="0.3">
      <c r="A3139" s="23" t="s">
        <v>4562</v>
      </c>
      <c r="B3139">
        <f>F1034</f>
        <v>15</v>
      </c>
    </row>
    <row r="3140" spans="1:2" ht="15" customHeight="1" x14ac:dyDescent="0.3">
      <c r="A3140" s="23" t="s">
        <v>4563</v>
      </c>
      <c r="B3140">
        <f>F1034</f>
        <v>15</v>
      </c>
    </row>
    <row r="3141" spans="1:2" ht="15" customHeight="1" x14ac:dyDescent="0.3">
      <c r="A3141" s="23" t="s">
        <v>4564</v>
      </c>
      <c r="B3141">
        <f>F1034</f>
        <v>15</v>
      </c>
    </row>
    <row r="3142" spans="1:2" ht="15" customHeight="1" x14ac:dyDescent="0.3">
      <c r="A3142" t="s">
        <v>10661</v>
      </c>
      <c r="B3142">
        <f>F1024</f>
        <v>12</v>
      </c>
    </row>
    <row r="3143" spans="1:2" ht="15" customHeight="1" x14ac:dyDescent="0.3">
      <c r="A3143" t="s">
        <v>10662</v>
      </c>
      <c r="B3143">
        <f>F1024</f>
        <v>12</v>
      </c>
    </row>
    <row r="3144" spans="1:2" ht="15" customHeight="1" x14ac:dyDescent="0.3">
      <c r="A3144" t="s">
        <v>1029</v>
      </c>
      <c r="B3144">
        <f>F1035</f>
        <v>15</v>
      </c>
    </row>
    <row r="3145" spans="1:2" ht="15" customHeight="1" x14ac:dyDescent="0.3">
      <c r="A3145" s="23" t="s">
        <v>4625</v>
      </c>
      <c r="B3145">
        <f t="shared" ref="B3145:B3163" si="1122">B3021</f>
        <v>15</v>
      </c>
    </row>
    <row r="3146" spans="1:2" ht="15" customHeight="1" x14ac:dyDescent="0.3">
      <c r="A3146" s="23" t="s">
        <v>4626</v>
      </c>
      <c r="B3146">
        <f t="shared" si="1122"/>
        <v>15</v>
      </c>
    </row>
    <row r="3147" spans="1:2" ht="15" customHeight="1" x14ac:dyDescent="0.3">
      <c r="A3147" s="23" t="s">
        <v>4627</v>
      </c>
      <c r="B3147">
        <f t="shared" si="1122"/>
        <v>15</v>
      </c>
    </row>
    <row r="3148" spans="1:2" ht="15" customHeight="1" x14ac:dyDescent="0.3">
      <c r="A3148" s="23" t="s">
        <v>4628</v>
      </c>
      <c r="B3148">
        <f t="shared" si="1122"/>
        <v>15</v>
      </c>
    </row>
    <row r="3149" spans="1:2" ht="15" customHeight="1" x14ac:dyDescent="0.3">
      <c r="A3149" s="23" t="s">
        <v>4629</v>
      </c>
      <c r="B3149">
        <f t="shared" si="1122"/>
        <v>15</v>
      </c>
    </row>
    <row r="3150" spans="1:2" ht="15" customHeight="1" x14ac:dyDescent="0.3">
      <c r="A3150" s="23" t="s">
        <v>4630</v>
      </c>
      <c r="B3150">
        <f t="shared" si="1122"/>
        <v>15</v>
      </c>
    </row>
    <row r="3151" spans="1:2" ht="15" customHeight="1" x14ac:dyDescent="0.3">
      <c r="A3151" s="23" t="s">
        <v>4631</v>
      </c>
      <c r="B3151">
        <f t="shared" si="1122"/>
        <v>15</v>
      </c>
    </row>
    <row r="3152" spans="1:2" ht="15" customHeight="1" x14ac:dyDescent="0.3">
      <c r="A3152" s="23" t="s">
        <v>4632</v>
      </c>
      <c r="B3152">
        <f t="shared" si="1122"/>
        <v>15</v>
      </c>
    </row>
    <row r="3153" spans="1:2" ht="15" customHeight="1" x14ac:dyDescent="0.3">
      <c r="A3153" s="23" t="s">
        <v>4633</v>
      </c>
      <c r="B3153">
        <f t="shared" si="1122"/>
        <v>15</v>
      </c>
    </row>
    <row r="3154" spans="1:2" ht="15" customHeight="1" x14ac:dyDescent="0.3">
      <c r="A3154" s="23" t="s">
        <v>4634</v>
      </c>
      <c r="B3154">
        <f t="shared" si="1122"/>
        <v>15</v>
      </c>
    </row>
    <row r="3155" spans="1:2" ht="15" customHeight="1" x14ac:dyDescent="0.3">
      <c r="A3155" s="23" t="s">
        <v>4635</v>
      </c>
      <c r="B3155">
        <f t="shared" si="1122"/>
        <v>15</v>
      </c>
    </row>
    <row r="3156" spans="1:2" ht="15" customHeight="1" x14ac:dyDescent="0.3">
      <c r="A3156" s="23" t="s">
        <v>4636</v>
      </c>
      <c r="B3156">
        <f t="shared" si="1122"/>
        <v>15</v>
      </c>
    </row>
    <row r="3157" spans="1:2" ht="15" customHeight="1" x14ac:dyDescent="0.3">
      <c r="A3157" s="23" t="s">
        <v>4637</v>
      </c>
      <c r="B3157">
        <f t="shared" si="1122"/>
        <v>15</v>
      </c>
    </row>
    <row r="3158" spans="1:2" ht="15" customHeight="1" x14ac:dyDescent="0.3">
      <c r="A3158" s="23" t="s">
        <v>4660</v>
      </c>
      <c r="B3158">
        <f t="shared" si="1122"/>
        <v>40</v>
      </c>
    </row>
    <row r="3159" spans="1:2" ht="15" customHeight="1" x14ac:dyDescent="0.3">
      <c r="A3159" t="s">
        <v>4661</v>
      </c>
      <c r="B3159">
        <f t="shared" si="1122"/>
        <v>0</v>
      </c>
    </row>
    <row r="3160" spans="1:2" ht="15" customHeight="1" x14ac:dyDescent="0.3">
      <c r="A3160" s="23" t="s">
        <v>4662</v>
      </c>
      <c r="B3160">
        <f t="shared" si="1122"/>
        <v>15</v>
      </c>
    </row>
    <row r="3161" spans="1:2" ht="15" customHeight="1" x14ac:dyDescent="0.3">
      <c r="A3161" s="23" t="s">
        <v>4663</v>
      </c>
      <c r="B3161">
        <f t="shared" si="1122"/>
        <v>15</v>
      </c>
    </row>
    <row r="3162" spans="1:2" ht="15" customHeight="1" x14ac:dyDescent="0.3">
      <c r="A3162" s="23" t="s">
        <v>4664</v>
      </c>
      <c r="B3162">
        <f t="shared" si="1122"/>
        <v>15</v>
      </c>
    </row>
    <row r="3163" spans="1:2" ht="15" customHeight="1" x14ac:dyDescent="0.3">
      <c r="A3163" s="23" t="s">
        <v>4665</v>
      </c>
      <c r="B3163">
        <f t="shared" si="1122"/>
        <v>15</v>
      </c>
    </row>
    <row r="3164" spans="1:2" ht="15" customHeight="1" x14ac:dyDescent="0.3">
      <c r="A3164" s="23" t="s">
        <v>4566</v>
      </c>
      <c r="B3164">
        <f t="shared" ref="B3164:B3185" si="1123">B3043</f>
        <v>12</v>
      </c>
    </row>
    <row r="3165" spans="1:2" ht="15" customHeight="1" x14ac:dyDescent="0.3">
      <c r="A3165" s="23" t="s">
        <v>4638</v>
      </c>
      <c r="B3165">
        <f t="shared" si="1123"/>
        <v>12</v>
      </c>
    </row>
    <row r="3166" spans="1:2" ht="15" customHeight="1" x14ac:dyDescent="0.3">
      <c r="A3166" s="23" t="s">
        <v>4639</v>
      </c>
      <c r="B3166">
        <f t="shared" si="1123"/>
        <v>12</v>
      </c>
    </row>
    <row r="3167" spans="1:2" ht="15" customHeight="1" x14ac:dyDescent="0.3">
      <c r="A3167" s="23" t="s">
        <v>4640</v>
      </c>
      <c r="B3167">
        <f t="shared" si="1123"/>
        <v>12</v>
      </c>
    </row>
    <row r="3168" spans="1:2" ht="15" customHeight="1" x14ac:dyDescent="0.3">
      <c r="A3168" s="23" t="s">
        <v>4641</v>
      </c>
      <c r="B3168">
        <f t="shared" si="1123"/>
        <v>12</v>
      </c>
    </row>
    <row r="3169" spans="1:2" ht="15" customHeight="1" x14ac:dyDescent="0.3">
      <c r="A3169" s="23" t="s">
        <v>4642</v>
      </c>
      <c r="B3169">
        <f t="shared" si="1123"/>
        <v>12</v>
      </c>
    </row>
    <row r="3170" spans="1:2" ht="15" customHeight="1" x14ac:dyDescent="0.3">
      <c r="A3170" s="23" t="s">
        <v>4643</v>
      </c>
      <c r="B3170">
        <f t="shared" si="1123"/>
        <v>12</v>
      </c>
    </row>
    <row r="3171" spans="1:2" ht="15" customHeight="1" x14ac:dyDescent="0.3">
      <c r="A3171" s="23" t="s">
        <v>4644</v>
      </c>
      <c r="B3171">
        <f t="shared" si="1123"/>
        <v>12</v>
      </c>
    </row>
    <row r="3172" spans="1:2" ht="15" customHeight="1" x14ac:dyDescent="0.3">
      <c r="A3172" s="23" t="s">
        <v>4645</v>
      </c>
      <c r="B3172">
        <f t="shared" si="1123"/>
        <v>12</v>
      </c>
    </row>
    <row r="3173" spans="1:2" ht="15" customHeight="1" x14ac:dyDescent="0.3">
      <c r="A3173" s="23" t="s">
        <v>4646</v>
      </c>
      <c r="B3173">
        <f t="shared" si="1123"/>
        <v>12</v>
      </c>
    </row>
    <row r="3174" spans="1:2" ht="15" customHeight="1" x14ac:dyDescent="0.3">
      <c r="A3174" s="23" t="s">
        <v>4647</v>
      </c>
      <c r="B3174">
        <f t="shared" si="1123"/>
        <v>12</v>
      </c>
    </row>
    <row r="3175" spans="1:2" ht="15" customHeight="1" x14ac:dyDescent="0.3">
      <c r="A3175" s="23" t="s">
        <v>4648</v>
      </c>
      <c r="B3175">
        <f t="shared" si="1123"/>
        <v>12</v>
      </c>
    </row>
    <row r="3176" spans="1:2" ht="15" customHeight="1" x14ac:dyDescent="0.3">
      <c r="A3176" s="23" t="s">
        <v>4649</v>
      </c>
      <c r="B3176">
        <f t="shared" si="1123"/>
        <v>12</v>
      </c>
    </row>
    <row r="3177" spans="1:2" ht="15" customHeight="1" x14ac:dyDescent="0.3">
      <c r="A3177" s="23" t="s">
        <v>4650</v>
      </c>
      <c r="B3177">
        <f t="shared" si="1123"/>
        <v>12</v>
      </c>
    </row>
    <row r="3178" spans="1:2" ht="15" customHeight="1" x14ac:dyDescent="0.3">
      <c r="A3178" s="23" t="s">
        <v>4651</v>
      </c>
      <c r="B3178">
        <f t="shared" si="1123"/>
        <v>12</v>
      </c>
    </row>
    <row r="3179" spans="1:2" ht="15" customHeight="1" x14ac:dyDescent="0.3">
      <c r="A3179" s="23" t="s">
        <v>4567</v>
      </c>
      <c r="B3179">
        <f t="shared" si="1123"/>
        <v>12</v>
      </c>
    </row>
    <row r="3180" spans="1:2" ht="15" customHeight="1" x14ac:dyDescent="0.3">
      <c r="A3180" s="23" t="s">
        <v>4568</v>
      </c>
      <c r="B3180">
        <f t="shared" si="1123"/>
        <v>12</v>
      </c>
    </row>
    <row r="3181" spans="1:2" ht="15" customHeight="1" x14ac:dyDescent="0.3">
      <c r="A3181" s="23" t="s">
        <v>4569</v>
      </c>
      <c r="B3181">
        <f t="shared" si="1123"/>
        <v>12</v>
      </c>
    </row>
    <row r="3182" spans="1:2" ht="15" customHeight="1" x14ac:dyDescent="0.3">
      <c r="A3182" s="23" t="s">
        <v>4570</v>
      </c>
      <c r="B3182">
        <f t="shared" si="1123"/>
        <v>12</v>
      </c>
    </row>
    <row r="3183" spans="1:2" ht="15" customHeight="1" x14ac:dyDescent="0.3">
      <c r="A3183" s="23" t="s">
        <v>4571</v>
      </c>
      <c r="B3183">
        <f t="shared" si="1123"/>
        <v>12</v>
      </c>
    </row>
    <row r="3184" spans="1:2" ht="15" customHeight="1" x14ac:dyDescent="0.3">
      <c r="A3184" s="23" t="s">
        <v>4572</v>
      </c>
      <c r="B3184">
        <f t="shared" si="1123"/>
        <v>12</v>
      </c>
    </row>
    <row r="3185" spans="1:2" ht="15" customHeight="1" x14ac:dyDescent="0.3">
      <c r="A3185" s="23" t="s">
        <v>4573</v>
      </c>
      <c r="B3185">
        <f t="shared" si="1123"/>
        <v>12</v>
      </c>
    </row>
    <row r="3186" spans="1:2" ht="15" customHeight="1" x14ac:dyDescent="0.3">
      <c r="A3186" t="s">
        <v>4652</v>
      </c>
      <c r="B3186">
        <f t="shared" ref="B3186" si="1124">B3073</f>
        <v>12</v>
      </c>
    </row>
    <row r="3187" spans="1:2" ht="15" customHeight="1" x14ac:dyDescent="0.3">
      <c r="A3187" s="23" t="s">
        <v>4653</v>
      </c>
      <c r="B3187">
        <f t="shared" ref="B3187:B3193" si="1125">B3082</f>
        <v>12</v>
      </c>
    </row>
    <row r="3188" spans="1:2" ht="15" customHeight="1" x14ac:dyDescent="0.3">
      <c r="A3188" s="23" t="s">
        <v>4654</v>
      </c>
      <c r="B3188">
        <f t="shared" si="1125"/>
        <v>12</v>
      </c>
    </row>
    <row r="3189" spans="1:2" ht="15" customHeight="1" x14ac:dyDescent="0.3">
      <c r="A3189" s="23" t="s">
        <v>4655</v>
      </c>
      <c r="B3189">
        <f t="shared" si="1125"/>
        <v>12</v>
      </c>
    </row>
    <row r="3190" spans="1:2" ht="15" customHeight="1" x14ac:dyDescent="0.3">
      <c r="A3190" s="23" t="s">
        <v>4656</v>
      </c>
      <c r="B3190">
        <f t="shared" si="1125"/>
        <v>12</v>
      </c>
    </row>
    <row r="3191" spans="1:2" ht="15" customHeight="1" x14ac:dyDescent="0.3">
      <c r="A3191" s="23" t="s">
        <v>4657</v>
      </c>
      <c r="B3191">
        <f t="shared" si="1125"/>
        <v>12</v>
      </c>
    </row>
    <row r="3192" spans="1:2" ht="15" customHeight="1" x14ac:dyDescent="0.3">
      <c r="A3192" t="s">
        <v>4658</v>
      </c>
      <c r="B3192">
        <f t="shared" si="1125"/>
        <v>12</v>
      </c>
    </row>
    <row r="3193" spans="1:2" ht="15" customHeight="1" x14ac:dyDescent="0.3">
      <c r="A3193" t="s">
        <v>4659</v>
      </c>
      <c r="B3193">
        <f t="shared" si="1125"/>
        <v>15</v>
      </c>
    </row>
    <row r="3194" spans="1:2" ht="15" customHeight="1" x14ac:dyDescent="0.3">
      <c r="A3194" s="23" t="s">
        <v>4574</v>
      </c>
      <c r="B3194">
        <f>B3090</f>
        <v>12</v>
      </c>
    </row>
    <row r="3195" spans="1:2" ht="15" customHeight="1" x14ac:dyDescent="0.3">
      <c r="A3195" s="23" t="s">
        <v>4575</v>
      </c>
      <c r="B3195">
        <f>B3091</f>
        <v>10</v>
      </c>
    </row>
    <row r="3196" spans="1:2" ht="15" customHeight="1" x14ac:dyDescent="0.3">
      <c r="A3196" s="23" t="s">
        <v>4576</v>
      </c>
      <c r="B3196">
        <f t="shared" ref="B3196:B3227" si="1126">B3093</f>
        <v>10</v>
      </c>
    </row>
    <row r="3197" spans="1:2" ht="15" customHeight="1" x14ac:dyDescent="0.3">
      <c r="A3197" s="23" t="s">
        <v>4577</v>
      </c>
      <c r="B3197">
        <f t="shared" si="1126"/>
        <v>10</v>
      </c>
    </row>
    <row r="3198" spans="1:2" ht="15" customHeight="1" x14ac:dyDescent="0.3">
      <c r="A3198" s="23" t="s">
        <v>4578</v>
      </c>
      <c r="B3198">
        <f t="shared" si="1126"/>
        <v>10</v>
      </c>
    </row>
    <row r="3199" spans="1:2" ht="15" customHeight="1" x14ac:dyDescent="0.3">
      <c r="A3199" t="s">
        <v>4579</v>
      </c>
      <c r="B3199">
        <f t="shared" si="1126"/>
        <v>0</v>
      </c>
    </row>
    <row r="3200" spans="1:2" ht="15" customHeight="1" x14ac:dyDescent="0.3">
      <c r="A3200" s="23" t="s">
        <v>4580</v>
      </c>
      <c r="B3200">
        <f t="shared" si="1126"/>
        <v>10</v>
      </c>
    </row>
    <row r="3201" spans="1:2" ht="15" customHeight="1" x14ac:dyDescent="0.3">
      <c r="A3201" s="23" t="s">
        <v>4581</v>
      </c>
      <c r="B3201">
        <f t="shared" si="1126"/>
        <v>10</v>
      </c>
    </row>
    <row r="3202" spans="1:2" ht="15" customHeight="1" x14ac:dyDescent="0.3">
      <c r="A3202" s="23" t="s">
        <v>4582</v>
      </c>
      <c r="B3202">
        <f t="shared" si="1126"/>
        <v>10</v>
      </c>
    </row>
    <row r="3203" spans="1:2" ht="15" customHeight="1" x14ac:dyDescent="0.3">
      <c r="A3203" s="23" t="s">
        <v>4583</v>
      </c>
      <c r="B3203">
        <f t="shared" si="1126"/>
        <v>10</v>
      </c>
    </row>
    <row r="3204" spans="1:2" ht="15" customHeight="1" x14ac:dyDescent="0.3">
      <c r="A3204" s="23" t="s">
        <v>4584</v>
      </c>
      <c r="B3204">
        <f t="shared" si="1126"/>
        <v>10</v>
      </c>
    </row>
    <row r="3205" spans="1:2" ht="15" customHeight="1" x14ac:dyDescent="0.3">
      <c r="A3205" s="23" t="s">
        <v>4585</v>
      </c>
      <c r="B3205">
        <f t="shared" si="1126"/>
        <v>10</v>
      </c>
    </row>
    <row r="3206" spans="1:2" ht="15" customHeight="1" x14ac:dyDescent="0.3">
      <c r="A3206" s="23" t="s">
        <v>4586</v>
      </c>
      <c r="B3206">
        <f t="shared" si="1126"/>
        <v>10</v>
      </c>
    </row>
    <row r="3207" spans="1:2" ht="15" customHeight="1" x14ac:dyDescent="0.3">
      <c r="A3207" s="23" t="s">
        <v>4587</v>
      </c>
      <c r="B3207">
        <f t="shared" si="1126"/>
        <v>10</v>
      </c>
    </row>
    <row r="3208" spans="1:2" ht="15" customHeight="1" x14ac:dyDescent="0.3">
      <c r="A3208" s="23" t="s">
        <v>4588</v>
      </c>
      <c r="B3208">
        <f t="shared" si="1126"/>
        <v>10</v>
      </c>
    </row>
    <row r="3209" spans="1:2" ht="15" customHeight="1" x14ac:dyDescent="0.3">
      <c r="A3209" s="23" t="s">
        <v>4589</v>
      </c>
      <c r="B3209">
        <f t="shared" si="1126"/>
        <v>10</v>
      </c>
    </row>
    <row r="3210" spans="1:2" ht="15" customHeight="1" x14ac:dyDescent="0.3">
      <c r="A3210" s="23" t="s">
        <v>4590</v>
      </c>
      <c r="B3210">
        <f t="shared" si="1126"/>
        <v>10</v>
      </c>
    </row>
    <row r="3211" spans="1:2" ht="15" customHeight="1" x14ac:dyDescent="0.3">
      <c r="A3211" s="23" t="s">
        <v>4591</v>
      </c>
      <c r="B3211">
        <f t="shared" si="1126"/>
        <v>10</v>
      </c>
    </row>
    <row r="3212" spans="1:2" ht="15" customHeight="1" x14ac:dyDescent="0.3">
      <c r="A3212" s="23" t="s">
        <v>4592</v>
      </c>
      <c r="B3212">
        <f t="shared" si="1126"/>
        <v>10</v>
      </c>
    </row>
    <row r="3213" spans="1:2" ht="15" customHeight="1" x14ac:dyDescent="0.3">
      <c r="A3213" s="23" t="s">
        <v>4593</v>
      </c>
      <c r="B3213">
        <f t="shared" si="1126"/>
        <v>10</v>
      </c>
    </row>
    <row r="3214" spans="1:2" ht="15" customHeight="1" x14ac:dyDescent="0.3">
      <c r="A3214" s="23" t="s">
        <v>4594</v>
      </c>
      <c r="B3214">
        <f t="shared" si="1126"/>
        <v>10</v>
      </c>
    </row>
    <row r="3215" spans="1:2" ht="15" customHeight="1" x14ac:dyDescent="0.3">
      <c r="A3215" s="23" t="s">
        <v>4595</v>
      </c>
      <c r="B3215">
        <f t="shared" si="1126"/>
        <v>10</v>
      </c>
    </row>
    <row r="3216" spans="1:2" ht="15" customHeight="1" x14ac:dyDescent="0.3">
      <c r="A3216" s="23" t="s">
        <v>4596</v>
      </c>
      <c r="B3216">
        <f t="shared" si="1126"/>
        <v>10</v>
      </c>
    </row>
    <row r="3217" spans="1:2" ht="15" customHeight="1" x14ac:dyDescent="0.3">
      <c r="A3217" s="23" t="s">
        <v>4597</v>
      </c>
      <c r="B3217">
        <f t="shared" si="1126"/>
        <v>10</v>
      </c>
    </row>
    <row r="3218" spans="1:2" ht="15" customHeight="1" x14ac:dyDescent="0.3">
      <c r="A3218" s="23" t="s">
        <v>4598</v>
      </c>
      <c r="B3218">
        <f t="shared" si="1126"/>
        <v>10</v>
      </c>
    </row>
    <row r="3219" spans="1:2" ht="15" customHeight="1" x14ac:dyDescent="0.3">
      <c r="A3219" s="23" t="s">
        <v>4599</v>
      </c>
      <c r="B3219">
        <f t="shared" si="1126"/>
        <v>10</v>
      </c>
    </row>
    <row r="3220" spans="1:2" ht="15" customHeight="1" x14ac:dyDescent="0.3">
      <c r="A3220" s="23" t="s">
        <v>4600</v>
      </c>
      <c r="B3220">
        <f t="shared" si="1126"/>
        <v>10</v>
      </c>
    </row>
    <row r="3221" spans="1:2" ht="15" customHeight="1" x14ac:dyDescent="0.3">
      <c r="A3221" s="23" t="s">
        <v>4601</v>
      </c>
      <c r="B3221">
        <f t="shared" si="1126"/>
        <v>10</v>
      </c>
    </row>
    <row r="3222" spans="1:2" ht="15" customHeight="1" x14ac:dyDescent="0.3">
      <c r="A3222" s="23" t="s">
        <v>4602</v>
      </c>
      <c r="B3222">
        <f t="shared" si="1126"/>
        <v>10</v>
      </c>
    </row>
    <row r="3223" spans="1:2" ht="15" customHeight="1" x14ac:dyDescent="0.3">
      <c r="A3223" s="23" t="s">
        <v>4603</v>
      </c>
      <c r="B3223">
        <f t="shared" si="1126"/>
        <v>10</v>
      </c>
    </row>
    <row r="3224" spans="1:2" ht="15" customHeight="1" x14ac:dyDescent="0.3">
      <c r="A3224" s="23" t="s">
        <v>4604</v>
      </c>
      <c r="B3224">
        <f t="shared" si="1126"/>
        <v>10</v>
      </c>
    </row>
    <row r="3225" spans="1:2" ht="15" customHeight="1" x14ac:dyDescent="0.3">
      <c r="A3225" s="23" t="s">
        <v>4605</v>
      </c>
      <c r="B3225">
        <f t="shared" si="1126"/>
        <v>10</v>
      </c>
    </row>
    <row r="3226" spans="1:2" ht="15" customHeight="1" x14ac:dyDescent="0.3">
      <c r="A3226" s="23" t="s">
        <v>4606</v>
      </c>
      <c r="B3226">
        <f t="shared" si="1126"/>
        <v>10</v>
      </c>
    </row>
    <row r="3227" spans="1:2" ht="15" customHeight="1" x14ac:dyDescent="0.3">
      <c r="A3227" s="23" t="s">
        <v>4607</v>
      </c>
      <c r="B3227">
        <f t="shared" si="1126"/>
        <v>10</v>
      </c>
    </row>
    <row r="3228" spans="1:2" ht="15" customHeight="1" x14ac:dyDescent="0.3">
      <c r="A3228" s="23" t="s">
        <v>4608</v>
      </c>
      <c r="B3228">
        <f t="shared" ref="B3228:B3244" si="1127">B3125</f>
        <v>10</v>
      </c>
    </row>
    <row r="3229" spans="1:2" ht="15" customHeight="1" x14ac:dyDescent="0.3">
      <c r="A3229" s="23" t="s">
        <v>4609</v>
      </c>
      <c r="B3229">
        <f t="shared" si="1127"/>
        <v>10</v>
      </c>
    </row>
    <row r="3230" spans="1:2" ht="15" customHeight="1" x14ac:dyDescent="0.3">
      <c r="A3230" s="23" t="s">
        <v>4610</v>
      </c>
      <c r="B3230">
        <f t="shared" si="1127"/>
        <v>10</v>
      </c>
    </row>
    <row r="3231" spans="1:2" ht="15" customHeight="1" x14ac:dyDescent="0.3">
      <c r="A3231" s="23" t="s">
        <v>4611</v>
      </c>
      <c r="B3231">
        <f t="shared" si="1127"/>
        <v>10</v>
      </c>
    </row>
    <row r="3232" spans="1:2" ht="15" customHeight="1" x14ac:dyDescent="0.3">
      <c r="A3232" s="23" t="s">
        <v>4612</v>
      </c>
      <c r="B3232">
        <f t="shared" si="1127"/>
        <v>10</v>
      </c>
    </row>
    <row r="3233" spans="1:2" ht="15" customHeight="1" x14ac:dyDescent="0.3">
      <c r="A3233" s="23" t="s">
        <v>4613</v>
      </c>
      <c r="B3233">
        <f t="shared" si="1127"/>
        <v>10</v>
      </c>
    </row>
    <row r="3234" spans="1:2" ht="15" customHeight="1" x14ac:dyDescent="0.3">
      <c r="A3234" s="23" t="s">
        <v>4614</v>
      </c>
      <c r="B3234">
        <f t="shared" si="1127"/>
        <v>10</v>
      </c>
    </row>
    <row r="3235" spans="1:2" ht="15" customHeight="1" x14ac:dyDescent="0.3">
      <c r="A3235" s="23" t="s">
        <v>4615</v>
      </c>
      <c r="B3235">
        <f t="shared" si="1127"/>
        <v>10</v>
      </c>
    </row>
    <row r="3236" spans="1:2" ht="15" customHeight="1" x14ac:dyDescent="0.3">
      <c r="A3236" s="23" t="s">
        <v>4616</v>
      </c>
      <c r="B3236">
        <f t="shared" si="1127"/>
        <v>10</v>
      </c>
    </row>
    <row r="3237" spans="1:2" ht="15" customHeight="1" x14ac:dyDescent="0.3">
      <c r="A3237" s="23" t="s">
        <v>4617</v>
      </c>
      <c r="B3237">
        <f t="shared" si="1127"/>
        <v>15</v>
      </c>
    </row>
    <row r="3238" spans="1:2" ht="15" customHeight="1" x14ac:dyDescent="0.3">
      <c r="A3238" s="23" t="s">
        <v>4618</v>
      </c>
      <c r="B3238">
        <f t="shared" si="1127"/>
        <v>15</v>
      </c>
    </row>
    <row r="3239" spans="1:2" ht="15" customHeight="1" x14ac:dyDescent="0.3">
      <c r="A3239" s="23" t="s">
        <v>4619</v>
      </c>
      <c r="B3239">
        <f t="shared" si="1127"/>
        <v>15</v>
      </c>
    </row>
    <row r="3240" spans="1:2" ht="15" customHeight="1" x14ac:dyDescent="0.3">
      <c r="A3240" s="23" t="s">
        <v>4620</v>
      </c>
      <c r="B3240">
        <f t="shared" si="1127"/>
        <v>15</v>
      </c>
    </row>
    <row r="3241" spans="1:2" ht="15" customHeight="1" x14ac:dyDescent="0.3">
      <c r="A3241" s="23" t="s">
        <v>4621</v>
      </c>
      <c r="B3241">
        <f t="shared" si="1127"/>
        <v>15</v>
      </c>
    </row>
    <row r="3242" spans="1:2" ht="15" customHeight="1" x14ac:dyDescent="0.3">
      <c r="A3242" s="23" t="s">
        <v>4622</v>
      </c>
      <c r="B3242">
        <f t="shared" si="1127"/>
        <v>15</v>
      </c>
    </row>
    <row r="3243" spans="1:2" ht="15" customHeight="1" x14ac:dyDescent="0.3">
      <c r="A3243" s="23" t="s">
        <v>4623</v>
      </c>
      <c r="B3243">
        <f t="shared" si="1127"/>
        <v>15</v>
      </c>
    </row>
    <row r="3244" spans="1:2" ht="15" customHeight="1" x14ac:dyDescent="0.3">
      <c r="A3244" s="23" t="s">
        <v>4624</v>
      </c>
      <c r="B3244">
        <f t="shared" si="1127"/>
        <v>15</v>
      </c>
    </row>
    <row r="3245" spans="1:2" ht="15" customHeight="1" x14ac:dyDescent="0.3">
      <c r="A3245" t="s">
        <v>4666</v>
      </c>
      <c r="B3245">
        <f t="shared" ref="B3245" si="1128">B3144</f>
        <v>15</v>
      </c>
    </row>
    <row r="3246" spans="1:2" ht="15" customHeight="1" x14ac:dyDescent="0.3">
      <c r="A3246" t="s">
        <v>4667</v>
      </c>
      <c r="B3246">
        <f t="shared" ref="B3246:B3289" si="1129">B3021</f>
        <v>15</v>
      </c>
    </row>
    <row r="3247" spans="1:2" ht="15" customHeight="1" x14ac:dyDescent="0.3">
      <c r="A3247" t="s">
        <v>4668</v>
      </c>
      <c r="B3247">
        <f t="shared" si="1129"/>
        <v>15</v>
      </c>
    </row>
    <row r="3248" spans="1:2" ht="15" customHeight="1" x14ac:dyDescent="0.3">
      <c r="A3248" t="s">
        <v>4669</v>
      </c>
      <c r="B3248">
        <f t="shared" si="1129"/>
        <v>15</v>
      </c>
    </row>
    <row r="3249" spans="1:2" ht="15" customHeight="1" x14ac:dyDescent="0.3">
      <c r="A3249" t="s">
        <v>4670</v>
      </c>
      <c r="B3249">
        <f t="shared" si="1129"/>
        <v>15</v>
      </c>
    </row>
    <row r="3250" spans="1:2" ht="15" customHeight="1" x14ac:dyDescent="0.3">
      <c r="A3250" t="s">
        <v>4671</v>
      </c>
      <c r="B3250">
        <f t="shared" si="1129"/>
        <v>15</v>
      </c>
    </row>
    <row r="3251" spans="1:2" ht="15" customHeight="1" x14ac:dyDescent="0.3">
      <c r="A3251" t="s">
        <v>4672</v>
      </c>
      <c r="B3251">
        <f t="shared" si="1129"/>
        <v>15</v>
      </c>
    </row>
    <row r="3252" spans="1:2" ht="15" customHeight="1" x14ac:dyDescent="0.3">
      <c r="A3252" t="s">
        <v>4673</v>
      </c>
      <c r="B3252">
        <f t="shared" si="1129"/>
        <v>15</v>
      </c>
    </row>
    <row r="3253" spans="1:2" ht="15" customHeight="1" x14ac:dyDescent="0.3">
      <c r="A3253" t="s">
        <v>4674</v>
      </c>
      <c r="B3253">
        <f t="shared" si="1129"/>
        <v>15</v>
      </c>
    </row>
    <row r="3254" spans="1:2" ht="15" customHeight="1" x14ac:dyDescent="0.3">
      <c r="A3254" t="s">
        <v>4675</v>
      </c>
      <c r="B3254">
        <f t="shared" si="1129"/>
        <v>15</v>
      </c>
    </row>
    <row r="3255" spans="1:2" ht="15" customHeight="1" x14ac:dyDescent="0.3">
      <c r="A3255" t="s">
        <v>4676</v>
      </c>
      <c r="B3255">
        <f t="shared" si="1129"/>
        <v>15</v>
      </c>
    </row>
    <row r="3256" spans="1:2" ht="15" customHeight="1" x14ac:dyDescent="0.3">
      <c r="A3256" t="s">
        <v>4677</v>
      </c>
      <c r="B3256">
        <f t="shared" si="1129"/>
        <v>15</v>
      </c>
    </row>
    <row r="3257" spans="1:2" ht="15" customHeight="1" x14ac:dyDescent="0.3">
      <c r="A3257" t="s">
        <v>4678</v>
      </c>
      <c r="B3257">
        <f t="shared" si="1129"/>
        <v>15</v>
      </c>
    </row>
    <row r="3258" spans="1:2" ht="15" customHeight="1" x14ac:dyDescent="0.3">
      <c r="A3258" t="s">
        <v>4679</v>
      </c>
      <c r="B3258">
        <f t="shared" si="1129"/>
        <v>15</v>
      </c>
    </row>
    <row r="3259" spans="1:2" ht="15" customHeight="1" x14ac:dyDescent="0.3">
      <c r="A3259" t="s">
        <v>4680</v>
      </c>
      <c r="B3259">
        <f t="shared" si="1129"/>
        <v>40</v>
      </c>
    </row>
    <row r="3260" spans="1:2" ht="15" customHeight="1" x14ac:dyDescent="0.3">
      <c r="A3260" t="s">
        <v>4681</v>
      </c>
      <c r="B3260">
        <f t="shared" si="1129"/>
        <v>0</v>
      </c>
    </row>
    <row r="3261" spans="1:2" ht="15" customHeight="1" x14ac:dyDescent="0.3">
      <c r="A3261" t="s">
        <v>4682</v>
      </c>
      <c r="B3261">
        <f t="shared" si="1129"/>
        <v>15</v>
      </c>
    </row>
    <row r="3262" spans="1:2" ht="15" customHeight="1" x14ac:dyDescent="0.3">
      <c r="A3262" t="s">
        <v>4683</v>
      </c>
      <c r="B3262">
        <f t="shared" si="1129"/>
        <v>15</v>
      </c>
    </row>
    <row r="3263" spans="1:2" ht="15" customHeight="1" x14ac:dyDescent="0.3">
      <c r="A3263" t="s">
        <v>4684</v>
      </c>
      <c r="B3263">
        <f t="shared" si="1129"/>
        <v>15</v>
      </c>
    </row>
    <row r="3264" spans="1:2" ht="15" customHeight="1" x14ac:dyDescent="0.3">
      <c r="A3264" t="s">
        <v>4685</v>
      </c>
      <c r="B3264">
        <f t="shared" si="1129"/>
        <v>15</v>
      </c>
    </row>
    <row r="3265" spans="1:2" ht="15" customHeight="1" x14ac:dyDescent="0.3">
      <c r="A3265" t="s">
        <v>4686</v>
      </c>
      <c r="B3265">
        <f t="shared" si="1129"/>
        <v>12</v>
      </c>
    </row>
    <row r="3266" spans="1:2" ht="15" customHeight="1" x14ac:dyDescent="0.3">
      <c r="A3266" t="s">
        <v>4687</v>
      </c>
      <c r="B3266">
        <f t="shared" si="1129"/>
        <v>12</v>
      </c>
    </row>
    <row r="3267" spans="1:2" ht="15" customHeight="1" x14ac:dyDescent="0.3">
      <c r="A3267" t="s">
        <v>4688</v>
      </c>
      <c r="B3267">
        <f t="shared" si="1129"/>
        <v>12</v>
      </c>
    </row>
    <row r="3268" spans="1:2" ht="15" customHeight="1" x14ac:dyDescent="0.3">
      <c r="A3268" t="s">
        <v>4689</v>
      </c>
      <c r="B3268">
        <f t="shared" si="1129"/>
        <v>12</v>
      </c>
    </row>
    <row r="3269" spans="1:2" ht="15" customHeight="1" x14ac:dyDescent="0.3">
      <c r="A3269" t="s">
        <v>4690</v>
      </c>
      <c r="B3269">
        <f t="shared" si="1129"/>
        <v>12</v>
      </c>
    </row>
    <row r="3270" spans="1:2" ht="15" customHeight="1" x14ac:dyDescent="0.3">
      <c r="A3270" t="s">
        <v>4691</v>
      </c>
      <c r="B3270">
        <f t="shared" si="1129"/>
        <v>12</v>
      </c>
    </row>
    <row r="3271" spans="1:2" ht="15" customHeight="1" x14ac:dyDescent="0.3">
      <c r="A3271" t="s">
        <v>4692</v>
      </c>
      <c r="B3271">
        <f t="shared" si="1129"/>
        <v>12</v>
      </c>
    </row>
    <row r="3272" spans="1:2" ht="15" customHeight="1" x14ac:dyDescent="0.3">
      <c r="A3272" t="s">
        <v>4693</v>
      </c>
      <c r="B3272">
        <f t="shared" si="1129"/>
        <v>12</v>
      </c>
    </row>
    <row r="3273" spans="1:2" ht="15" customHeight="1" x14ac:dyDescent="0.3">
      <c r="A3273" t="s">
        <v>4694</v>
      </c>
      <c r="B3273">
        <f t="shared" si="1129"/>
        <v>12</v>
      </c>
    </row>
    <row r="3274" spans="1:2" ht="15" customHeight="1" x14ac:dyDescent="0.3">
      <c r="A3274" t="s">
        <v>4695</v>
      </c>
      <c r="B3274">
        <f t="shared" si="1129"/>
        <v>12</v>
      </c>
    </row>
    <row r="3275" spans="1:2" ht="15" customHeight="1" x14ac:dyDescent="0.3">
      <c r="A3275" t="s">
        <v>4696</v>
      </c>
      <c r="B3275">
        <f t="shared" si="1129"/>
        <v>12</v>
      </c>
    </row>
    <row r="3276" spans="1:2" ht="15" customHeight="1" x14ac:dyDescent="0.3">
      <c r="A3276" t="s">
        <v>4697</v>
      </c>
      <c r="B3276">
        <f t="shared" si="1129"/>
        <v>12</v>
      </c>
    </row>
    <row r="3277" spans="1:2" ht="15" customHeight="1" x14ac:dyDescent="0.3">
      <c r="A3277" t="s">
        <v>4698</v>
      </c>
      <c r="B3277">
        <f t="shared" si="1129"/>
        <v>12</v>
      </c>
    </row>
    <row r="3278" spans="1:2" ht="15" customHeight="1" x14ac:dyDescent="0.3">
      <c r="A3278" t="s">
        <v>4699</v>
      </c>
      <c r="B3278">
        <f t="shared" si="1129"/>
        <v>12</v>
      </c>
    </row>
    <row r="3279" spans="1:2" ht="15" customHeight="1" x14ac:dyDescent="0.3">
      <c r="A3279" t="s">
        <v>4700</v>
      </c>
      <c r="B3279">
        <f t="shared" si="1129"/>
        <v>12</v>
      </c>
    </row>
    <row r="3280" spans="1:2" ht="15" customHeight="1" x14ac:dyDescent="0.3">
      <c r="A3280" t="s">
        <v>4701</v>
      </c>
      <c r="B3280">
        <f t="shared" si="1129"/>
        <v>12</v>
      </c>
    </row>
    <row r="3281" spans="1:2" ht="15" customHeight="1" x14ac:dyDescent="0.3">
      <c r="A3281" t="s">
        <v>4702</v>
      </c>
      <c r="B3281">
        <f t="shared" si="1129"/>
        <v>12</v>
      </c>
    </row>
    <row r="3282" spans="1:2" ht="15" customHeight="1" x14ac:dyDescent="0.3">
      <c r="A3282" t="s">
        <v>4703</v>
      </c>
      <c r="B3282">
        <f t="shared" si="1129"/>
        <v>12</v>
      </c>
    </row>
    <row r="3283" spans="1:2" ht="15" customHeight="1" x14ac:dyDescent="0.3">
      <c r="A3283" t="s">
        <v>4704</v>
      </c>
      <c r="B3283">
        <f t="shared" si="1129"/>
        <v>12</v>
      </c>
    </row>
    <row r="3284" spans="1:2" ht="15" customHeight="1" x14ac:dyDescent="0.3">
      <c r="A3284" t="s">
        <v>4705</v>
      </c>
      <c r="B3284">
        <f t="shared" si="1129"/>
        <v>12</v>
      </c>
    </row>
    <row r="3285" spans="1:2" ht="15" customHeight="1" x14ac:dyDescent="0.3">
      <c r="A3285" t="s">
        <v>4706</v>
      </c>
      <c r="B3285">
        <f t="shared" si="1129"/>
        <v>12</v>
      </c>
    </row>
    <row r="3286" spans="1:2" ht="15" customHeight="1" x14ac:dyDescent="0.3">
      <c r="A3286" t="s">
        <v>4707</v>
      </c>
      <c r="B3286">
        <f t="shared" si="1129"/>
        <v>12</v>
      </c>
    </row>
    <row r="3287" spans="1:2" ht="15" customHeight="1" x14ac:dyDescent="0.3">
      <c r="A3287" t="s">
        <v>4708</v>
      </c>
      <c r="B3287">
        <f t="shared" si="1129"/>
        <v>12</v>
      </c>
    </row>
    <row r="3288" spans="1:2" ht="15" customHeight="1" x14ac:dyDescent="0.3">
      <c r="A3288" t="s">
        <v>4709</v>
      </c>
      <c r="B3288">
        <f t="shared" si="1129"/>
        <v>12</v>
      </c>
    </row>
    <row r="3289" spans="1:2" ht="15" customHeight="1" x14ac:dyDescent="0.3">
      <c r="A3289" t="s">
        <v>4710</v>
      </c>
      <c r="B3289">
        <f t="shared" si="1129"/>
        <v>12</v>
      </c>
    </row>
    <row r="3290" spans="1:2" ht="15" customHeight="1" x14ac:dyDescent="0.3">
      <c r="A3290" t="s">
        <v>4711</v>
      </c>
      <c r="B3290">
        <f t="shared" ref="B3290" si="1130">B3073</f>
        <v>12</v>
      </c>
    </row>
    <row r="3291" spans="1:2" ht="15" customHeight="1" x14ac:dyDescent="0.3">
      <c r="A3291" t="s">
        <v>4712</v>
      </c>
      <c r="B3291">
        <f t="shared" ref="B3291:B3297" si="1131">B3082</f>
        <v>12</v>
      </c>
    </row>
    <row r="3292" spans="1:2" ht="15" customHeight="1" x14ac:dyDescent="0.3">
      <c r="A3292" t="s">
        <v>4713</v>
      </c>
      <c r="B3292">
        <f t="shared" si="1131"/>
        <v>12</v>
      </c>
    </row>
    <row r="3293" spans="1:2" ht="15" customHeight="1" x14ac:dyDescent="0.3">
      <c r="A3293" t="s">
        <v>4714</v>
      </c>
      <c r="B3293">
        <f t="shared" si="1131"/>
        <v>12</v>
      </c>
    </row>
    <row r="3294" spans="1:2" ht="15" customHeight="1" x14ac:dyDescent="0.3">
      <c r="A3294" t="s">
        <v>4715</v>
      </c>
      <c r="B3294">
        <f t="shared" si="1131"/>
        <v>12</v>
      </c>
    </row>
    <row r="3295" spans="1:2" ht="15" customHeight="1" x14ac:dyDescent="0.3">
      <c r="A3295" t="s">
        <v>4716</v>
      </c>
      <c r="B3295">
        <f t="shared" si="1131"/>
        <v>12</v>
      </c>
    </row>
    <row r="3296" spans="1:2" ht="15" customHeight="1" x14ac:dyDescent="0.3">
      <c r="A3296" t="s">
        <v>4717</v>
      </c>
      <c r="B3296">
        <f t="shared" si="1131"/>
        <v>12</v>
      </c>
    </row>
    <row r="3297" spans="1:2" ht="15" customHeight="1" x14ac:dyDescent="0.3">
      <c r="A3297" t="s">
        <v>4718</v>
      </c>
      <c r="B3297">
        <f t="shared" si="1131"/>
        <v>15</v>
      </c>
    </row>
    <row r="3298" spans="1:2" ht="15" customHeight="1" x14ac:dyDescent="0.3">
      <c r="A3298" t="s">
        <v>4719</v>
      </c>
      <c r="B3298">
        <f>B3090</f>
        <v>12</v>
      </c>
    </row>
    <row r="3299" spans="1:2" ht="15" customHeight="1" x14ac:dyDescent="0.3">
      <c r="A3299" t="s">
        <v>4720</v>
      </c>
      <c r="B3299">
        <f>B3091</f>
        <v>10</v>
      </c>
    </row>
    <row r="3300" spans="1:2" ht="15" customHeight="1" x14ac:dyDescent="0.3">
      <c r="A3300" t="s">
        <v>4721</v>
      </c>
      <c r="B3300">
        <f t="shared" ref="B3300:B3331" si="1132">B3093</f>
        <v>10</v>
      </c>
    </row>
    <row r="3301" spans="1:2" ht="15" customHeight="1" x14ac:dyDescent="0.3">
      <c r="A3301" t="s">
        <v>4722</v>
      </c>
      <c r="B3301">
        <f t="shared" si="1132"/>
        <v>10</v>
      </c>
    </row>
    <row r="3302" spans="1:2" ht="15" customHeight="1" x14ac:dyDescent="0.3">
      <c r="A3302" t="s">
        <v>4723</v>
      </c>
      <c r="B3302">
        <f t="shared" si="1132"/>
        <v>10</v>
      </c>
    </row>
    <row r="3303" spans="1:2" ht="15" customHeight="1" x14ac:dyDescent="0.3">
      <c r="A3303" t="s">
        <v>4724</v>
      </c>
      <c r="B3303">
        <f t="shared" si="1132"/>
        <v>0</v>
      </c>
    </row>
    <row r="3304" spans="1:2" ht="15" customHeight="1" x14ac:dyDescent="0.3">
      <c r="A3304" t="s">
        <v>4725</v>
      </c>
      <c r="B3304">
        <f t="shared" si="1132"/>
        <v>10</v>
      </c>
    </row>
    <row r="3305" spans="1:2" ht="15" customHeight="1" x14ac:dyDescent="0.3">
      <c r="A3305" t="s">
        <v>4726</v>
      </c>
      <c r="B3305">
        <f t="shared" si="1132"/>
        <v>10</v>
      </c>
    </row>
    <row r="3306" spans="1:2" ht="15" customHeight="1" x14ac:dyDescent="0.3">
      <c r="A3306" t="s">
        <v>4727</v>
      </c>
      <c r="B3306">
        <f t="shared" si="1132"/>
        <v>10</v>
      </c>
    </row>
    <row r="3307" spans="1:2" ht="15" customHeight="1" x14ac:dyDescent="0.3">
      <c r="A3307" t="s">
        <v>4728</v>
      </c>
      <c r="B3307">
        <f t="shared" si="1132"/>
        <v>10</v>
      </c>
    </row>
    <row r="3308" spans="1:2" ht="15" customHeight="1" x14ac:dyDescent="0.3">
      <c r="A3308" t="s">
        <v>4729</v>
      </c>
      <c r="B3308">
        <f t="shared" si="1132"/>
        <v>10</v>
      </c>
    </row>
    <row r="3309" spans="1:2" ht="15" customHeight="1" x14ac:dyDescent="0.3">
      <c r="A3309" t="s">
        <v>4730</v>
      </c>
      <c r="B3309">
        <f t="shared" si="1132"/>
        <v>10</v>
      </c>
    </row>
    <row r="3310" spans="1:2" ht="15" customHeight="1" x14ac:dyDescent="0.3">
      <c r="A3310" t="s">
        <v>4731</v>
      </c>
      <c r="B3310">
        <f t="shared" si="1132"/>
        <v>10</v>
      </c>
    </row>
    <row r="3311" spans="1:2" ht="15" customHeight="1" x14ac:dyDescent="0.3">
      <c r="A3311" t="s">
        <v>4732</v>
      </c>
      <c r="B3311">
        <f t="shared" si="1132"/>
        <v>10</v>
      </c>
    </row>
    <row r="3312" spans="1:2" ht="15" customHeight="1" x14ac:dyDescent="0.3">
      <c r="A3312" t="s">
        <v>4733</v>
      </c>
      <c r="B3312">
        <f t="shared" si="1132"/>
        <v>10</v>
      </c>
    </row>
    <row r="3313" spans="1:2" ht="15" customHeight="1" x14ac:dyDescent="0.3">
      <c r="A3313" t="s">
        <v>4734</v>
      </c>
      <c r="B3313">
        <f t="shared" si="1132"/>
        <v>10</v>
      </c>
    </row>
    <row r="3314" spans="1:2" ht="15" customHeight="1" x14ac:dyDescent="0.3">
      <c r="A3314" t="s">
        <v>4735</v>
      </c>
      <c r="B3314">
        <f t="shared" si="1132"/>
        <v>10</v>
      </c>
    </row>
    <row r="3315" spans="1:2" ht="15" customHeight="1" x14ac:dyDescent="0.3">
      <c r="A3315" t="s">
        <v>4736</v>
      </c>
      <c r="B3315">
        <f t="shared" si="1132"/>
        <v>10</v>
      </c>
    </row>
    <row r="3316" spans="1:2" ht="15" customHeight="1" x14ac:dyDescent="0.3">
      <c r="A3316" t="s">
        <v>4737</v>
      </c>
      <c r="B3316">
        <f t="shared" si="1132"/>
        <v>10</v>
      </c>
    </row>
    <row r="3317" spans="1:2" ht="15" customHeight="1" x14ac:dyDescent="0.3">
      <c r="A3317" t="s">
        <v>4738</v>
      </c>
      <c r="B3317">
        <f t="shared" si="1132"/>
        <v>10</v>
      </c>
    </row>
    <row r="3318" spans="1:2" ht="15" customHeight="1" x14ac:dyDescent="0.3">
      <c r="A3318" t="s">
        <v>4739</v>
      </c>
      <c r="B3318">
        <f t="shared" si="1132"/>
        <v>10</v>
      </c>
    </row>
    <row r="3319" spans="1:2" ht="15" customHeight="1" x14ac:dyDescent="0.3">
      <c r="A3319" t="s">
        <v>4740</v>
      </c>
      <c r="B3319">
        <f t="shared" si="1132"/>
        <v>10</v>
      </c>
    </row>
    <row r="3320" spans="1:2" ht="15" customHeight="1" x14ac:dyDescent="0.3">
      <c r="A3320" t="s">
        <v>4741</v>
      </c>
      <c r="B3320">
        <f t="shared" si="1132"/>
        <v>10</v>
      </c>
    </row>
    <row r="3321" spans="1:2" ht="15" customHeight="1" x14ac:dyDescent="0.3">
      <c r="A3321" t="s">
        <v>4742</v>
      </c>
      <c r="B3321">
        <f t="shared" si="1132"/>
        <v>10</v>
      </c>
    </row>
    <row r="3322" spans="1:2" ht="15" customHeight="1" x14ac:dyDescent="0.3">
      <c r="A3322" t="s">
        <v>4743</v>
      </c>
      <c r="B3322">
        <f t="shared" si="1132"/>
        <v>10</v>
      </c>
    </row>
    <row r="3323" spans="1:2" ht="15" customHeight="1" x14ac:dyDescent="0.3">
      <c r="A3323" t="s">
        <v>4744</v>
      </c>
      <c r="B3323">
        <f t="shared" si="1132"/>
        <v>10</v>
      </c>
    </row>
    <row r="3324" spans="1:2" ht="15" customHeight="1" x14ac:dyDescent="0.3">
      <c r="A3324" t="s">
        <v>4745</v>
      </c>
      <c r="B3324">
        <f t="shared" si="1132"/>
        <v>10</v>
      </c>
    </row>
    <row r="3325" spans="1:2" ht="15" customHeight="1" x14ac:dyDescent="0.3">
      <c r="A3325" t="s">
        <v>4746</v>
      </c>
      <c r="B3325">
        <f t="shared" si="1132"/>
        <v>10</v>
      </c>
    </row>
    <row r="3326" spans="1:2" ht="15" customHeight="1" x14ac:dyDescent="0.3">
      <c r="A3326" t="s">
        <v>4747</v>
      </c>
      <c r="B3326">
        <f t="shared" si="1132"/>
        <v>10</v>
      </c>
    </row>
    <row r="3327" spans="1:2" ht="15" customHeight="1" x14ac:dyDescent="0.3">
      <c r="A3327" t="s">
        <v>4748</v>
      </c>
      <c r="B3327">
        <f t="shared" si="1132"/>
        <v>10</v>
      </c>
    </row>
    <row r="3328" spans="1:2" ht="15" customHeight="1" x14ac:dyDescent="0.3">
      <c r="A3328" t="s">
        <v>4749</v>
      </c>
      <c r="B3328">
        <f t="shared" si="1132"/>
        <v>10</v>
      </c>
    </row>
    <row r="3329" spans="1:2" ht="15" customHeight="1" x14ac:dyDescent="0.3">
      <c r="A3329" t="s">
        <v>4750</v>
      </c>
      <c r="B3329">
        <f t="shared" si="1132"/>
        <v>10</v>
      </c>
    </row>
    <row r="3330" spans="1:2" ht="15" customHeight="1" x14ac:dyDescent="0.3">
      <c r="A3330" t="s">
        <v>4751</v>
      </c>
      <c r="B3330">
        <f t="shared" si="1132"/>
        <v>10</v>
      </c>
    </row>
    <row r="3331" spans="1:2" ht="15" customHeight="1" x14ac:dyDescent="0.3">
      <c r="A3331" t="s">
        <v>4752</v>
      </c>
      <c r="B3331">
        <f t="shared" si="1132"/>
        <v>10</v>
      </c>
    </row>
    <row r="3332" spans="1:2" ht="15" customHeight="1" x14ac:dyDescent="0.3">
      <c r="A3332" t="s">
        <v>4753</v>
      </c>
      <c r="B3332">
        <f t="shared" ref="B3332:B3348" si="1133">B3125</f>
        <v>10</v>
      </c>
    </row>
    <row r="3333" spans="1:2" ht="15" customHeight="1" x14ac:dyDescent="0.3">
      <c r="A3333" t="s">
        <v>4754</v>
      </c>
      <c r="B3333">
        <f t="shared" si="1133"/>
        <v>10</v>
      </c>
    </row>
    <row r="3334" spans="1:2" ht="15" customHeight="1" x14ac:dyDescent="0.3">
      <c r="A3334" t="s">
        <v>4755</v>
      </c>
      <c r="B3334">
        <f t="shared" si="1133"/>
        <v>10</v>
      </c>
    </row>
    <row r="3335" spans="1:2" ht="15" customHeight="1" x14ac:dyDescent="0.3">
      <c r="A3335" t="s">
        <v>4756</v>
      </c>
      <c r="B3335">
        <f t="shared" si="1133"/>
        <v>10</v>
      </c>
    </row>
    <row r="3336" spans="1:2" ht="15" customHeight="1" x14ac:dyDescent="0.3">
      <c r="A3336" t="s">
        <v>4757</v>
      </c>
      <c r="B3336">
        <f t="shared" si="1133"/>
        <v>10</v>
      </c>
    </row>
    <row r="3337" spans="1:2" ht="15" customHeight="1" x14ac:dyDescent="0.3">
      <c r="A3337" t="s">
        <v>4758</v>
      </c>
      <c r="B3337">
        <f t="shared" si="1133"/>
        <v>10</v>
      </c>
    </row>
    <row r="3338" spans="1:2" ht="15" customHeight="1" x14ac:dyDescent="0.3">
      <c r="A3338" t="s">
        <v>4759</v>
      </c>
      <c r="B3338">
        <f t="shared" si="1133"/>
        <v>10</v>
      </c>
    </row>
    <row r="3339" spans="1:2" ht="15" customHeight="1" x14ac:dyDescent="0.3">
      <c r="A3339" t="s">
        <v>4760</v>
      </c>
      <c r="B3339">
        <f t="shared" si="1133"/>
        <v>10</v>
      </c>
    </row>
    <row r="3340" spans="1:2" ht="15" customHeight="1" x14ac:dyDescent="0.3">
      <c r="A3340" t="s">
        <v>4761</v>
      </c>
      <c r="B3340">
        <f t="shared" si="1133"/>
        <v>10</v>
      </c>
    </row>
    <row r="3341" spans="1:2" ht="15" customHeight="1" x14ac:dyDescent="0.3">
      <c r="A3341" t="s">
        <v>4762</v>
      </c>
      <c r="B3341">
        <f t="shared" si="1133"/>
        <v>15</v>
      </c>
    </row>
    <row r="3342" spans="1:2" ht="15" customHeight="1" x14ac:dyDescent="0.3">
      <c r="A3342" t="s">
        <v>4763</v>
      </c>
      <c r="B3342">
        <f t="shared" si="1133"/>
        <v>15</v>
      </c>
    </row>
    <row r="3343" spans="1:2" ht="15" customHeight="1" x14ac:dyDescent="0.3">
      <c r="A3343" t="s">
        <v>4764</v>
      </c>
      <c r="B3343">
        <f t="shared" si="1133"/>
        <v>15</v>
      </c>
    </row>
    <row r="3344" spans="1:2" ht="15" customHeight="1" x14ac:dyDescent="0.3">
      <c r="A3344" t="s">
        <v>4765</v>
      </c>
      <c r="B3344">
        <f t="shared" si="1133"/>
        <v>15</v>
      </c>
    </row>
    <row r="3345" spans="1:2" ht="15" customHeight="1" x14ac:dyDescent="0.3">
      <c r="A3345" t="s">
        <v>4766</v>
      </c>
      <c r="B3345">
        <f t="shared" si="1133"/>
        <v>15</v>
      </c>
    </row>
    <row r="3346" spans="1:2" ht="15" customHeight="1" x14ac:dyDescent="0.3">
      <c r="A3346" t="s">
        <v>4767</v>
      </c>
      <c r="B3346">
        <f t="shared" si="1133"/>
        <v>15</v>
      </c>
    </row>
    <row r="3347" spans="1:2" ht="15" customHeight="1" x14ac:dyDescent="0.3">
      <c r="A3347" t="s">
        <v>4768</v>
      </c>
      <c r="B3347">
        <f t="shared" si="1133"/>
        <v>15</v>
      </c>
    </row>
    <row r="3348" spans="1:2" ht="15" customHeight="1" x14ac:dyDescent="0.3">
      <c r="A3348" t="s">
        <v>4769</v>
      </c>
      <c r="B3348">
        <f t="shared" si="1133"/>
        <v>15</v>
      </c>
    </row>
    <row r="3349" spans="1:2" ht="15" customHeight="1" x14ac:dyDescent="0.3">
      <c r="A3349" t="s">
        <v>4770</v>
      </c>
      <c r="B3349">
        <f t="shared" ref="B3349:B3373" si="1134">B3144</f>
        <v>15</v>
      </c>
    </row>
    <row r="3350" spans="1:2" ht="15" customHeight="1" x14ac:dyDescent="0.3">
      <c r="A3350" t="s">
        <v>4771</v>
      </c>
      <c r="B3350">
        <f t="shared" si="1134"/>
        <v>15</v>
      </c>
    </row>
    <row r="3351" spans="1:2" ht="15" customHeight="1" x14ac:dyDescent="0.3">
      <c r="A3351" t="s">
        <v>4772</v>
      </c>
      <c r="B3351">
        <f t="shared" si="1134"/>
        <v>15</v>
      </c>
    </row>
    <row r="3352" spans="1:2" ht="15" customHeight="1" x14ac:dyDescent="0.3">
      <c r="A3352" t="s">
        <v>4773</v>
      </c>
      <c r="B3352">
        <f t="shared" si="1134"/>
        <v>15</v>
      </c>
    </row>
    <row r="3353" spans="1:2" ht="15" customHeight="1" x14ac:dyDescent="0.3">
      <c r="A3353" t="s">
        <v>4774</v>
      </c>
      <c r="B3353">
        <f t="shared" si="1134"/>
        <v>15</v>
      </c>
    </row>
    <row r="3354" spans="1:2" ht="15" customHeight="1" x14ac:dyDescent="0.3">
      <c r="A3354" t="s">
        <v>4775</v>
      </c>
      <c r="B3354">
        <f t="shared" si="1134"/>
        <v>15</v>
      </c>
    </row>
    <row r="3355" spans="1:2" ht="15" customHeight="1" x14ac:dyDescent="0.3">
      <c r="A3355" t="s">
        <v>4776</v>
      </c>
      <c r="B3355">
        <f t="shared" si="1134"/>
        <v>15</v>
      </c>
    </row>
    <row r="3356" spans="1:2" ht="15" customHeight="1" x14ac:dyDescent="0.3">
      <c r="A3356" t="s">
        <v>4777</v>
      </c>
      <c r="B3356">
        <f t="shared" si="1134"/>
        <v>15</v>
      </c>
    </row>
    <row r="3357" spans="1:2" ht="15" customHeight="1" x14ac:dyDescent="0.3">
      <c r="A3357" t="s">
        <v>4778</v>
      </c>
      <c r="B3357">
        <f t="shared" si="1134"/>
        <v>15</v>
      </c>
    </row>
    <row r="3358" spans="1:2" ht="15" customHeight="1" x14ac:dyDescent="0.3">
      <c r="A3358" t="s">
        <v>4779</v>
      </c>
      <c r="B3358">
        <f t="shared" si="1134"/>
        <v>15</v>
      </c>
    </row>
    <row r="3359" spans="1:2" ht="15" customHeight="1" x14ac:dyDescent="0.3">
      <c r="A3359" t="s">
        <v>4780</v>
      </c>
      <c r="B3359">
        <f t="shared" si="1134"/>
        <v>15</v>
      </c>
    </row>
    <row r="3360" spans="1:2" ht="15" customHeight="1" x14ac:dyDescent="0.3">
      <c r="A3360" t="s">
        <v>4781</v>
      </c>
      <c r="B3360">
        <f t="shared" si="1134"/>
        <v>15</v>
      </c>
    </row>
    <row r="3361" spans="1:2" ht="15" customHeight="1" x14ac:dyDescent="0.3">
      <c r="A3361" t="s">
        <v>4782</v>
      </c>
      <c r="B3361">
        <f t="shared" si="1134"/>
        <v>15</v>
      </c>
    </row>
    <row r="3362" spans="1:2" ht="15" customHeight="1" x14ac:dyDescent="0.3">
      <c r="A3362" t="s">
        <v>4783</v>
      </c>
      <c r="B3362">
        <f t="shared" si="1134"/>
        <v>15</v>
      </c>
    </row>
    <row r="3363" spans="1:2" ht="15" customHeight="1" x14ac:dyDescent="0.3">
      <c r="A3363" t="s">
        <v>4784</v>
      </c>
      <c r="B3363">
        <f t="shared" si="1134"/>
        <v>40</v>
      </c>
    </row>
    <row r="3364" spans="1:2" ht="15" customHeight="1" x14ac:dyDescent="0.3">
      <c r="A3364" t="s">
        <v>4785</v>
      </c>
      <c r="B3364">
        <f t="shared" si="1134"/>
        <v>0</v>
      </c>
    </row>
    <row r="3365" spans="1:2" ht="15" customHeight="1" x14ac:dyDescent="0.3">
      <c r="A3365" t="s">
        <v>4786</v>
      </c>
      <c r="B3365">
        <f t="shared" si="1134"/>
        <v>15</v>
      </c>
    </row>
    <row r="3366" spans="1:2" ht="15" customHeight="1" x14ac:dyDescent="0.3">
      <c r="A3366" t="s">
        <v>4787</v>
      </c>
      <c r="B3366">
        <f t="shared" si="1134"/>
        <v>15</v>
      </c>
    </row>
    <row r="3367" spans="1:2" ht="15" customHeight="1" x14ac:dyDescent="0.3">
      <c r="A3367" t="s">
        <v>4788</v>
      </c>
      <c r="B3367">
        <f t="shared" si="1134"/>
        <v>15</v>
      </c>
    </row>
    <row r="3368" spans="1:2" ht="15" customHeight="1" x14ac:dyDescent="0.3">
      <c r="A3368" t="s">
        <v>4789</v>
      </c>
      <c r="B3368">
        <f t="shared" si="1134"/>
        <v>15</v>
      </c>
    </row>
    <row r="3369" spans="1:2" ht="15" customHeight="1" x14ac:dyDescent="0.3">
      <c r="A3369" t="s">
        <v>4790</v>
      </c>
      <c r="B3369">
        <f t="shared" si="1134"/>
        <v>12</v>
      </c>
    </row>
    <row r="3370" spans="1:2" ht="15" customHeight="1" x14ac:dyDescent="0.3">
      <c r="A3370" t="s">
        <v>4791</v>
      </c>
      <c r="B3370">
        <f t="shared" si="1134"/>
        <v>12</v>
      </c>
    </row>
    <row r="3371" spans="1:2" ht="15" customHeight="1" x14ac:dyDescent="0.3">
      <c r="A3371" t="s">
        <v>4792</v>
      </c>
      <c r="B3371">
        <f t="shared" si="1134"/>
        <v>12</v>
      </c>
    </row>
    <row r="3372" spans="1:2" ht="15" customHeight="1" x14ac:dyDescent="0.3">
      <c r="A3372" t="s">
        <v>4793</v>
      </c>
      <c r="B3372">
        <f t="shared" si="1134"/>
        <v>12</v>
      </c>
    </row>
    <row r="3373" spans="1:2" ht="15" customHeight="1" x14ac:dyDescent="0.3">
      <c r="A3373" t="s">
        <v>4794</v>
      </c>
      <c r="B3373">
        <f t="shared" si="1134"/>
        <v>12</v>
      </c>
    </row>
    <row r="3374" spans="1:2" ht="15" customHeight="1" x14ac:dyDescent="0.3">
      <c r="A3374" t="s">
        <v>4795</v>
      </c>
      <c r="B3374">
        <f t="shared" ref="B3374:B3405" si="1135">B3169</f>
        <v>12</v>
      </c>
    </row>
    <row r="3375" spans="1:2" ht="15" customHeight="1" x14ac:dyDescent="0.3">
      <c r="A3375" t="s">
        <v>4796</v>
      </c>
      <c r="B3375">
        <f t="shared" si="1135"/>
        <v>12</v>
      </c>
    </row>
    <row r="3376" spans="1:2" ht="15" customHeight="1" x14ac:dyDescent="0.3">
      <c r="A3376" t="s">
        <v>4797</v>
      </c>
      <c r="B3376">
        <f t="shared" si="1135"/>
        <v>12</v>
      </c>
    </row>
    <row r="3377" spans="1:2" ht="15" customHeight="1" x14ac:dyDescent="0.3">
      <c r="A3377" t="s">
        <v>4798</v>
      </c>
      <c r="B3377">
        <f t="shared" si="1135"/>
        <v>12</v>
      </c>
    </row>
    <row r="3378" spans="1:2" ht="15" customHeight="1" x14ac:dyDescent="0.3">
      <c r="A3378" t="s">
        <v>4799</v>
      </c>
      <c r="B3378">
        <f t="shared" si="1135"/>
        <v>12</v>
      </c>
    </row>
    <row r="3379" spans="1:2" ht="15" customHeight="1" x14ac:dyDescent="0.3">
      <c r="A3379" t="s">
        <v>4800</v>
      </c>
      <c r="B3379">
        <f t="shared" si="1135"/>
        <v>12</v>
      </c>
    </row>
    <row r="3380" spans="1:2" ht="15" customHeight="1" x14ac:dyDescent="0.3">
      <c r="A3380" t="s">
        <v>4801</v>
      </c>
      <c r="B3380">
        <f t="shared" si="1135"/>
        <v>12</v>
      </c>
    </row>
    <row r="3381" spans="1:2" ht="15" customHeight="1" x14ac:dyDescent="0.3">
      <c r="A3381" t="s">
        <v>4802</v>
      </c>
      <c r="B3381">
        <f t="shared" si="1135"/>
        <v>12</v>
      </c>
    </row>
    <row r="3382" spans="1:2" ht="15" customHeight="1" x14ac:dyDescent="0.3">
      <c r="A3382" t="s">
        <v>4803</v>
      </c>
      <c r="B3382">
        <f t="shared" si="1135"/>
        <v>12</v>
      </c>
    </row>
    <row r="3383" spans="1:2" ht="15" customHeight="1" x14ac:dyDescent="0.3">
      <c r="A3383" t="s">
        <v>4804</v>
      </c>
      <c r="B3383">
        <f t="shared" si="1135"/>
        <v>12</v>
      </c>
    </row>
    <row r="3384" spans="1:2" ht="15" customHeight="1" x14ac:dyDescent="0.3">
      <c r="A3384" t="s">
        <v>4805</v>
      </c>
      <c r="B3384">
        <f t="shared" si="1135"/>
        <v>12</v>
      </c>
    </row>
    <row r="3385" spans="1:2" ht="15" customHeight="1" x14ac:dyDescent="0.3">
      <c r="A3385" t="s">
        <v>4806</v>
      </c>
      <c r="B3385">
        <f t="shared" si="1135"/>
        <v>12</v>
      </c>
    </row>
    <row r="3386" spans="1:2" ht="15" customHeight="1" x14ac:dyDescent="0.3">
      <c r="A3386" t="s">
        <v>4807</v>
      </c>
      <c r="B3386">
        <f t="shared" si="1135"/>
        <v>12</v>
      </c>
    </row>
    <row r="3387" spans="1:2" ht="15" customHeight="1" x14ac:dyDescent="0.3">
      <c r="A3387" t="s">
        <v>4808</v>
      </c>
      <c r="B3387">
        <f t="shared" si="1135"/>
        <v>12</v>
      </c>
    </row>
    <row r="3388" spans="1:2" ht="15" customHeight="1" x14ac:dyDescent="0.3">
      <c r="A3388" t="s">
        <v>4809</v>
      </c>
      <c r="B3388">
        <f t="shared" si="1135"/>
        <v>12</v>
      </c>
    </row>
    <row r="3389" spans="1:2" ht="15" customHeight="1" x14ac:dyDescent="0.3">
      <c r="A3389" t="s">
        <v>4810</v>
      </c>
      <c r="B3389">
        <f t="shared" si="1135"/>
        <v>12</v>
      </c>
    </row>
    <row r="3390" spans="1:2" ht="15" customHeight="1" x14ac:dyDescent="0.3">
      <c r="A3390" t="s">
        <v>4811</v>
      </c>
      <c r="B3390">
        <f t="shared" si="1135"/>
        <v>12</v>
      </c>
    </row>
    <row r="3391" spans="1:2" ht="15" customHeight="1" x14ac:dyDescent="0.3">
      <c r="A3391" t="s">
        <v>4812</v>
      </c>
      <c r="B3391">
        <f t="shared" si="1135"/>
        <v>12</v>
      </c>
    </row>
    <row r="3392" spans="1:2" ht="15" customHeight="1" x14ac:dyDescent="0.3">
      <c r="A3392" t="s">
        <v>4813</v>
      </c>
      <c r="B3392">
        <f t="shared" si="1135"/>
        <v>12</v>
      </c>
    </row>
    <row r="3393" spans="1:2" ht="15" customHeight="1" x14ac:dyDescent="0.3">
      <c r="A3393" t="s">
        <v>4814</v>
      </c>
      <c r="B3393">
        <f t="shared" si="1135"/>
        <v>12</v>
      </c>
    </row>
    <row r="3394" spans="1:2" ht="15" customHeight="1" x14ac:dyDescent="0.3">
      <c r="A3394" t="s">
        <v>4815</v>
      </c>
      <c r="B3394">
        <f t="shared" si="1135"/>
        <v>12</v>
      </c>
    </row>
    <row r="3395" spans="1:2" ht="15" customHeight="1" x14ac:dyDescent="0.3">
      <c r="A3395" t="s">
        <v>4816</v>
      </c>
      <c r="B3395">
        <f t="shared" si="1135"/>
        <v>12</v>
      </c>
    </row>
    <row r="3396" spans="1:2" ht="15" customHeight="1" x14ac:dyDescent="0.3">
      <c r="A3396" t="s">
        <v>4817</v>
      </c>
      <c r="B3396">
        <f t="shared" si="1135"/>
        <v>12</v>
      </c>
    </row>
    <row r="3397" spans="1:2" ht="15" customHeight="1" x14ac:dyDescent="0.3">
      <c r="A3397" t="s">
        <v>4818</v>
      </c>
      <c r="B3397">
        <f t="shared" si="1135"/>
        <v>12</v>
      </c>
    </row>
    <row r="3398" spans="1:2" ht="15" customHeight="1" x14ac:dyDescent="0.3">
      <c r="A3398" t="s">
        <v>4819</v>
      </c>
      <c r="B3398">
        <f t="shared" si="1135"/>
        <v>15</v>
      </c>
    </row>
    <row r="3399" spans="1:2" ht="15" customHeight="1" x14ac:dyDescent="0.3">
      <c r="A3399" t="s">
        <v>4820</v>
      </c>
      <c r="B3399">
        <f t="shared" si="1135"/>
        <v>12</v>
      </c>
    </row>
    <row r="3400" spans="1:2" ht="15" customHeight="1" x14ac:dyDescent="0.3">
      <c r="A3400" t="s">
        <v>4821</v>
      </c>
      <c r="B3400">
        <f t="shared" si="1135"/>
        <v>10</v>
      </c>
    </row>
    <row r="3401" spans="1:2" ht="15" customHeight="1" x14ac:dyDescent="0.3">
      <c r="A3401" t="s">
        <v>4822</v>
      </c>
      <c r="B3401">
        <f t="shared" si="1135"/>
        <v>10</v>
      </c>
    </row>
    <row r="3402" spans="1:2" ht="15" customHeight="1" x14ac:dyDescent="0.3">
      <c r="A3402" t="s">
        <v>4823</v>
      </c>
      <c r="B3402">
        <f t="shared" si="1135"/>
        <v>10</v>
      </c>
    </row>
    <row r="3403" spans="1:2" ht="15" customHeight="1" x14ac:dyDescent="0.3">
      <c r="A3403" t="s">
        <v>4824</v>
      </c>
      <c r="B3403">
        <f t="shared" si="1135"/>
        <v>10</v>
      </c>
    </row>
    <row r="3404" spans="1:2" ht="15" customHeight="1" x14ac:dyDescent="0.3">
      <c r="A3404" t="s">
        <v>4825</v>
      </c>
      <c r="B3404">
        <f t="shared" si="1135"/>
        <v>0</v>
      </c>
    </row>
    <row r="3405" spans="1:2" ht="15" customHeight="1" x14ac:dyDescent="0.3">
      <c r="A3405" t="s">
        <v>4826</v>
      </c>
      <c r="B3405">
        <f t="shared" si="1135"/>
        <v>10</v>
      </c>
    </row>
    <row r="3406" spans="1:2" ht="15" customHeight="1" x14ac:dyDescent="0.3">
      <c r="A3406" t="s">
        <v>4827</v>
      </c>
      <c r="B3406">
        <f t="shared" ref="B3406:B3421" si="1136">B3201</f>
        <v>10</v>
      </c>
    </row>
    <row r="3407" spans="1:2" ht="15" customHeight="1" x14ac:dyDescent="0.3">
      <c r="A3407" t="s">
        <v>4828</v>
      </c>
      <c r="B3407">
        <f t="shared" si="1136"/>
        <v>10</v>
      </c>
    </row>
    <row r="3408" spans="1:2" ht="15" customHeight="1" x14ac:dyDescent="0.3">
      <c r="A3408" t="s">
        <v>4829</v>
      </c>
      <c r="B3408">
        <f t="shared" si="1136"/>
        <v>10</v>
      </c>
    </row>
    <row r="3409" spans="1:2" ht="15" customHeight="1" x14ac:dyDescent="0.3">
      <c r="A3409" t="s">
        <v>4830</v>
      </c>
      <c r="B3409">
        <f t="shared" si="1136"/>
        <v>10</v>
      </c>
    </row>
    <row r="3410" spans="1:2" ht="15" customHeight="1" x14ac:dyDescent="0.3">
      <c r="A3410" t="s">
        <v>4831</v>
      </c>
      <c r="B3410">
        <f t="shared" si="1136"/>
        <v>10</v>
      </c>
    </row>
    <row r="3411" spans="1:2" ht="15" customHeight="1" x14ac:dyDescent="0.3">
      <c r="A3411" t="s">
        <v>4832</v>
      </c>
      <c r="B3411">
        <f t="shared" si="1136"/>
        <v>10</v>
      </c>
    </row>
    <row r="3412" spans="1:2" ht="15" customHeight="1" x14ac:dyDescent="0.3">
      <c r="A3412" t="s">
        <v>4833</v>
      </c>
      <c r="B3412">
        <f t="shared" si="1136"/>
        <v>10</v>
      </c>
    </row>
    <row r="3413" spans="1:2" ht="15" customHeight="1" x14ac:dyDescent="0.3">
      <c r="A3413" t="s">
        <v>4834</v>
      </c>
      <c r="B3413">
        <f t="shared" si="1136"/>
        <v>10</v>
      </c>
    </row>
    <row r="3414" spans="1:2" ht="15" customHeight="1" x14ac:dyDescent="0.3">
      <c r="A3414" t="s">
        <v>4835</v>
      </c>
      <c r="B3414">
        <f t="shared" si="1136"/>
        <v>10</v>
      </c>
    </row>
    <row r="3415" spans="1:2" ht="15" customHeight="1" x14ac:dyDescent="0.3">
      <c r="A3415" t="s">
        <v>4836</v>
      </c>
      <c r="B3415">
        <f t="shared" si="1136"/>
        <v>10</v>
      </c>
    </row>
    <row r="3416" spans="1:2" ht="15" customHeight="1" x14ac:dyDescent="0.3">
      <c r="A3416" t="s">
        <v>4837</v>
      </c>
      <c r="B3416">
        <f t="shared" si="1136"/>
        <v>10</v>
      </c>
    </row>
    <row r="3417" spans="1:2" ht="15" customHeight="1" x14ac:dyDescent="0.3">
      <c r="A3417" t="s">
        <v>4838</v>
      </c>
      <c r="B3417">
        <f t="shared" si="1136"/>
        <v>10</v>
      </c>
    </row>
    <row r="3418" spans="1:2" ht="15" customHeight="1" x14ac:dyDescent="0.3">
      <c r="A3418" t="s">
        <v>4839</v>
      </c>
      <c r="B3418">
        <f t="shared" si="1136"/>
        <v>10</v>
      </c>
    </row>
    <row r="3419" spans="1:2" ht="15" customHeight="1" x14ac:dyDescent="0.3">
      <c r="A3419" t="s">
        <v>4840</v>
      </c>
      <c r="B3419">
        <f t="shared" si="1136"/>
        <v>10</v>
      </c>
    </row>
    <row r="3420" spans="1:2" ht="15" customHeight="1" x14ac:dyDescent="0.3">
      <c r="A3420" t="s">
        <v>4841</v>
      </c>
      <c r="B3420">
        <f t="shared" si="1136"/>
        <v>10</v>
      </c>
    </row>
    <row r="3421" spans="1:2" ht="15" customHeight="1" x14ac:dyDescent="0.3">
      <c r="A3421" t="s">
        <v>4842</v>
      </c>
      <c r="B3421">
        <f t="shared" si="1136"/>
        <v>10</v>
      </c>
    </row>
    <row r="3422" spans="1:2" ht="15" customHeight="1" x14ac:dyDescent="0.3">
      <c r="A3422" t="s">
        <v>4843</v>
      </c>
      <c r="B3422">
        <f t="shared" ref="B3422:B3437" si="1137">B3217</f>
        <v>10</v>
      </c>
    </row>
    <row r="3423" spans="1:2" ht="15" customHeight="1" x14ac:dyDescent="0.3">
      <c r="A3423" t="s">
        <v>4844</v>
      </c>
      <c r="B3423">
        <f t="shared" si="1137"/>
        <v>10</v>
      </c>
    </row>
    <row r="3424" spans="1:2" ht="15" customHeight="1" x14ac:dyDescent="0.3">
      <c r="A3424" t="s">
        <v>4845</v>
      </c>
      <c r="B3424">
        <f t="shared" si="1137"/>
        <v>10</v>
      </c>
    </row>
    <row r="3425" spans="1:2" ht="15" customHeight="1" x14ac:dyDescent="0.3">
      <c r="A3425" t="s">
        <v>4846</v>
      </c>
      <c r="B3425">
        <f t="shared" si="1137"/>
        <v>10</v>
      </c>
    </row>
    <row r="3426" spans="1:2" ht="15" customHeight="1" x14ac:dyDescent="0.3">
      <c r="A3426" t="s">
        <v>4847</v>
      </c>
      <c r="B3426">
        <f t="shared" si="1137"/>
        <v>10</v>
      </c>
    </row>
    <row r="3427" spans="1:2" ht="15" customHeight="1" x14ac:dyDescent="0.3">
      <c r="A3427" t="s">
        <v>4848</v>
      </c>
      <c r="B3427">
        <f t="shared" si="1137"/>
        <v>10</v>
      </c>
    </row>
    <row r="3428" spans="1:2" ht="15" customHeight="1" x14ac:dyDescent="0.3">
      <c r="A3428" t="s">
        <v>4849</v>
      </c>
      <c r="B3428">
        <f t="shared" si="1137"/>
        <v>10</v>
      </c>
    </row>
    <row r="3429" spans="1:2" ht="15" customHeight="1" x14ac:dyDescent="0.3">
      <c r="A3429" t="s">
        <v>4850</v>
      </c>
      <c r="B3429">
        <f t="shared" si="1137"/>
        <v>10</v>
      </c>
    </row>
    <row r="3430" spans="1:2" ht="15" customHeight="1" x14ac:dyDescent="0.3">
      <c r="A3430" t="s">
        <v>4851</v>
      </c>
      <c r="B3430">
        <f t="shared" si="1137"/>
        <v>10</v>
      </c>
    </row>
    <row r="3431" spans="1:2" ht="15" customHeight="1" x14ac:dyDescent="0.3">
      <c r="A3431" t="s">
        <v>4852</v>
      </c>
      <c r="B3431">
        <f t="shared" si="1137"/>
        <v>10</v>
      </c>
    </row>
    <row r="3432" spans="1:2" ht="15" customHeight="1" x14ac:dyDescent="0.3">
      <c r="A3432" t="s">
        <v>4853</v>
      </c>
      <c r="B3432">
        <f t="shared" si="1137"/>
        <v>10</v>
      </c>
    </row>
    <row r="3433" spans="1:2" ht="15" customHeight="1" x14ac:dyDescent="0.3">
      <c r="A3433" t="s">
        <v>4854</v>
      </c>
      <c r="B3433">
        <f t="shared" si="1137"/>
        <v>10</v>
      </c>
    </row>
    <row r="3434" spans="1:2" ht="15" customHeight="1" x14ac:dyDescent="0.3">
      <c r="A3434" t="s">
        <v>4855</v>
      </c>
      <c r="B3434">
        <f t="shared" si="1137"/>
        <v>10</v>
      </c>
    </row>
    <row r="3435" spans="1:2" ht="15" customHeight="1" x14ac:dyDescent="0.3">
      <c r="A3435" t="s">
        <v>4856</v>
      </c>
      <c r="B3435">
        <f t="shared" si="1137"/>
        <v>10</v>
      </c>
    </row>
    <row r="3436" spans="1:2" ht="15" customHeight="1" x14ac:dyDescent="0.3">
      <c r="A3436" t="s">
        <v>4857</v>
      </c>
      <c r="B3436">
        <f t="shared" si="1137"/>
        <v>10</v>
      </c>
    </row>
    <row r="3437" spans="1:2" ht="15" customHeight="1" x14ac:dyDescent="0.3">
      <c r="A3437" t="s">
        <v>4858</v>
      </c>
      <c r="B3437">
        <f t="shared" si="1137"/>
        <v>10</v>
      </c>
    </row>
    <row r="3438" spans="1:2" ht="15" customHeight="1" x14ac:dyDescent="0.3">
      <c r="A3438" t="s">
        <v>4859</v>
      </c>
      <c r="B3438">
        <f t="shared" ref="B3438:B3450" si="1138">B3233</f>
        <v>10</v>
      </c>
    </row>
    <row r="3439" spans="1:2" ht="15" customHeight="1" x14ac:dyDescent="0.3">
      <c r="A3439" t="s">
        <v>4860</v>
      </c>
      <c r="B3439">
        <f t="shared" si="1138"/>
        <v>10</v>
      </c>
    </row>
    <row r="3440" spans="1:2" ht="15" customHeight="1" x14ac:dyDescent="0.3">
      <c r="A3440" t="s">
        <v>4861</v>
      </c>
      <c r="B3440">
        <f t="shared" si="1138"/>
        <v>10</v>
      </c>
    </row>
    <row r="3441" spans="1:2" ht="15" customHeight="1" x14ac:dyDescent="0.3">
      <c r="A3441" t="s">
        <v>4862</v>
      </c>
      <c r="B3441">
        <f t="shared" si="1138"/>
        <v>10</v>
      </c>
    </row>
    <row r="3442" spans="1:2" ht="15" customHeight="1" x14ac:dyDescent="0.3">
      <c r="A3442" t="s">
        <v>4863</v>
      </c>
      <c r="B3442">
        <f t="shared" si="1138"/>
        <v>15</v>
      </c>
    </row>
    <row r="3443" spans="1:2" ht="15" customHeight="1" x14ac:dyDescent="0.3">
      <c r="A3443" t="s">
        <v>4864</v>
      </c>
      <c r="B3443">
        <f t="shared" si="1138"/>
        <v>15</v>
      </c>
    </row>
    <row r="3444" spans="1:2" ht="15" customHeight="1" x14ac:dyDescent="0.3">
      <c r="A3444" t="s">
        <v>4865</v>
      </c>
      <c r="B3444">
        <f t="shared" si="1138"/>
        <v>15</v>
      </c>
    </row>
    <row r="3445" spans="1:2" ht="15" customHeight="1" x14ac:dyDescent="0.3">
      <c r="A3445" t="s">
        <v>4866</v>
      </c>
      <c r="B3445">
        <f t="shared" si="1138"/>
        <v>15</v>
      </c>
    </row>
    <row r="3446" spans="1:2" ht="15" customHeight="1" x14ac:dyDescent="0.3">
      <c r="A3446" t="s">
        <v>4867</v>
      </c>
      <c r="B3446">
        <f t="shared" si="1138"/>
        <v>15</v>
      </c>
    </row>
    <row r="3447" spans="1:2" ht="15" customHeight="1" x14ac:dyDescent="0.3">
      <c r="A3447" t="s">
        <v>4868</v>
      </c>
      <c r="B3447">
        <f t="shared" si="1138"/>
        <v>15</v>
      </c>
    </row>
    <row r="3448" spans="1:2" ht="15" customHeight="1" x14ac:dyDescent="0.3">
      <c r="A3448" t="s">
        <v>4869</v>
      </c>
      <c r="B3448">
        <f t="shared" si="1138"/>
        <v>15</v>
      </c>
    </row>
    <row r="3449" spans="1:2" ht="15" customHeight="1" x14ac:dyDescent="0.3">
      <c r="A3449" t="s">
        <v>4870</v>
      </c>
      <c r="B3449">
        <f t="shared" si="1138"/>
        <v>15</v>
      </c>
    </row>
    <row r="3450" spans="1:2" ht="15" customHeight="1" x14ac:dyDescent="0.3">
      <c r="A3450" t="s">
        <v>4871</v>
      </c>
      <c r="B3450">
        <f t="shared" si="1138"/>
        <v>15</v>
      </c>
    </row>
    <row r="3451" spans="1:2" ht="15" customHeight="1" x14ac:dyDescent="0.3">
      <c r="A3451" t="s">
        <v>1031</v>
      </c>
      <c r="B3451">
        <f>F1099</f>
        <v>60</v>
      </c>
    </row>
    <row r="3452" spans="1:2" ht="15" customHeight="1" x14ac:dyDescent="0.3">
      <c r="A3452" t="s">
        <v>3519</v>
      </c>
      <c r="B3452">
        <f>F1099</f>
        <v>60</v>
      </c>
    </row>
    <row r="3453" spans="1:2" ht="15" customHeight="1" x14ac:dyDescent="0.3">
      <c r="A3453" t="s">
        <v>12234</v>
      </c>
      <c r="B3453">
        <f>F1101</f>
        <v>100</v>
      </c>
    </row>
    <row r="3454" spans="1:2" ht="15" customHeight="1" x14ac:dyDescent="0.3">
      <c r="A3454" t="s">
        <v>11490</v>
      </c>
      <c r="B3454">
        <f>F1102</f>
        <v>130</v>
      </c>
    </row>
    <row r="3455" spans="1:2" ht="15" customHeight="1" x14ac:dyDescent="0.3">
      <c r="A3455" t="s">
        <v>12235</v>
      </c>
      <c r="B3455">
        <f>F1104</f>
        <v>110</v>
      </c>
    </row>
    <row r="3456" spans="1:2" ht="15" customHeight="1" x14ac:dyDescent="0.3">
      <c r="A3456" t="s">
        <v>11491</v>
      </c>
      <c r="B3456">
        <f>F1105</f>
        <v>130</v>
      </c>
    </row>
    <row r="3457" spans="1:2" ht="15" customHeight="1" x14ac:dyDescent="0.3">
      <c r="A3457" t="s">
        <v>12236</v>
      </c>
      <c r="B3457">
        <f>F1107</f>
        <v>110</v>
      </c>
    </row>
    <row r="3458" spans="1:2" ht="15" customHeight="1" x14ac:dyDescent="0.3">
      <c r="A3458" t="s">
        <v>11492</v>
      </c>
      <c r="B3458">
        <f>F1108</f>
        <v>130</v>
      </c>
    </row>
    <row r="3459" spans="1:2" ht="15" customHeight="1" x14ac:dyDescent="0.3">
      <c r="A3459" t="s">
        <v>11493</v>
      </c>
      <c r="B3459">
        <f>F1111</f>
        <v>130</v>
      </c>
    </row>
    <row r="3460" spans="1:2" ht="15" customHeight="1" x14ac:dyDescent="0.3">
      <c r="A3460" t="s">
        <v>11494</v>
      </c>
      <c r="B3460">
        <f>F1111</f>
        <v>130</v>
      </c>
    </row>
    <row r="3461" spans="1:2" ht="15" customHeight="1" x14ac:dyDescent="0.3">
      <c r="A3461" t="s">
        <v>11495</v>
      </c>
      <c r="B3461">
        <f>F1112</f>
        <v>150</v>
      </c>
    </row>
    <row r="3462" spans="1:2" ht="15" customHeight="1" x14ac:dyDescent="0.3">
      <c r="A3462" t="s">
        <v>11496</v>
      </c>
      <c r="B3462">
        <f>F1112</f>
        <v>150</v>
      </c>
    </row>
    <row r="3463" spans="1:2" ht="15" customHeight="1" x14ac:dyDescent="0.3">
      <c r="A3463" t="s">
        <v>12237</v>
      </c>
      <c r="B3463">
        <f>F1109</f>
        <v>130</v>
      </c>
    </row>
    <row r="3464" spans="1:2" ht="15" customHeight="1" x14ac:dyDescent="0.3">
      <c r="A3464" t="s">
        <v>11497</v>
      </c>
      <c r="B3464">
        <f>F1110</f>
        <v>150</v>
      </c>
    </row>
    <row r="3465" spans="1:2" ht="15" customHeight="1" x14ac:dyDescent="0.3">
      <c r="A3465" t="s">
        <v>12238</v>
      </c>
      <c r="B3465">
        <f>F1113</f>
        <v>120</v>
      </c>
    </row>
    <row r="3466" spans="1:2" ht="15" customHeight="1" x14ac:dyDescent="0.3">
      <c r="A3466" t="s">
        <v>11489</v>
      </c>
      <c r="B3466">
        <f>F1114</f>
        <v>150</v>
      </c>
    </row>
    <row r="3467" spans="1:2" ht="15" customHeight="1" x14ac:dyDescent="0.3">
      <c r="A3467" t="s">
        <v>12239</v>
      </c>
      <c r="B3467">
        <f>F1115</f>
        <v>130</v>
      </c>
    </row>
    <row r="3468" spans="1:2" ht="15" customHeight="1" x14ac:dyDescent="0.3">
      <c r="A3468" t="s">
        <v>11498</v>
      </c>
      <c r="B3468">
        <f>F1116</f>
        <v>150</v>
      </c>
    </row>
    <row r="3469" spans="1:2" ht="15" customHeight="1" x14ac:dyDescent="0.3">
      <c r="A3469" t="s">
        <v>12240</v>
      </c>
      <c r="B3469">
        <f t="shared" ref="B3469:B3482" si="1139">F1117</f>
        <v>130</v>
      </c>
    </row>
    <row r="3470" spans="1:2" ht="15" customHeight="1" x14ac:dyDescent="0.3">
      <c r="A3470" t="s">
        <v>11499</v>
      </c>
      <c r="B3470">
        <f t="shared" si="1139"/>
        <v>160</v>
      </c>
    </row>
    <row r="3471" spans="1:2" ht="15" customHeight="1" x14ac:dyDescent="0.3">
      <c r="A3471" t="s">
        <v>12241</v>
      </c>
      <c r="B3471">
        <f t="shared" si="1139"/>
        <v>130</v>
      </c>
    </row>
    <row r="3472" spans="1:2" ht="15" customHeight="1" x14ac:dyDescent="0.3">
      <c r="A3472" t="s">
        <v>11500</v>
      </c>
      <c r="B3472">
        <f t="shared" si="1139"/>
        <v>160</v>
      </c>
    </row>
    <row r="3473" spans="1:2" ht="15" customHeight="1" x14ac:dyDescent="0.3">
      <c r="A3473" t="s">
        <v>12242</v>
      </c>
      <c r="B3473">
        <f t="shared" si="1139"/>
        <v>135</v>
      </c>
    </row>
    <row r="3474" spans="1:2" ht="15" customHeight="1" x14ac:dyDescent="0.3">
      <c r="A3474" t="s">
        <v>11501</v>
      </c>
      <c r="B3474">
        <f t="shared" si="1139"/>
        <v>165</v>
      </c>
    </row>
    <row r="3475" spans="1:2" ht="15" customHeight="1" x14ac:dyDescent="0.3">
      <c r="A3475" t="s">
        <v>12243</v>
      </c>
      <c r="B3475">
        <f t="shared" si="1139"/>
        <v>130</v>
      </c>
    </row>
    <row r="3476" spans="1:2" ht="15" customHeight="1" x14ac:dyDescent="0.3">
      <c r="A3476" t="s">
        <v>11502</v>
      </c>
      <c r="B3476">
        <f t="shared" si="1139"/>
        <v>170</v>
      </c>
    </row>
    <row r="3477" spans="1:2" ht="15" customHeight="1" x14ac:dyDescent="0.3">
      <c r="A3477" t="s">
        <v>11503</v>
      </c>
      <c r="B3477">
        <f t="shared" si="1139"/>
        <v>130</v>
      </c>
    </row>
    <row r="3478" spans="1:2" ht="15" customHeight="1" x14ac:dyDescent="0.3">
      <c r="A3478" t="s">
        <v>11504</v>
      </c>
      <c r="B3478">
        <f t="shared" si="1139"/>
        <v>160</v>
      </c>
    </row>
    <row r="3479" spans="1:2" ht="15" customHeight="1" x14ac:dyDescent="0.3">
      <c r="A3479" t="s">
        <v>11505</v>
      </c>
      <c r="B3479">
        <f t="shared" si="1139"/>
        <v>135</v>
      </c>
    </row>
    <row r="3480" spans="1:2" ht="15" customHeight="1" x14ac:dyDescent="0.3">
      <c r="A3480" t="s">
        <v>11506</v>
      </c>
      <c r="B3480">
        <f t="shared" si="1139"/>
        <v>165</v>
      </c>
    </row>
    <row r="3481" spans="1:2" ht="15" customHeight="1" x14ac:dyDescent="0.3">
      <c r="A3481" t="s">
        <v>11507</v>
      </c>
      <c r="B3481">
        <f t="shared" si="1139"/>
        <v>140</v>
      </c>
    </row>
    <row r="3482" spans="1:2" ht="15" customHeight="1" x14ac:dyDescent="0.3">
      <c r="A3482" t="s">
        <v>11508</v>
      </c>
      <c r="B3482">
        <f t="shared" si="1139"/>
        <v>170</v>
      </c>
    </row>
    <row r="3483" spans="1:2" ht="15" customHeight="1" x14ac:dyDescent="0.3">
      <c r="A3483" t="s">
        <v>12244</v>
      </c>
      <c r="B3483">
        <f>F1132</f>
        <v>0</v>
      </c>
    </row>
    <row r="3484" spans="1:2" ht="15" customHeight="1" x14ac:dyDescent="0.3">
      <c r="A3484" t="s">
        <v>11509</v>
      </c>
      <c r="B3484">
        <f>F1133</f>
        <v>70</v>
      </c>
    </row>
    <row r="3485" spans="1:2" ht="15" customHeight="1" x14ac:dyDescent="0.3">
      <c r="A3485" t="s">
        <v>12245</v>
      </c>
      <c r="B3485">
        <f>F1135</f>
        <v>0</v>
      </c>
    </row>
    <row r="3486" spans="1:2" ht="15" customHeight="1" x14ac:dyDescent="0.3">
      <c r="A3486" t="s">
        <v>11510</v>
      </c>
      <c r="B3486">
        <f>F1136</f>
        <v>80</v>
      </c>
    </row>
    <row r="3487" spans="1:2" ht="15" customHeight="1" x14ac:dyDescent="0.3">
      <c r="A3487" t="s">
        <v>12246</v>
      </c>
      <c r="B3487">
        <f>F1138</f>
        <v>60</v>
      </c>
    </row>
    <row r="3488" spans="1:2" ht="15" customHeight="1" x14ac:dyDescent="0.3">
      <c r="A3488" t="s">
        <v>11511</v>
      </c>
      <c r="B3488">
        <f>F1139</f>
        <v>65</v>
      </c>
    </row>
    <row r="3489" spans="1:2" ht="15" customHeight="1" x14ac:dyDescent="0.3">
      <c r="A3489" t="s">
        <v>12247</v>
      </c>
      <c r="B3489">
        <f t="shared" ref="B3489:B3498" si="1140">F1141</f>
        <v>50</v>
      </c>
    </row>
    <row r="3490" spans="1:2" ht="15" customHeight="1" x14ac:dyDescent="0.3">
      <c r="A3490" t="s">
        <v>11512</v>
      </c>
      <c r="B3490">
        <f t="shared" si="1140"/>
        <v>55</v>
      </c>
    </row>
    <row r="3491" spans="1:2" ht="15" customHeight="1" x14ac:dyDescent="0.3">
      <c r="A3491" t="s">
        <v>12248</v>
      </c>
      <c r="B3491">
        <f t="shared" si="1140"/>
        <v>60</v>
      </c>
    </row>
    <row r="3492" spans="1:2" ht="15" customHeight="1" x14ac:dyDescent="0.3">
      <c r="A3492" t="s">
        <v>11513</v>
      </c>
      <c r="B3492">
        <f t="shared" si="1140"/>
        <v>70</v>
      </c>
    </row>
    <row r="3493" spans="1:2" ht="15" customHeight="1" x14ac:dyDescent="0.3">
      <c r="A3493" t="s">
        <v>12249</v>
      </c>
      <c r="B3493">
        <f t="shared" si="1140"/>
        <v>60</v>
      </c>
    </row>
    <row r="3494" spans="1:2" ht="15" customHeight="1" x14ac:dyDescent="0.3">
      <c r="A3494" t="s">
        <v>11514</v>
      </c>
      <c r="B3494">
        <f t="shared" si="1140"/>
        <v>70</v>
      </c>
    </row>
    <row r="3495" spans="1:2" ht="15" customHeight="1" x14ac:dyDescent="0.3">
      <c r="A3495" t="s">
        <v>12250</v>
      </c>
      <c r="B3495">
        <f t="shared" si="1140"/>
        <v>60</v>
      </c>
    </row>
    <row r="3496" spans="1:2" ht="15" customHeight="1" x14ac:dyDescent="0.3">
      <c r="A3496" t="s">
        <v>11515</v>
      </c>
      <c r="B3496">
        <f t="shared" si="1140"/>
        <v>70</v>
      </c>
    </row>
    <row r="3497" spans="1:2" ht="15" customHeight="1" x14ac:dyDescent="0.3">
      <c r="A3497" t="s">
        <v>12251</v>
      </c>
      <c r="B3497">
        <f t="shared" si="1140"/>
        <v>60</v>
      </c>
    </row>
    <row r="3498" spans="1:2" ht="15" customHeight="1" x14ac:dyDescent="0.3">
      <c r="A3498" t="s">
        <v>11516</v>
      </c>
      <c r="B3498">
        <f t="shared" si="1140"/>
        <v>70</v>
      </c>
    </row>
    <row r="3499" spans="1:2" ht="15" customHeight="1" x14ac:dyDescent="0.3">
      <c r="A3499" t="s">
        <v>12252</v>
      </c>
      <c r="B3499">
        <f>F1152</f>
        <v>100</v>
      </c>
    </row>
    <row r="3500" spans="1:2" ht="15" customHeight="1" x14ac:dyDescent="0.3">
      <c r="A3500" t="s">
        <v>11517</v>
      </c>
      <c r="B3500">
        <f>F1153</f>
        <v>120</v>
      </c>
    </row>
    <row r="3501" spans="1:2" ht="15" customHeight="1" x14ac:dyDescent="0.3">
      <c r="A3501" t="s">
        <v>12253</v>
      </c>
      <c r="B3501">
        <f>F1155</f>
        <v>100</v>
      </c>
    </row>
    <row r="3502" spans="1:2" ht="15" customHeight="1" x14ac:dyDescent="0.3">
      <c r="A3502" t="s">
        <v>11518</v>
      </c>
      <c r="B3502">
        <f>F1156</f>
        <v>130</v>
      </c>
    </row>
    <row r="3503" spans="1:2" ht="15" customHeight="1" x14ac:dyDescent="0.3">
      <c r="A3503" t="s">
        <v>12254</v>
      </c>
      <c r="B3503">
        <f>F1157</f>
        <v>120</v>
      </c>
    </row>
    <row r="3504" spans="1:2" ht="15" customHeight="1" x14ac:dyDescent="0.3">
      <c r="A3504" t="s">
        <v>11519</v>
      </c>
      <c r="B3504">
        <f>F1158</f>
        <v>130</v>
      </c>
    </row>
    <row r="3505" spans="1:2" ht="15" customHeight="1" x14ac:dyDescent="0.3">
      <c r="A3505" t="s">
        <v>12255</v>
      </c>
      <c r="B3505">
        <f>F1160</f>
        <v>115</v>
      </c>
    </row>
    <row r="3506" spans="1:2" ht="15" customHeight="1" x14ac:dyDescent="0.3">
      <c r="A3506" t="s">
        <v>11520</v>
      </c>
      <c r="B3506">
        <f>F1161</f>
        <v>120</v>
      </c>
    </row>
    <row r="3507" spans="1:2" ht="15" customHeight="1" x14ac:dyDescent="0.3">
      <c r="A3507" t="s">
        <v>12256</v>
      </c>
      <c r="B3507">
        <f>B3455</f>
        <v>110</v>
      </c>
    </row>
    <row r="3508" spans="1:2" ht="15" customHeight="1" x14ac:dyDescent="0.3">
      <c r="A3508" t="s">
        <v>11521</v>
      </c>
      <c r="B3508">
        <f>B3456</f>
        <v>130</v>
      </c>
    </row>
    <row r="3509" spans="1:2" ht="15" customHeight="1" x14ac:dyDescent="0.3">
      <c r="A3509" t="s">
        <v>12257</v>
      </c>
      <c r="B3509">
        <f>B3457</f>
        <v>110</v>
      </c>
    </row>
    <row r="3510" spans="1:2" ht="15" customHeight="1" x14ac:dyDescent="0.3">
      <c r="A3510" t="s">
        <v>11522</v>
      </c>
      <c r="B3510">
        <f>B3458</f>
        <v>130</v>
      </c>
    </row>
    <row r="3511" spans="1:2" ht="15" customHeight="1" x14ac:dyDescent="0.3">
      <c r="A3511" t="s">
        <v>11523</v>
      </c>
      <c r="B3511">
        <f>B3460</f>
        <v>130</v>
      </c>
    </row>
    <row r="3512" spans="1:2" ht="15" customHeight="1" x14ac:dyDescent="0.3">
      <c r="A3512" t="s">
        <v>11524</v>
      </c>
      <c r="B3512">
        <f>B3462</f>
        <v>150</v>
      </c>
    </row>
    <row r="3513" spans="1:2" ht="15" customHeight="1" x14ac:dyDescent="0.3">
      <c r="A3513" t="s">
        <v>12258</v>
      </c>
      <c r="B3513">
        <f>B3463</f>
        <v>130</v>
      </c>
    </row>
    <row r="3514" spans="1:2" ht="15" customHeight="1" x14ac:dyDescent="0.3">
      <c r="A3514" t="s">
        <v>11525</v>
      </c>
      <c r="B3514">
        <f>B3464</f>
        <v>150</v>
      </c>
    </row>
    <row r="3515" spans="1:2" ht="15" customHeight="1" x14ac:dyDescent="0.3">
      <c r="A3515" t="s">
        <v>12259</v>
      </c>
      <c r="B3515">
        <f>B3467</f>
        <v>130</v>
      </c>
    </row>
    <row r="3516" spans="1:2" ht="15" customHeight="1" x14ac:dyDescent="0.3">
      <c r="A3516" t="s">
        <v>11526</v>
      </c>
      <c r="B3516">
        <f>B3468</f>
        <v>150</v>
      </c>
    </row>
    <row r="3517" spans="1:2" ht="15" customHeight="1" x14ac:dyDescent="0.3">
      <c r="A3517" t="s">
        <v>12260</v>
      </c>
      <c r="B3517">
        <f>B3469</f>
        <v>130</v>
      </c>
    </row>
    <row r="3518" spans="1:2" ht="15" customHeight="1" x14ac:dyDescent="0.3">
      <c r="A3518" t="s">
        <v>11527</v>
      </c>
      <c r="B3518">
        <f>B3470</f>
        <v>160</v>
      </c>
    </row>
    <row r="3519" spans="1:2" ht="15" customHeight="1" x14ac:dyDescent="0.3">
      <c r="A3519" t="s">
        <v>12261</v>
      </c>
      <c r="B3519">
        <f>B3473</f>
        <v>135</v>
      </c>
    </row>
    <row r="3520" spans="1:2" ht="15" customHeight="1" x14ac:dyDescent="0.3">
      <c r="A3520" t="s">
        <v>11528</v>
      </c>
      <c r="B3520">
        <f>B3474</f>
        <v>165</v>
      </c>
    </row>
    <row r="3521" spans="1:2" ht="15" customHeight="1" x14ac:dyDescent="0.3">
      <c r="A3521" t="s">
        <v>12262</v>
      </c>
      <c r="B3521">
        <f>B3475</f>
        <v>130</v>
      </c>
    </row>
    <row r="3522" spans="1:2" ht="15" customHeight="1" x14ac:dyDescent="0.3">
      <c r="A3522" t="s">
        <v>11529</v>
      </c>
      <c r="B3522">
        <f>B3476</f>
        <v>170</v>
      </c>
    </row>
    <row r="3523" spans="1:2" ht="15" customHeight="1" x14ac:dyDescent="0.3">
      <c r="A3523" t="s">
        <v>11530</v>
      </c>
      <c r="B3523">
        <f>B3479</f>
        <v>135</v>
      </c>
    </row>
    <row r="3524" spans="1:2" ht="15" customHeight="1" x14ac:dyDescent="0.3">
      <c r="A3524" t="s">
        <v>11531</v>
      </c>
      <c r="B3524">
        <f>B3480</f>
        <v>165</v>
      </c>
    </row>
    <row r="3525" spans="1:2" ht="15" customHeight="1" x14ac:dyDescent="0.3">
      <c r="A3525" t="s">
        <v>11532</v>
      </c>
      <c r="B3525">
        <f>B3481</f>
        <v>140</v>
      </c>
    </row>
    <row r="3526" spans="1:2" ht="15" customHeight="1" x14ac:dyDescent="0.3">
      <c r="A3526" t="s">
        <v>11533</v>
      </c>
      <c r="B3526">
        <f>B3482</f>
        <v>170</v>
      </c>
    </row>
    <row r="3527" spans="1:2" ht="15" customHeight="1" x14ac:dyDescent="0.3">
      <c r="A3527" t="s">
        <v>12263</v>
      </c>
      <c r="B3527">
        <f t="shared" ref="B3527:B3532" si="1141">B3485</f>
        <v>0</v>
      </c>
    </row>
    <row r="3528" spans="1:2" ht="15" customHeight="1" x14ac:dyDescent="0.3">
      <c r="A3528" t="s">
        <v>11534</v>
      </c>
      <c r="B3528">
        <f t="shared" si="1141"/>
        <v>80</v>
      </c>
    </row>
    <row r="3529" spans="1:2" ht="15" customHeight="1" x14ac:dyDescent="0.3">
      <c r="A3529" t="s">
        <v>12264</v>
      </c>
      <c r="B3529">
        <f t="shared" si="1141"/>
        <v>60</v>
      </c>
    </row>
    <row r="3530" spans="1:2" ht="15" customHeight="1" x14ac:dyDescent="0.3">
      <c r="A3530" t="s">
        <v>11535</v>
      </c>
      <c r="B3530">
        <f t="shared" si="1141"/>
        <v>65</v>
      </c>
    </row>
    <row r="3531" spans="1:2" ht="15" customHeight="1" x14ac:dyDescent="0.3">
      <c r="A3531" t="s">
        <v>12265</v>
      </c>
      <c r="B3531">
        <f t="shared" si="1141"/>
        <v>50</v>
      </c>
    </row>
    <row r="3532" spans="1:2" ht="15" customHeight="1" x14ac:dyDescent="0.3">
      <c r="A3532" t="s">
        <v>11536</v>
      </c>
      <c r="B3532">
        <f t="shared" si="1141"/>
        <v>55</v>
      </c>
    </row>
    <row r="3533" spans="1:2" ht="15" customHeight="1" x14ac:dyDescent="0.3">
      <c r="A3533" t="s">
        <v>12266</v>
      </c>
      <c r="B3533">
        <f>B3493</f>
        <v>60</v>
      </c>
    </row>
    <row r="3534" spans="1:2" ht="15" customHeight="1" x14ac:dyDescent="0.3">
      <c r="A3534" t="s">
        <v>11537</v>
      </c>
      <c r="B3534">
        <f>B3494</f>
        <v>70</v>
      </c>
    </row>
    <row r="3535" spans="1:2" ht="15" customHeight="1" x14ac:dyDescent="0.3">
      <c r="A3535" t="s">
        <v>12267</v>
      </c>
      <c r="B3535">
        <f t="shared" ref="B3535:B3544" si="1142">B3497</f>
        <v>60</v>
      </c>
    </row>
    <row r="3536" spans="1:2" ht="15" customHeight="1" x14ac:dyDescent="0.3">
      <c r="A3536" t="s">
        <v>11538</v>
      </c>
      <c r="B3536">
        <f t="shared" si="1142"/>
        <v>70</v>
      </c>
    </row>
    <row r="3537" spans="1:2" ht="15" customHeight="1" x14ac:dyDescent="0.3">
      <c r="A3537" t="s">
        <v>12268</v>
      </c>
      <c r="B3537">
        <f t="shared" si="1142"/>
        <v>100</v>
      </c>
    </row>
    <row r="3538" spans="1:2" ht="15" customHeight="1" x14ac:dyDescent="0.3">
      <c r="A3538" t="s">
        <v>11539</v>
      </c>
      <c r="B3538">
        <f t="shared" si="1142"/>
        <v>120</v>
      </c>
    </row>
    <row r="3539" spans="1:2" ht="15" customHeight="1" x14ac:dyDescent="0.3">
      <c r="A3539" t="s">
        <v>12269</v>
      </c>
      <c r="B3539">
        <f t="shared" si="1142"/>
        <v>100</v>
      </c>
    </row>
    <row r="3540" spans="1:2" ht="15" customHeight="1" x14ac:dyDescent="0.3">
      <c r="A3540" t="s">
        <v>11540</v>
      </c>
      <c r="B3540">
        <f t="shared" si="1142"/>
        <v>130</v>
      </c>
    </row>
    <row r="3541" spans="1:2" ht="15" customHeight="1" x14ac:dyDescent="0.3">
      <c r="A3541" t="s">
        <v>12270</v>
      </c>
      <c r="B3541">
        <f t="shared" si="1142"/>
        <v>120</v>
      </c>
    </row>
    <row r="3542" spans="1:2" ht="15" customHeight="1" x14ac:dyDescent="0.3">
      <c r="A3542" t="s">
        <v>11541</v>
      </c>
      <c r="B3542">
        <f t="shared" si="1142"/>
        <v>130</v>
      </c>
    </row>
    <row r="3543" spans="1:2" ht="15" customHeight="1" x14ac:dyDescent="0.3">
      <c r="A3543" t="s">
        <v>12271</v>
      </c>
      <c r="B3543">
        <f t="shared" si="1142"/>
        <v>115</v>
      </c>
    </row>
    <row r="3544" spans="1:2" ht="15" customHeight="1" x14ac:dyDescent="0.3">
      <c r="A3544" t="s">
        <v>11542</v>
      </c>
      <c r="B3544">
        <f t="shared" si="1142"/>
        <v>120</v>
      </c>
    </row>
    <row r="3545" spans="1:2" ht="15" customHeight="1" x14ac:dyDescent="0.3">
      <c r="A3545" t="s">
        <v>1068</v>
      </c>
      <c r="B3545">
        <f t="shared" ref="B3545:B3550" si="1143">F1162</f>
        <v>55</v>
      </c>
    </row>
    <row r="3546" spans="1:2" ht="15" customHeight="1" x14ac:dyDescent="0.3">
      <c r="A3546" t="s">
        <v>1069</v>
      </c>
      <c r="B3546">
        <f t="shared" si="1143"/>
        <v>50</v>
      </c>
    </row>
    <row r="3547" spans="1:2" ht="15" customHeight="1" x14ac:dyDescent="0.3">
      <c r="A3547" t="s">
        <v>11543</v>
      </c>
      <c r="B3547">
        <f t="shared" si="1143"/>
        <v>60</v>
      </c>
    </row>
    <row r="3548" spans="1:2" ht="15" customHeight="1" x14ac:dyDescent="0.3">
      <c r="A3548" t="s">
        <v>1071</v>
      </c>
      <c r="B3548">
        <f t="shared" si="1143"/>
        <v>50</v>
      </c>
    </row>
    <row r="3549" spans="1:2" ht="15" customHeight="1" x14ac:dyDescent="0.3">
      <c r="A3549" t="s">
        <v>11544</v>
      </c>
      <c r="B3549">
        <f t="shared" si="1143"/>
        <v>60</v>
      </c>
    </row>
    <row r="3550" spans="1:2" ht="15" customHeight="1" x14ac:dyDescent="0.3">
      <c r="A3550" t="s">
        <v>3551</v>
      </c>
      <c r="B3550">
        <f t="shared" si="1143"/>
        <v>45</v>
      </c>
    </row>
    <row r="3551" spans="1:2" ht="15" customHeight="1" x14ac:dyDescent="0.3">
      <c r="A3551" t="s">
        <v>3552</v>
      </c>
      <c r="B3551">
        <f>F1167</f>
        <v>45</v>
      </c>
    </row>
    <row r="3552" spans="1:2" ht="15" customHeight="1" x14ac:dyDescent="0.3">
      <c r="A3552" t="s">
        <v>3553</v>
      </c>
      <c r="B3552">
        <f>F1168</f>
        <v>55</v>
      </c>
    </row>
    <row r="3553" spans="1:2" ht="15" customHeight="1" x14ac:dyDescent="0.3">
      <c r="A3553" t="s">
        <v>3554</v>
      </c>
      <c r="B3553">
        <f>F1168</f>
        <v>55</v>
      </c>
    </row>
    <row r="3554" spans="1:2" ht="15" customHeight="1" x14ac:dyDescent="0.3">
      <c r="A3554" t="s">
        <v>3556</v>
      </c>
      <c r="B3554">
        <f>F1168</f>
        <v>55</v>
      </c>
    </row>
    <row r="3555" spans="1:2" ht="15" customHeight="1" x14ac:dyDescent="0.3">
      <c r="A3555" t="s">
        <v>3555</v>
      </c>
      <c r="B3555">
        <f>F1168</f>
        <v>55</v>
      </c>
    </row>
    <row r="3556" spans="1:2" ht="15" customHeight="1" x14ac:dyDescent="0.3">
      <c r="A3556" t="s">
        <v>11545</v>
      </c>
      <c r="B3556">
        <f>F1169</f>
        <v>70</v>
      </c>
    </row>
    <row r="3557" spans="1:2" ht="15" customHeight="1" x14ac:dyDescent="0.3">
      <c r="A3557" t="s">
        <v>11546</v>
      </c>
      <c r="B3557">
        <f>F1169</f>
        <v>70</v>
      </c>
    </row>
    <row r="3558" spans="1:2" ht="15" customHeight="1" x14ac:dyDescent="0.3">
      <c r="A3558" t="s">
        <v>11547</v>
      </c>
      <c r="B3558">
        <f>F1169</f>
        <v>70</v>
      </c>
    </row>
    <row r="3559" spans="1:2" ht="15" customHeight="1" x14ac:dyDescent="0.3">
      <c r="A3559" t="s">
        <v>11548</v>
      </c>
      <c r="B3559">
        <f>F1169</f>
        <v>70</v>
      </c>
    </row>
    <row r="3560" spans="1:2" ht="15" customHeight="1" x14ac:dyDescent="0.3">
      <c r="A3560" t="s">
        <v>3671</v>
      </c>
      <c r="B3560">
        <f>F1170</f>
        <v>55</v>
      </c>
    </row>
    <row r="3561" spans="1:2" ht="15" customHeight="1" x14ac:dyDescent="0.3">
      <c r="A3561" t="s">
        <v>3672</v>
      </c>
      <c r="B3561">
        <f>F1170</f>
        <v>55</v>
      </c>
    </row>
    <row r="3562" spans="1:2" ht="15" customHeight="1" x14ac:dyDescent="0.3">
      <c r="A3562" t="s">
        <v>3673</v>
      </c>
      <c r="B3562">
        <f>F1171</f>
        <v>45</v>
      </c>
    </row>
    <row r="3563" spans="1:2" ht="15" customHeight="1" x14ac:dyDescent="0.3">
      <c r="A3563" t="s">
        <v>3674</v>
      </c>
      <c r="B3563">
        <f>F1171</f>
        <v>45</v>
      </c>
    </row>
    <row r="3564" spans="1:2" ht="15" customHeight="1" x14ac:dyDescent="0.3">
      <c r="A3564" t="s">
        <v>3675</v>
      </c>
      <c r="B3564">
        <f>F1171</f>
        <v>45</v>
      </c>
    </row>
    <row r="3565" spans="1:2" ht="15" customHeight="1" x14ac:dyDescent="0.3">
      <c r="A3565" t="s">
        <v>3676</v>
      </c>
      <c r="B3565">
        <f>F1171</f>
        <v>45</v>
      </c>
    </row>
    <row r="3566" spans="1:2" ht="15" customHeight="1" x14ac:dyDescent="0.3">
      <c r="A3566" t="s">
        <v>3557</v>
      </c>
      <c r="B3566">
        <f>F1172</f>
        <v>60</v>
      </c>
    </row>
    <row r="3567" spans="1:2" ht="15" customHeight="1" x14ac:dyDescent="0.3">
      <c r="A3567" t="s">
        <v>3558</v>
      </c>
      <c r="B3567">
        <f>F1172</f>
        <v>60</v>
      </c>
    </row>
    <row r="3568" spans="1:2" ht="15" customHeight="1" x14ac:dyDescent="0.3">
      <c r="A3568" t="s">
        <v>3559</v>
      </c>
      <c r="B3568">
        <f>F1172</f>
        <v>60</v>
      </c>
    </row>
    <row r="3569" spans="1:2" ht="15" customHeight="1" x14ac:dyDescent="0.3">
      <c r="A3569" t="s">
        <v>3560</v>
      </c>
      <c r="B3569">
        <f>F1172</f>
        <v>60</v>
      </c>
    </row>
    <row r="3570" spans="1:2" ht="15" customHeight="1" x14ac:dyDescent="0.3">
      <c r="A3570" t="s">
        <v>11549</v>
      </c>
      <c r="B3570">
        <f>F1173</f>
        <v>80</v>
      </c>
    </row>
    <row r="3571" spans="1:2" ht="15" customHeight="1" x14ac:dyDescent="0.3">
      <c r="A3571" t="s">
        <v>11550</v>
      </c>
      <c r="B3571">
        <f>F1173</f>
        <v>80</v>
      </c>
    </row>
    <row r="3572" spans="1:2" ht="15" customHeight="1" x14ac:dyDescent="0.3">
      <c r="A3572" t="s">
        <v>11551</v>
      </c>
      <c r="B3572">
        <f>F1173</f>
        <v>80</v>
      </c>
    </row>
    <row r="3573" spans="1:2" ht="15" customHeight="1" x14ac:dyDescent="0.3">
      <c r="A3573" t="s">
        <v>11552</v>
      </c>
      <c r="B3573">
        <f>F1173</f>
        <v>80</v>
      </c>
    </row>
    <row r="3574" spans="1:2" ht="15" customHeight="1" x14ac:dyDescent="0.3">
      <c r="A3574" t="s">
        <v>3561</v>
      </c>
      <c r="B3574">
        <f>F1174</f>
        <v>55</v>
      </c>
    </row>
    <row r="3575" spans="1:2" ht="15" customHeight="1" x14ac:dyDescent="0.3">
      <c r="A3575" s="58" t="s">
        <v>11680</v>
      </c>
      <c r="B3575">
        <f>F1175</f>
        <v>70</v>
      </c>
    </row>
    <row r="3576" spans="1:2" ht="15" customHeight="1" x14ac:dyDescent="0.3">
      <c r="A3576" t="s">
        <v>3562</v>
      </c>
      <c r="B3576">
        <f>F1174</f>
        <v>55</v>
      </c>
    </row>
    <row r="3577" spans="1:2" ht="15" customHeight="1" x14ac:dyDescent="0.3">
      <c r="A3577" s="58" t="s">
        <v>11678</v>
      </c>
      <c r="B3577">
        <f>F1175</f>
        <v>70</v>
      </c>
    </row>
    <row r="3578" spans="1:2" ht="15" customHeight="1" x14ac:dyDescent="0.3">
      <c r="A3578" t="s">
        <v>3563</v>
      </c>
      <c r="B3578">
        <f>F1174</f>
        <v>55</v>
      </c>
    </row>
    <row r="3579" spans="1:2" ht="15" customHeight="1" x14ac:dyDescent="0.3">
      <c r="A3579" s="58" t="s">
        <v>11679</v>
      </c>
      <c r="B3579">
        <f>F1175</f>
        <v>70</v>
      </c>
    </row>
    <row r="3580" spans="1:2" ht="15" customHeight="1" x14ac:dyDescent="0.3">
      <c r="A3580" t="s">
        <v>1081</v>
      </c>
      <c r="B3580">
        <f>F1176</f>
        <v>60</v>
      </c>
    </row>
    <row r="3581" spans="1:2" ht="15" customHeight="1" x14ac:dyDescent="0.3">
      <c r="A3581" t="s">
        <v>3564</v>
      </c>
      <c r="B3581">
        <f>F1177</f>
        <v>55</v>
      </c>
    </row>
    <row r="3582" spans="1:2" ht="15" customHeight="1" x14ac:dyDescent="0.3">
      <c r="A3582" t="s">
        <v>3565</v>
      </c>
      <c r="B3582">
        <f>F1177</f>
        <v>55</v>
      </c>
    </row>
    <row r="3583" spans="1:2" ht="15" customHeight="1" x14ac:dyDescent="0.3">
      <c r="A3583" t="s">
        <v>3566</v>
      </c>
      <c r="B3583">
        <f>F1177</f>
        <v>55</v>
      </c>
    </row>
    <row r="3584" spans="1:2" ht="15" customHeight="1" x14ac:dyDescent="0.3">
      <c r="A3584" t="s">
        <v>1083</v>
      </c>
      <c r="B3584">
        <f>F1178</f>
        <v>45</v>
      </c>
    </row>
    <row r="3585" spans="1:2" ht="15" customHeight="1" x14ac:dyDescent="0.3">
      <c r="A3585" t="s">
        <v>3567</v>
      </c>
      <c r="B3585">
        <f>F1179</f>
        <v>55</v>
      </c>
    </row>
    <row r="3586" spans="1:2" ht="15" customHeight="1" x14ac:dyDescent="0.3">
      <c r="A3586" t="s">
        <v>1085</v>
      </c>
      <c r="B3586">
        <f>F1180</f>
        <v>85</v>
      </c>
    </row>
    <row r="3587" spans="1:2" ht="15" customHeight="1" x14ac:dyDescent="0.3">
      <c r="A3587" t="s">
        <v>3591</v>
      </c>
      <c r="B3587">
        <f>F1204</f>
        <v>45</v>
      </c>
    </row>
    <row r="3588" spans="1:2" ht="15" customHeight="1" x14ac:dyDescent="0.3">
      <c r="A3588" t="s">
        <v>3570</v>
      </c>
      <c r="B3588">
        <f>F1184</f>
        <v>55</v>
      </c>
    </row>
    <row r="3589" spans="1:2" ht="15" customHeight="1" x14ac:dyDescent="0.3">
      <c r="A3589" t="s">
        <v>3605</v>
      </c>
      <c r="B3589">
        <f>F1229</f>
        <v>55</v>
      </c>
    </row>
    <row r="3590" spans="1:2" ht="15" customHeight="1" x14ac:dyDescent="0.3">
      <c r="A3590" t="s">
        <v>3568</v>
      </c>
      <c r="B3590">
        <f>F1181</f>
        <v>55</v>
      </c>
    </row>
    <row r="3591" spans="1:2" ht="15" customHeight="1" x14ac:dyDescent="0.3">
      <c r="A3591" t="s">
        <v>3569</v>
      </c>
      <c r="B3591">
        <f>F1181</f>
        <v>55</v>
      </c>
    </row>
    <row r="3592" spans="1:2" ht="15" customHeight="1" x14ac:dyDescent="0.3">
      <c r="A3592" t="s">
        <v>11553</v>
      </c>
      <c r="B3592">
        <f>F1182</f>
        <v>75</v>
      </c>
    </row>
    <row r="3593" spans="1:2" ht="15" customHeight="1" x14ac:dyDescent="0.3">
      <c r="A3593" t="s">
        <v>1088</v>
      </c>
      <c r="B3593">
        <f>F1183</f>
        <v>55</v>
      </c>
    </row>
    <row r="3594" spans="1:2" ht="15" customHeight="1" x14ac:dyDescent="0.3">
      <c r="A3594" t="s">
        <v>11554</v>
      </c>
      <c r="B3594">
        <f>F1185</f>
        <v>70</v>
      </c>
    </row>
    <row r="3595" spans="1:2" ht="15" customHeight="1" x14ac:dyDescent="0.3">
      <c r="A3595" t="s">
        <v>12152</v>
      </c>
      <c r="B3595">
        <f>F1186</f>
        <v>50</v>
      </c>
    </row>
    <row r="3596" spans="1:2" ht="15" customHeight="1" x14ac:dyDescent="0.3">
      <c r="A3596" t="s">
        <v>3572</v>
      </c>
      <c r="B3596">
        <f>F1186</f>
        <v>50</v>
      </c>
    </row>
    <row r="3597" spans="1:2" ht="15" customHeight="1" x14ac:dyDescent="0.3">
      <c r="A3597" t="s">
        <v>3573</v>
      </c>
      <c r="B3597">
        <f t="shared" ref="B3597:B3602" si="1144">F1186</f>
        <v>50</v>
      </c>
    </row>
    <row r="3598" spans="1:2" ht="15" customHeight="1" x14ac:dyDescent="0.3">
      <c r="A3598" t="s">
        <v>1092</v>
      </c>
      <c r="B3598">
        <f t="shared" si="1144"/>
        <v>55</v>
      </c>
    </row>
    <row r="3599" spans="1:2" ht="15" customHeight="1" x14ac:dyDescent="0.3">
      <c r="A3599" t="s">
        <v>1093</v>
      </c>
      <c r="B3599">
        <f t="shared" si="1144"/>
        <v>55</v>
      </c>
    </row>
    <row r="3600" spans="1:2" ht="15" customHeight="1" x14ac:dyDescent="0.3">
      <c r="A3600" t="s">
        <v>13150</v>
      </c>
      <c r="B3600">
        <f t="shared" si="1144"/>
        <v>60</v>
      </c>
    </row>
    <row r="3601" spans="1:2" ht="15" customHeight="1" x14ac:dyDescent="0.3">
      <c r="A3601" t="s">
        <v>11555</v>
      </c>
      <c r="B3601">
        <f t="shared" si="1144"/>
        <v>70</v>
      </c>
    </row>
    <row r="3602" spans="1:2" ht="15" customHeight="1" x14ac:dyDescent="0.3">
      <c r="A3602" t="s">
        <v>1095</v>
      </c>
      <c r="B3602">
        <f t="shared" si="1144"/>
        <v>60</v>
      </c>
    </row>
    <row r="3603" spans="1:2" ht="15" customHeight="1" x14ac:dyDescent="0.3">
      <c r="A3603" t="s">
        <v>3601</v>
      </c>
      <c r="B3603">
        <f>F1238</f>
        <v>50</v>
      </c>
    </row>
    <row r="3604" spans="1:2" ht="15" customHeight="1" x14ac:dyDescent="0.3">
      <c r="A3604" t="s">
        <v>3587</v>
      </c>
      <c r="B3604">
        <f>F1200</f>
        <v>45</v>
      </c>
    </row>
    <row r="3605" spans="1:2" ht="15" customHeight="1" x14ac:dyDescent="0.3">
      <c r="A3605" t="s">
        <v>3588</v>
      </c>
      <c r="B3605">
        <f>F1200</f>
        <v>45</v>
      </c>
    </row>
    <row r="3606" spans="1:2" ht="15" customHeight="1" x14ac:dyDescent="0.3">
      <c r="A3606" t="s">
        <v>3574</v>
      </c>
      <c r="B3606">
        <f>F1192</f>
        <v>55</v>
      </c>
    </row>
    <row r="3607" spans="1:2" ht="15" customHeight="1" x14ac:dyDescent="0.3">
      <c r="A3607" t="s">
        <v>3575</v>
      </c>
      <c r="B3607">
        <f>F1192</f>
        <v>55</v>
      </c>
    </row>
    <row r="3608" spans="1:2" ht="15" customHeight="1" x14ac:dyDescent="0.3">
      <c r="A3608" t="s">
        <v>3589</v>
      </c>
      <c r="B3608">
        <f>F1204</f>
        <v>45</v>
      </c>
    </row>
    <row r="3609" spans="1:2" ht="15" customHeight="1" x14ac:dyDescent="0.3">
      <c r="A3609" t="s">
        <v>3598</v>
      </c>
      <c r="B3609">
        <f>F1213</f>
        <v>45</v>
      </c>
    </row>
    <row r="3610" spans="1:2" ht="15" customHeight="1" x14ac:dyDescent="0.3">
      <c r="A3610" t="s">
        <v>3571</v>
      </c>
      <c r="B3610">
        <f>F1184</f>
        <v>55</v>
      </c>
    </row>
    <row r="3611" spans="1:2" ht="15" customHeight="1" x14ac:dyDescent="0.3">
      <c r="A3611" t="s">
        <v>11556</v>
      </c>
      <c r="B3611">
        <f>F1185</f>
        <v>70</v>
      </c>
    </row>
    <row r="3612" spans="1:2" ht="15" customHeight="1" x14ac:dyDescent="0.3">
      <c r="A3612" t="s">
        <v>1117</v>
      </c>
      <c r="B3612">
        <f>F1215</f>
        <v>55</v>
      </c>
    </row>
    <row r="3613" spans="1:2" ht="15" customHeight="1" x14ac:dyDescent="0.3">
      <c r="A3613" t="s">
        <v>3602</v>
      </c>
      <c r="B3613">
        <f>F1229</f>
        <v>55</v>
      </c>
    </row>
    <row r="3614" spans="1:2" ht="15" customHeight="1" x14ac:dyDescent="0.3">
      <c r="A3614" t="s">
        <v>3603</v>
      </c>
      <c r="B3614">
        <f>F1229</f>
        <v>55</v>
      </c>
    </row>
    <row r="3615" spans="1:2" ht="15" customHeight="1" x14ac:dyDescent="0.3">
      <c r="A3615" t="s">
        <v>3607</v>
      </c>
      <c r="B3615">
        <f>F1217</f>
        <v>55</v>
      </c>
    </row>
    <row r="3616" spans="1:2" ht="15" customHeight="1" x14ac:dyDescent="0.3">
      <c r="A3616" t="s">
        <v>3604</v>
      </c>
      <c r="B3616">
        <f>F1229</f>
        <v>55</v>
      </c>
    </row>
    <row r="3617" spans="1:2" ht="15" customHeight="1" x14ac:dyDescent="0.3">
      <c r="A3617" t="s">
        <v>11557</v>
      </c>
      <c r="B3617">
        <f>F1228</f>
        <v>70</v>
      </c>
    </row>
    <row r="3618" spans="1:2" ht="15" customHeight="1" x14ac:dyDescent="0.3">
      <c r="A3618" t="s">
        <v>11558</v>
      </c>
      <c r="B3618">
        <f>F1228</f>
        <v>70</v>
      </c>
    </row>
    <row r="3619" spans="1:2" ht="15" customHeight="1" x14ac:dyDescent="0.3">
      <c r="A3619" t="s">
        <v>11559</v>
      </c>
      <c r="B3619">
        <f>F1228</f>
        <v>70</v>
      </c>
    </row>
    <row r="3620" spans="1:2" ht="15" customHeight="1" x14ac:dyDescent="0.3">
      <c r="A3620" t="s">
        <v>11560</v>
      </c>
      <c r="B3620">
        <f>F1228</f>
        <v>70</v>
      </c>
    </row>
    <row r="3621" spans="1:2" ht="15" customHeight="1" x14ac:dyDescent="0.3">
      <c r="A3621" t="s">
        <v>3576</v>
      </c>
      <c r="B3621">
        <f>F1192</f>
        <v>55</v>
      </c>
    </row>
    <row r="3622" spans="1:2" ht="15" customHeight="1" x14ac:dyDescent="0.3">
      <c r="A3622" t="s">
        <v>10951</v>
      </c>
      <c r="B3622">
        <f>F1192</f>
        <v>55</v>
      </c>
    </row>
    <row r="3623" spans="1:2" ht="15" customHeight="1" x14ac:dyDescent="0.3">
      <c r="A3623" t="s">
        <v>3577</v>
      </c>
      <c r="B3623">
        <f>F1192</f>
        <v>55</v>
      </c>
    </row>
    <row r="3624" spans="1:2" ht="15" customHeight="1" x14ac:dyDescent="0.3">
      <c r="A3624" t="s">
        <v>3578</v>
      </c>
      <c r="B3624">
        <f>F1194</f>
        <v>55</v>
      </c>
    </row>
    <row r="3625" spans="1:2" ht="15" customHeight="1" x14ac:dyDescent="0.3">
      <c r="A3625" t="s">
        <v>3579</v>
      </c>
      <c r="B3625">
        <f>F1194</f>
        <v>55</v>
      </c>
    </row>
    <row r="3626" spans="1:2" ht="15" customHeight="1" x14ac:dyDescent="0.3">
      <c r="A3626" t="s">
        <v>3580</v>
      </c>
      <c r="B3626">
        <f>F1194</f>
        <v>55</v>
      </c>
    </row>
    <row r="3627" spans="1:2" ht="15" customHeight="1" x14ac:dyDescent="0.3">
      <c r="A3627" t="s">
        <v>3581</v>
      </c>
      <c r="B3627">
        <f>F1194</f>
        <v>55</v>
      </c>
    </row>
    <row r="3628" spans="1:2" ht="15" customHeight="1" x14ac:dyDescent="0.3">
      <c r="A3628" t="s">
        <v>3582</v>
      </c>
      <c r="B3628">
        <f>F1194</f>
        <v>55</v>
      </c>
    </row>
    <row r="3629" spans="1:2" ht="15" customHeight="1" x14ac:dyDescent="0.3">
      <c r="A3629" t="s">
        <v>11561</v>
      </c>
      <c r="B3629">
        <f>F1193</f>
        <v>75</v>
      </c>
    </row>
    <row r="3630" spans="1:2" ht="15" customHeight="1" x14ac:dyDescent="0.3">
      <c r="A3630" t="s">
        <v>11562</v>
      </c>
      <c r="B3630">
        <f>F1193</f>
        <v>75</v>
      </c>
    </row>
    <row r="3631" spans="1:2" ht="15" customHeight="1" x14ac:dyDescent="0.3">
      <c r="A3631" t="s">
        <v>11563</v>
      </c>
      <c r="B3631">
        <f>F1193</f>
        <v>75</v>
      </c>
    </row>
    <row r="3632" spans="1:2" ht="15" customHeight="1" x14ac:dyDescent="0.3">
      <c r="A3632" t="s">
        <v>11564</v>
      </c>
      <c r="B3632">
        <f>F1193</f>
        <v>75</v>
      </c>
    </row>
    <row r="3633" spans="1:2" ht="15" customHeight="1" x14ac:dyDescent="0.3">
      <c r="A3633" t="s">
        <v>11565</v>
      </c>
      <c r="B3633">
        <f>F1193</f>
        <v>75</v>
      </c>
    </row>
    <row r="3634" spans="1:2" ht="15" customHeight="1" x14ac:dyDescent="0.3">
      <c r="A3634" t="s">
        <v>3583</v>
      </c>
      <c r="B3634">
        <f>F1195</f>
        <v>55</v>
      </c>
    </row>
    <row r="3635" spans="1:2" ht="15" customHeight="1" x14ac:dyDescent="0.3">
      <c r="A3635" t="s">
        <v>3584</v>
      </c>
      <c r="B3635">
        <f>F1195</f>
        <v>55</v>
      </c>
    </row>
    <row r="3636" spans="1:2" ht="15" customHeight="1" x14ac:dyDescent="0.3">
      <c r="A3636" t="s">
        <v>3615</v>
      </c>
      <c r="B3636">
        <f>F1220</f>
        <v>55</v>
      </c>
    </row>
    <row r="3637" spans="1:2" ht="15" customHeight="1" x14ac:dyDescent="0.3">
      <c r="A3637" t="s">
        <v>1099</v>
      </c>
      <c r="B3637">
        <f>F1196</f>
        <v>60</v>
      </c>
    </row>
    <row r="3638" spans="1:2" ht="15" customHeight="1" x14ac:dyDescent="0.3">
      <c r="A3638" t="s">
        <v>11566</v>
      </c>
      <c r="B3638">
        <f>F1197</f>
        <v>70</v>
      </c>
    </row>
    <row r="3639" spans="1:2" ht="15" customHeight="1" x14ac:dyDescent="0.3">
      <c r="A3639" t="s">
        <v>1101</v>
      </c>
      <c r="B3639">
        <f>F1198</f>
        <v>55</v>
      </c>
    </row>
    <row r="3640" spans="1:2" ht="15" customHeight="1" x14ac:dyDescent="0.3">
      <c r="A3640" t="s">
        <v>3585</v>
      </c>
      <c r="B3640">
        <f>F1199</f>
        <v>55</v>
      </c>
    </row>
    <row r="3641" spans="1:2" ht="15" customHeight="1" x14ac:dyDescent="0.3">
      <c r="A3641" t="s">
        <v>3586</v>
      </c>
      <c r="B3641">
        <f>F1199</f>
        <v>55</v>
      </c>
    </row>
    <row r="3642" spans="1:2" ht="15" customHeight="1" x14ac:dyDescent="0.3">
      <c r="A3642" t="s">
        <v>11567</v>
      </c>
      <c r="B3642">
        <f>F1201</f>
        <v>65</v>
      </c>
    </row>
    <row r="3643" spans="1:2" ht="15" customHeight="1" x14ac:dyDescent="0.3">
      <c r="A3643" t="s">
        <v>11568</v>
      </c>
      <c r="B3643">
        <f>F1201</f>
        <v>65</v>
      </c>
    </row>
    <row r="3644" spans="1:2" ht="15" customHeight="1" x14ac:dyDescent="0.3">
      <c r="A3644" t="s">
        <v>1106</v>
      </c>
      <c r="B3644">
        <f>F1203</f>
        <v>45</v>
      </c>
    </row>
    <row r="3645" spans="1:2" ht="15" customHeight="1" x14ac:dyDescent="0.3">
      <c r="A3645" t="s">
        <v>11569</v>
      </c>
      <c r="B3645">
        <f>F1202</f>
        <v>70</v>
      </c>
    </row>
    <row r="3646" spans="1:2" ht="15" customHeight="1" x14ac:dyDescent="0.3">
      <c r="A3646" t="s">
        <v>3590</v>
      </c>
      <c r="B3646">
        <f>F1204</f>
        <v>45</v>
      </c>
    </row>
    <row r="3647" spans="1:2" ht="15" customHeight="1" x14ac:dyDescent="0.3">
      <c r="A3647" t="s">
        <v>11570</v>
      </c>
      <c r="B3647">
        <f>F1205</f>
        <v>55</v>
      </c>
    </row>
    <row r="3648" spans="1:2" ht="15" customHeight="1" x14ac:dyDescent="0.3">
      <c r="A3648" t="s">
        <v>11571</v>
      </c>
      <c r="B3648">
        <f>F1205</f>
        <v>55</v>
      </c>
    </row>
    <row r="3649" spans="1:2" ht="15" customHeight="1" x14ac:dyDescent="0.3">
      <c r="A3649" t="s">
        <v>11572</v>
      </c>
      <c r="B3649">
        <f>F1205</f>
        <v>55</v>
      </c>
    </row>
    <row r="3650" spans="1:2" ht="15" customHeight="1" x14ac:dyDescent="0.3">
      <c r="A3650" t="s">
        <v>13152</v>
      </c>
      <c r="B3650">
        <f>F1206</f>
        <v>55</v>
      </c>
    </row>
    <row r="3651" spans="1:2" ht="15" customHeight="1" x14ac:dyDescent="0.3">
      <c r="A3651" t="s">
        <v>3592</v>
      </c>
      <c r="B3651">
        <f>F1207</f>
        <v>55</v>
      </c>
    </row>
    <row r="3652" spans="1:2" ht="15" customHeight="1" x14ac:dyDescent="0.3">
      <c r="A3652" t="s">
        <v>13153</v>
      </c>
      <c r="B3652">
        <f>B3650</f>
        <v>55</v>
      </c>
    </row>
    <row r="3653" spans="1:2" ht="15" customHeight="1" x14ac:dyDescent="0.3">
      <c r="A3653" t="s">
        <v>3593</v>
      </c>
      <c r="B3653">
        <f>F1207</f>
        <v>55</v>
      </c>
    </row>
    <row r="3654" spans="1:2" ht="15" customHeight="1" x14ac:dyDescent="0.3">
      <c r="A3654" t="s">
        <v>1110</v>
      </c>
      <c r="B3654">
        <f>F1208</f>
        <v>55</v>
      </c>
    </row>
    <row r="3655" spans="1:2" ht="15" customHeight="1" x14ac:dyDescent="0.3">
      <c r="A3655" t="s">
        <v>3597</v>
      </c>
      <c r="B3655">
        <f>F1208</f>
        <v>55</v>
      </c>
    </row>
    <row r="3656" spans="1:2" ht="15" customHeight="1" x14ac:dyDescent="0.3">
      <c r="A3656" t="s">
        <v>3594</v>
      </c>
      <c r="B3656">
        <f>F1209</f>
        <v>55</v>
      </c>
    </row>
    <row r="3657" spans="1:2" ht="15" customHeight="1" x14ac:dyDescent="0.3">
      <c r="A3657" t="s">
        <v>3595</v>
      </c>
      <c r="B3657">
        <f>F1209</f>
        <v>55</v>
      </c>
    </row>
    <row r="3658" spans="1:2" ht="15" customHeight="1" x14ac:dyDescent="0.3">
      <c r="A3658" t="s">
        <v>3614</v>
      </c>
      <c r="B3658">
        <f>F1220</f>
        <v>55</v>
      </c>
    </row>
    <row r="3659" spans="1:2" ht="15" customHeight="1" x14ac:dyDescent="0.3">
      <c r="A3659" t="s">
        <v>3596</v>
      </c>
      <c r="B3659">
        <f>F1209</f>
        <v>55</v>
      </c>
    </row>
    <row r="3660" spans="1:2" ht="15" customHeight="1" x14ac:dyDescent="0.3">
      <c r="A3660" t="s">
        <v>3599</v>
      </c>
      <c r="B3660">
        <f>F1213</f>
        <v>45</v>
      </c>
    </row>
    <row r="3661" spans="1:2" ht="15" customHeight="1" x14ac:dyDescent="0.3">
      <c r="A3661" t="s">
        <v>3600</v>
      </c>
      <c r="B3661">
        <f>F1213</f>
        <v>45</v>
      </c>
    </row>
    <row r="3662" spans="1:2" ht="15" customHeight="1" x14ac:dyDescent="0.3">
      <c r="A3662" t="s">
        <v>11573</v>
      </c>
      <c r="B3662">
        <f>F1212</f>
        <v>65</v>
      </c>
    </row>
    <row r="3663" spans="1:2" ht="15" customHeight="1" x14ac:dyDescent="0.3">
      <c r="A3663" t="s">
        <v>11574</v>
      </c>
      <c r="B3663">
        <f>F1212</f>
        <v>65</v>
      </c>
    </row>
    <row r="3664" spans="1:2" ht="15" customHeight="1" x14ac:dyDescent="0.3">
      <c r="A3664" t="s">
        <v>11575</v>
      </c>
      <c r="B3664">
        <f>F1212</f>
        <v>65</v>
      </c>
    </row>
    <row r="3665" spans="1:2" ht="15" customHeight="1" x14ac:dyDescent="0.3">
      <c r="A3665" t="s">
        <v>11576</v>
      </c>
      <c r="B3665">
        <f>F1210</f>
        <v>70</v>
      </c>
    </row>
    <row r="3666" spans="1:2" ht="15" customHeight="1" x14ac:dyDescent="0.3">
      <c r="A3666" t="s">
        <v>1113</v>
      </c>
      <c r="B3666">
        <f>F1211</f>
        <v>55</v>
      </c>
    </row>
    <row r="3667" spans="1:2" ht="15" customHeight="1" x14ac:dyDescent="0.3">
      <c r="A3667" t="s">
        <v>11577</v>
      </c>
      <c r="B3667">
        <f>F1214</f>
        <v>70</v>
      </c>
    </row>
    <row r="3668" spans="1:2" ht="15" customHeight="1" x14ac:dyDescent="0.3">
      <c r="A3668" t="s">
        <v>3606</v>
      </c>
      <c r="B3668">
        <f>F1217</f>
        <v>55</v>
      </c>
    </row>
    <row r="3669" spans="1:2" ht="15" customHeight="1" x14ac:dyDescent="0.3">
      <c r="A3669" t="s">
        <v>11578</v>
      </c>
      <c r="B3669">
        <f>F1216</f>
        <v>70</v>
      </c>
    </row>
    <row r="3670" spans="1:2" ht="15" customHeight="1" x14ac:dyDescent="0.3">
      <c r="A3670" t="s">
        <v>11579</v>
      </c>
      <c r="B3670">
        <f>F1216</f>
        <v>70</v>
      </c>
    </row>
    <row r="3671" spans="1:2" ht="15" customHeight="1" x14ac:dyDescent="0.3">
      <c r="A3671" t="s">
        <v>11580</v>
      </c>
      <c r="B3671">
        <f>F1218</f>
        <v>70</v>
      </c>
    </row>
    <row r="3672" spans="1:2" ht="15" customHeight="1" x14ac:dyDescent="0.3">
      <c r="A3672" t="s">
        <v>1121</v>
      </c>
      <c r="B3672">
        <f>F1219</f>
        <v>50</v>
      </c>
    </row>
    <row r="3673" spans="1:2" ht="15" customHeight="1" x14ac:dyDescent="0.3">
      <c r="A3673" t="s">
        <v>3608</v>
      </c>
      <c r="B3673">
        <f>F1220</f>
        <v>55</v>
      </c>
    </row>
    <row r="3674" spans="1:2" ht="15" customHeight="1" x14ac:dyDescent="0.3">
      <c r="A3674" t="s">
        <v>3609</v>
      </c>
      <c r="B3674">
        <f>F1220</f>
        <v>55</v>
      </c>
    </row>
    <row r="3675" spans="1:2" ht="15" customHeight="1" x14ac:dyDescent="0.3">
      <c r="A3675" t="s">
        <v>3610</v>
      </c>
      <c r="B3675">
        <f>F1220</f>
        <v>55</v>
      </c>
    </row>
    <row r="3676" spans="1:2" ht="15" customHeight="1" x14ac:dyDescent="0.3">
      <c r="A3676" t="s">
        <v>3611</v>
      </c>
      <c r="B3676">
        <f>F1220</f>
        <v>55</v>
      </c>
    </row>
    <row r="3677" spans="1:2" ht="15" customHeight="1" x14ac:dyDescent="0.3">
      <c r="A3677" t="s">
        <v>3612</v>
      </c>
      <c r="B3677">
        <f>F1220</f>
        <v>55</v>
      </c>
    </row>
    <row r="3678" spans="1:2" ht="15" customHeight="1" x14ac:dyDescent="0.3">
      <c r="A3678" t="s">
        <v>3613</v>
      </c>
      <c r="B3678">
        <f>F1220</f>
        <v>55</v>
      </c>
    </row>
    <row r="3679" spans="1:2" ht="15" customHeight="1" x14ac:dyDescent="0.3">
      <c r="A3679" t="s">
        <v>3616</v>
      </c>
      <c r="B3679">
        <f>F1220</f>
        <v>55</v>
      </c>
    </row>
    <row r="3680" spans="1:2" ht="15" customHeight="1" x14ac:dyDescent="0.3">
      <c r="A3680" t="s">
        <v>3617</v>
      </c>
      <c r="B3680">
        <f>F1220</f>
        <v>55</v>
      </c>
    </row>
    <row r="3681" spans="1:2" ht="15" customHeight="1" x14ac:dyDescent="0.3">
      <c r="A3681" t="s">
        <v>3618</v>
      </c>
      <c r="B3681">
        <f>F1220</f>
        <v>55</v>
      </c>
    </row>
    <row r="3682" spans="1:2" ht="15" customHeight="1" x14ac:dyDescent="0.3">
      <c r="A3682" t="s">
        <v>11581</v>
      </c>
      <c r="B3682">
        <f>F1098</f>
        <v>70</v>
      </c>
    </row>
    <row r="3683" spans="1:2" ht="15" customHeight="1" x14ac:dyDescent="0.3">
      <c r="A3683" t="s">
        <v>11582</v>
      </c>
      <c r="B3683">
        <f>F1098</f>
        <v>70</v>
      </c>
    </row>
    <row r="3684" spans="1:2" ht="15" customHeight="1" x14ac:dyDescent="0.3">
      <c r="A3684" t="s">
        <v>11583</v>
      </c>
      <c r="B3684">
        <f>F1098</f>
        <v>70</v>
      </c>
    </row>
    <row r="3685" spans="1:2" ht="15" customHeight="1" x14ac:dyDescent="0.3">
      <c r="A3685" t="s">
        <v>11584</v>
      </c>
      <c r="B3685">
        <f>F1098</f>
        <v>70</v>
      </c>
    </row>
    <row r="3686" spans="1:2" ht="15" customHeight="1" x14ac:dyDescent="0.3">
      <c r="A3686" t="s">
        <v>11585</v>
      </c>
      <c r="B3686">
        <f>F1098</f>
        <v>70</v>
      </c>
    </row>
    <row r="3687" spans="1:2" ht="15" customHeight="1" x14ac:dyDescent="0.3">
      <c r="A3687" t="s">
        <v>11588</v>
      </c>
      <c r="B3687">
        <f>F1098</f>
        <v>70</v>
      </c>
    </row>
    <row r="3688" spans="1:2" ht="15" customHeight="1" x14ac:dyDescent="0.3">
      <c r="A3688" t="s">
        <v>11589</v>
      </c>
      <c r="B3688">
        <f>F1098</f>
        <v>70</v>
      </c>
    </row>
    <row r="3689" spans="1:2" ht="15" customHeight="1" x14ac:dyDescent="0.3">
      <c r="A3689" t="s">
        <v>11590</v>
      </c>
      <c r="B3689">
        <f>F1098</f>
        <v>70</v>
      </c>
    </row>
    <row r="3690" spans="1:2" ht="15" customHeight="1" x14ac:dyDescent="0.3">
      <c r="A3690" t="s">
        <v>11591</v>
      </c>
      <c r="B3690">
        <f>F1098</f>
        <v>70</v>
      </c>
    </row>
    <row r="3691" spans="1:2" ht="15" customHeight="1" x14ac:dyDescent="0.3">
      <c r="A3691" t="s">
        <v>11592</v>
      </c>
      <c r="B3691">
        <f>F1098</f>
        <v>70</v>
      </c>
    </row>
    <row r="3692" spans="1:2" ht="15" customHeight="1" x14ac:dyDescent="0.3">
      <c r="A3692" t="s">
        <v>11593</v>
      </c>
      <c r="B3692">
        <f>F1098</f>
        <v>70</v>
      </c>
    </row>
    <row r="3693" spans="1:2" ht="15" customHeight="1" x14ac:dyDescent="0.3">
      <c r="A3693" t="s">
        <v>1123</v>
      </c>
      <c r="B3693">
        <f>F1221</f>
        <v>55</v>
      </c>
    </row>
    <row r="3694" spans="1:2" ht="15" customHeight="1" x14ac:dyDescent="0.3">
      <c r="A3694" t="s">
        <v>1124</v>
      </c>
      <c r="B3694">
        <f>F1224</f>
        <v>55</v>
      </c>
    </row>
    <row r="3695" spans="1:2" ht="15" customHeight="1" x14ac:dyDescent="0.3">
      <c r="A3695" t="s">
        <v>1125</v>
      </c>
      <c r="B3695">
        <f>F1225</f>
        <v>55</v>
      </c>
    </row>
    <row r="3696" spans="1:2" ht="15" customHeight="1" x14ac:dyDescent="0.3">
      <c r="A3696" t="s">
        <v>11594</v>
      </c>
      <c r="B3696">
        <f>F1226</f>
        <v>80</v>
      </c>
    </row>
    <row r="3697" spans="1:2" ht="15" customHeight="1" x14ac:dyDescent="0.3">
      <c r="A3697" t="s">
        <v>1127</v>
      </c>
      <c r="B3697">
        <f>F1227</f>
        <v>55</v>
      </c>
    </row>
    <row r="3698" spans="1:2" ht="15" customHeight="1" x14ac:dyDescent="0.3">
      <c r="A3698" t="s">
        <v>3619</v>
      </c>
      <c r="B3698">
        <f>F1231</f>
        <v>55</v>
      </c>
    </row>
    <row r="3699" spans="1:2" ht="15" customHeight="1" x14ac:dyDescent="0.3">
      <c r="A3699" t="s">
        <v>3620</v>
      </c>
      <c r="B3699">
        <f>F1231</f>
        <v>55</v>
      </c>
    </row>
    <row r="3700" spans="1:2" ht="15" customHeight="1" x14ac:dyDescent="0.3">
      <c r="A3700" t="s">
        <v>13149</v>
      </c>
      <c r="B3700">
        <f>F1223</f>
        <v>55</v>
      </c>
    </row>
    <row r="3701" spans="1:2" ht="15" customHeight="1" x14ac:dyDescent="0.3">
      <c r="A3701" t="s">
        <v>11595</v>
      </c>
      <c r="B3701">
        <f>F1230</f>
        <v>60</v>
      </c>
    </row>
    <row r="3702" spans="1:2" ht="15" customHeight="1" x14ac:dyDescent="0.3">
      <c r="A3702" t="s">
        <v>3621</v>
      </c>
      <c r="B3702">
        <f>F1230</f>
        <v>60</v>
      </c>
    </row>
    <row r="3703" spans="1:2" ht="15" customHeight="1" x14ac:dyDescent="0.3">
      <c r="A3703" t="s">
        <v>3622</v>
      </c>
      <c r="B3703">
        <f>F1232</f>
        <v>55</v>
      </c>
    </row>
    <row r="3704" spans="1:2" ht="15" customHeight="1" x14ac:dyDescent="0.3">
      <c r="A3704" t="s">
        <v>3623</v>
      </c>
      <c r="B3704">
        <f>F1232</f>
        <v>55</v>
      </c>
    </row>
    <row r="3705" spans="1:2" ht="15" customHeight="1" x14ac:dyDescent="0.3">
      <c r="A3705" t="s">
        <v>1133</v>
      </c>
      <c r="B3705">
        <f>F1233</f>
        <v>55</v>
      </c>
    </row>
    <row r="3706" spans="1:2" ht="15" customHeight="1" x14ac:dyDescent="0.3">
      <c r="A3706" t="s">
        <v>1134</v>
      </c>
      <c r="B3706">
        <f>F1234</f>
        <v>55</v>
      </c>
    </row>
    <row r="3707" spans="1:2" ht="15" customHeight="1" x14ac:dyDescent="0.3">
      <c r="A3707" t="s">
        <v>3633</v>
      </c>
      <c r="B3707">
        <f>F1235</f>
        <v>35</v>
      </c>
    </row>
    <row r="3708" spans="1:2" ht="15" customHeight="1" x14ac:dyDescent="0.3">
      <c r="A3708" t="s">
        <v>3632</v>
      </c>
      <c r="B3708">
        <f>F1236</f>
        <v>55</v>
      </c>
    </row>
    <row r="3709" spans="1:2" ht="15" customHeight="1" x14ac:dyDescent="0.3">
      <c r="A3709" t="s">
        <v>3630</v>
      </c>
      <c r="B3709">
        <f>F1236</f>
        <v>55</v>
      </c>
    </row>
    <row r="3710" spans="1:2" ht="15" customHeight="1" x14ac:dyDescent="0.3">
      <c r="A3710" t="s">
        <v>3629</v>
      </c>
      <c r="B3710">
        <f>F1237</f>
        <v>50</v>
      </c>
    </row>
    <row r="3711" spans="1:2" ht="15" customHeight="1" x14ac:dyDescent="0.3">
      <c r="A3711" t="s">
        <v>3631</v>
      </c>
      <c r="B3711">
        <f>F1222</f>
        <v>55</v>
      </c>
    </row>
    <row r="3712" spans="1:2" ht="15" customHeight="1" x14ac:dyDescent="0.3">
      <c r="A3712" t="s">
        <v>3628</v>
      </c>
      <c r="B3712">
        <f>F1239</f>
        <v>55</v>
      </c>
    </row>
    <row r="3713" spans="1:2" ht="15" customHeight="1" x14ac:dyDescent="0.3">
      <c r="A3713" t="s">
        <v>3627</v>
      </c>
      <c r="B3713">
        <f>F1240</f>
        <v>55</v>
      </c>
    </row>
    <row r="3714" spans="1:2" ht="15" customHeight="1" x14ac:dyDescent="0.3">
      <c r="A3714" t="s">
        <v>3626</v>
      </c>
      <c r="B3714">
        <f>F1241</f>
        <v>55</v>
      </c>
    </row>
    <row r="3715" spans="1:2" ht="15" customHeight="1" x14ac:dyDescent="0.3">
      <c r="A3715" t="s">
        <v>3625</v>
      </c>
      <c r="B3715">
        <f>F1242</f>
        <v>55</v>
      </c>
    </row>
    <row r="3716" spans="1:2" ht="15" customHeight="1" x14ac:dyDescent="0.3">
      <c r="A3716" t="s">
        <v>3624</v>
      </c>
      <c r="B3716">
        <f>F1242</f>
        <v>55</v>
      </c>
    </row>
    <row r="3717" spans="1:2" ht="15" customHeight="1" x14ac:dyDescent="0.3">
      <c r="A3717" t="s">
        <v>3634</v>
      </c>
      <c r="B3717">
        <f>F1243</f>
        <v>55</v>
      </c>
    </row>
    <row r="3718" spans="1:2" ht="15" customHeight="1" x14ac:dyDescent="0.3">
      <c r="A3718" t="s">
        <v>3635</v>
      </c>
      <c r="B3718">
        <f>F1244</f>
        <v>55</v>
      </c>
    </row>
    <row r="3719" spans="1:2" ht="15" customHeight="1" x14ac:dyDescent="0.3">
      <c r="A3719" t="s">
        <v>12153</v>
      </c>
      <c r="B3719">
        <f>B3702</f>
        <v>60</v>
      </c>
    </row>
    <row r="3720" spans="1:2" ht="15" customHeight="1" x14ac:dyDescent="0.3">
      <c r="A3720" t="s">
        <v>11596</v>
      </c>
      <c r="B3720">
        <f>F1245</f>
        <v>70</v>
      </c>
    </row>
    <row r="3721" spans="1:2" ht="15" customHeight="1" x14ac:dyDescent="0.3">
      <c r="A3721" t="s">
        <v>1136</v>
      </c>
      <c r="B3721">
        <f>F1246</f>
        <v>55</v>
      </c>
    </row>
    <row r="3722" spans="1:2" ht="15" customHeight="1" x14ac:dyDescent="0.3">
      <c r="A3722" t="s">
        <v>1137</v>
      </c>
      <c r="B3722">
        <f>F1247</f>
        <v>50</v>
      </c>
    </row>
    <row r="3723" spans="1:2" ht="15" customHeight="1" x14ac:dyDescent="0.3">
      <c r="A3723" t="s">
        <v>3636</v>
      </c>
      <c r="B3723">
        <f>F1248</f>
        <v>55</v>
      </c>
    </row>
    <row r="3724" spans="1:2" ht="15" customHeight="1" x14ac:dyDescent="0.3">
      <c r="A3724" t="s">
        <v>3637</v>
      </c>
      <c r="B3724">
        <f>F1248</f>
        <v>55</v>
      </c>
    </row>
    <row r="3725" spans="1:2" ht="15" customHeight="1" x14ac:dyDescent="0.3">
      <c r="A3725" t="s">
        <v>12386</v>
      </c>
      <c r="B3725">
        <f>F1253</f>
        <v>55</v>
      </c>
    </row>
    <row r="3726" spans="1:2" ht="15" customHeight="1" x14ac:dyDescent="0.3">
      <c r="A3726" t="s">
        <v>12385</v>
      </c>
      <c r="B3726">
        <f>F1254</f>
        <v>55</v>
      </c>
    </row>
    <row r="3727" spans="1:2" ht="15" customHeight="1" x14ac:dyDescent="0.3">
      <c r="A3727" t="s">
        <v>3638</v>
      </c>
      <c r="B3727">
        <f>F1248</f>
        <v>55</v>
      </c>
    </row>
    <row r="3728" spans="1:2" ht="15" customHeight="1" x14ac:dyDescent="0.3">
      <c r="A3728" t="s">
        <v>3639</v>
      </c>
      <c r="B3728">
        <f>F1248</f>
        <v>55</v>
      </c>
    </row>
    <row r="3729" spans="1:2" ht="15" customHeight="1" x14ac:dyDescent="0.3">
      <c r="A3729" t="s">
        <v>10960</v>
      </c>
      <c r="B3729">
        <f>F1261</f>
        <v>55</v>
      </c>
    </row>
    <row r="3730" spans="1:2" ht="15" customHeight="1" x14ac:dyDescent="0.3">
      <c r="A3730" t="s">
        <v>3640</v>
      </c>
      <c r="B3730">
        <f>F1248</f>
        <v>55</v>
      </c>
    </row>
    <row r="3731" spans="1:2" ht="15" customHeight="1" x14ac:dyDescent="0.3">
      <c r="A3731" t="s">
        <v>3641</v>
      </c>
      <c r="B3731">
        <f>F1248</f>
        <v>55</v>
      </c>
    </row>
    <row r="3732" spans="1:2" ht="15" customHeight="1" x14ac:dyDescent="0.3">
      <c r="A3732" t="s">
        <v>13271</v>
      </c>
      <c r="B3732">
        <f>F1282</f>
        <v>55</v>
      </c>
    </row>
    <row r="3733" spans="1:2" ht="15" customHeight="1" x14ac:dyDescent="0.3">
      <c r="A3733" t="s">
        <v>13272</v>
      </c>
      <c r="B3733">
        <f>B3732</f>
        <v>55</v>
      </c>
    </row>
    <row r="3734" spans="1:2" ht="15" customHeight="1" x14ac:dyDescent="0.3">
      <c r="A3734" s="68" t="s">
        <v>13273</v>
      </c>
      <c r="B3734">
        <f>B3732</f>
        <v>55</v>
      </c>
    </row>
    <row r="3735" spans="1:2" ht="15" customHeight="1" x14ac:dyDescent="0.3">
      <c r="A3735" s="68" t="s">
        <v>13275</v>
      </c>
      <c r="B3735">
        <f>B3732</f>
        <v>55</v>
      </c>
    </row>
    <row r="3736" spans="1:2" ht="15" customHeight="1" x14ac:dyDescent="0.3">
      <c r="A3736" s="68" t="s">
        <v>13274</v>
      </c>
      <c r="B3736">
        <f>B3734</f>
        <v>55</v>
      </c>
    </row>
    <row r="3737" spans="1:2" ht="15" customHeight="1" x14ac:dyDescent="0.3">
      <c r="A3737" t="s">
        <v>11597</v>
      </c>
      <c r="B3737">
        <f>F1249</f>
        <v>75</v>
      </c>
    </row>
    <row r="3738" spans="1:2" ht="15" customHeight="1" x14ac:dyDescent="0.3">
      <c r="A3738" t="s">
        <v>11599</v>
      </c>
      <c r="B3738">
        <f>F1249</f>
        <v>75</v>
      </c>
    </row>
    <row r="3739" spans="1:2" ht="15" customHeight="1" x14ac:dyDescent="0.3">
      <c r="A3739" t="s">
        <v>11598</v>
      </c>
      <c r="B3739">
        <f>F1249</f>
        <v>75</v>
      </c>
    </row>
    <row r="3740" spans="1:2" ht="15" customHeight="1" x14ac:dyDescent="0.3">
      <c r="A3740" t="s">
        <v>11600</v>
      </c>
      <c r="B3740">
        <f>F1249</f>
        <v>75</v>
      </c>
    </row>
    <row r="3741" spans="1:2" ht="15" customHeight="1" x14ac:dyDescent="0.3">
      <c r="A3741" t="s">
        <v>11601</v>
      </c>
      <c r="B3741">
        <f>F1249</f>
        <v>75</v>
      </c>
    </row>
    <row r="3742" spans="1:2" ht="15" customHeight="1" x14ac:dyDescent="0.3">
      <c r="A3742" t="s">
        <v>11602</v>
      </c>
      <c r="B3742">
        <f>F1249</f>
        <v>75</v>
      </c>
    </row>
    <row r="3743" spans="1:2" ht="15" customHeight="1" x14ac:dyDescent="0.3">
      <c r="A3743" t="s">
        <v>3642</v>
      </c>
      <c r="B3743">
        <f>F1251</f>
        <v>55</v>
      </c>
    </row>
    <row r="3744" spans="1:2" ht="15" customHeight="1" x14ac:dyDescent="0.3">
      <c r="A3744" t="s">
        <v>3644</v>
      </c>
      <c r="B3744">
        <f>F1251</f>
        <v>55</v>
      </c>
    </row>
    <row r="3745" spans="1:2" ht="15" customHeight="1" x14ac:dyDescent="0.3">
      <c r="A3745" t="s">
        <v>3643</v>
      </c>
      <c r="B3745">
        <f>F1251</f>
        <v>55</v>
      </c>
    </row>
    <row r="3746" spans="1:2" ht="15" customHeight="1" x14ac:dyDescent="0.3">
      <c r="A3746" t="s">
        <v>3645</v>
      </c>
      <c r="B3746">
        <f>F1251</f>
        <v>55</v>
      </c>
    </row>
    <row r="3747" spans="1:2" ht="15" customHeight="1" x14ac:dyDescent="0.3">
      <c r="A3747" t="s">
        <v>3646</v>
      </c>
      <c r="B3747">
        <f>F1251</f>
        <v>55</v>
      </c>
    </row>
    <row r="3748" spans="1:2" ht="15" customHeight="1" x14ac:dyDescent="0.3">
      <c r="A3748" t="s">
        <v>11603</v>
      </c>
      <c r="B3748">
        <f>F1250</f>
        <v>75</v>
      </c>
    </row>
    <row r="3749" spans="1:2" ht="15" customHeight="1" x14ac:dyDescent="0.3">
      <c r="A3749" t="s">
        <v>11604</v>
      </c>
      <c r="B3749">
        <f>F1250</f>
        <v>75</v>
      </c>
    </row>
    <row r="3750" spans="1:2" ht="15" customHeight="1" x14ac:dyDescent="0.3">
      <c r="A3750" t="s">
        <v>11605</v>
      </c>
      <c r="B3750">
        <f>F1250</f>
        <v>75</v>
      </c>
    </row>
    <row r="3751" spans="1:2" ht="15" customHeight="1" x14ac:dyDescent="0.3">
      <c r="A3751" t="s">
        <v>11606</v>
      </c>
      <c r="B3751">
        <f>F1250</f>
        <v>75</v>
      </c>
    </row>
    <row r="3752" spans="1:2" ht="15" customHeight="1" x14ac:dyDescent="0.3">
      <c r="A3752" t="s">
        <v>11607</v>
      </c>
      <c r="B3752">
        <f>F1250</f>
        <v>75</v>
      </c>
    </row>
    <row r="3753" spans="1:2" ht="15" customHeight="1" x14ac:dyDescent="0.3">
      <c r="A3753" t="s">
        <v>1142</v>
      </c>
      <c r="B3753">
        <f>F1252</f>
        <v>55</v>
      </c>
    </row>
    <row r="3754" spans="1:2" ht="15" customHeight="1" x14ac:dyDescent="0.3">
      <c r="A3754" t="s">
        <v>3647</v>
      </c>
      <c r="B3754">
        <f>F1256</f>
        <v>55</v>
      </c>
    </row>
    <row r="3755" spans="1:2" ht="15" customHeight="1" x14ac:dyDescent="0.3">
      <c r="A3755" t="s">
        <v>3648</v>
      </c>
      <c r="B3755">
        <f>F1256</f>
        <v>55</v>
      </c>
    </row>
    <row r="3756" spans="1:2" ht="15" customHeight="1" x14ac:dyDescent="0.3">
      <c r="A3756" t="s">
        <v>3649</v>
      </c>
      <c r="B3756">
        <f>F1256</f>
        <v>55</v>
      </c>
    </row>
    <row r="3757" spans="1:2" ht="15" customHeight="1" x14ac:dyDescent="0.3">
      <c r="A3757" t="s">
        <v>3650</v>
      </c>
      <c r="B3757">
        <f>F1256</f>
        <v>55</v>
      </c>
    </row>
    <row r="3758" spans="1:2" ht="15" customHeight="1" x14ac:dyDescent="0.3">
      <c r="A3758" t="s">
        <v>11608</v>
      </c>
      <c r="B3758">
        <f>F1255</f>
        <v>75</v>
      </c>
    </row>
    <row r="3759" spans="1:2" ht="15" customHeight="1" x14ac:dyDescent="0.3">
      <c r="A3759" t="s">
        <v>11609</v>
      </c>
      <c r="B3759">
        <f>F1255</f>
        <v>75</v>
      </c>
    </row>
    <row r="3760" spans="1:2" ht="15" customHeight="1" x14ac:dyDescent="0.3">
      <c r="A3760" t="s">
        <v>11610</v>
      </c>
      <c r="B3760">
        <f>F1255</f>
        <v>75</v>
      </c>
    </row>
    <row r="3761" spans="1:2" ht="15" customHeight="1" x14ac:dyDescent="0.3">
      <c r="A3761" t="s">
        <v>11611</v>
      </c>
      <c r="B3761">
        <f>F1255</f>
        <v>75</v>
      </c>
    </row>
    <row r="3762" spans="1:2" ht="15" customHeight="1" x14ac:dyDescent="0.3">
      <c r="A3762" t="s">
        <v>3651</v>
      </c>
      <c r="B3762">
        <f>F1257</f>
        <v>50</v>
      </c>
    </row>
    <row r="3763" spans="1:2" ht="15" customHeight="1" x14ac:dyDescent="0.3">
      <c r="A3763" t="s">
        <v>11612</v>
      </c>
      <c r="B3763">
        <f>F1258</f>
        <v>50</v>
      </c>
    </row>
    <row r="3764" spans="1:2" ht="15" customHeight="1" x14ac:dyDescent="0.3">
      <c r="A3764" t="s">
        <v>3652</v>
      </c>
      <c r="B3764">
        <f>F1257</f>
        <v>50</v>
      </c>
    </row>
    <row r="3765" spans="1:2" ht="15" customHeight="1" x14ac:dyDescent="0.3">
      <c r="A3765" t="s">
        <v>11613</v>
      </c>
      <c r="B3765">
        <f>F1258</f>
        <v>50</v>
      </c>
    </row>
    <row r="3766" spans="1:2" ht="15" customHeight="1" x14ac:dyDescent="0.3">
      <c r="A3766" t="s">
        <v>3658</v>
      </c>
      <c r="B3766">
        <f>F1262</f>
        <v>55</v>
      </c>
    </row>
    <row r="3767" spans="1:2" ht="15" customHeight="1" x14ac:dyDescent="0.3">
      <c r="A3767" t="s">
        <v>3653</v>
      </c>
      <c r="B3767">
        <f>F1257</f>
        <v>50</v>
      </c>
    </row>
    <row r="3768" spans="1:2" ht="15" customHeight="1" x14ac:dyDescent="0.3">
      <c r="A3768" t="s">
        <v>11614</v>
      </c>
      <c r="B3768">
        <f>F1258</f>
        <v>50</v>
      </c>
    </row>
    <row r="3769" spans="1:2" ht="15" customHeight="1" x14ac:dyDescent="0.3">
      <c r="A3769" t="s">
        <v>3654</v>
      </c>
      <c r="B3769">
        <f>F1257</f>
        <v>50</v>
      </c>
    </row>
    <row r="3770" spans="1:2" ht="15" customHeight="1" x14ac:dyDescent="0.3">
      <c r="A3770" t="s">
        <v>11615</v>
      </c>
      <c r="B3770">
        <f>F1258</f>
        <v>50</v>
      </c>
    </row>
    <row r="3771" spans="1:2" ht="15" customHeight="1" x14ac:dyDescent="0.3">
      <c r="A3771" t="s">
        <v>3655</v>
      </c>
      <c r="B3771">
        <f>F1259</f>
        <v>55</v>
      </c>
    </row>
    <row r="3772" spans="1:2" ht="15" customHeight="1" x14ac:dyDescent="0.3">
      <c r="A3772" t="s">
        <v>3656</v>
      </c>
      <c r="B3772">
        <f>F1259</f>
        <v>55</v>
      </c>
    </row>
    <row r="3773" spans="1:2" ht="15" customHeight="1" x14ac:dyDescent="0.3">
      <c r="A3773" t="s">
        <v>3657</v>
      </c>
      <c r="B3773">
        <f>F1259</f>
        <v>55</v>
      </c>
    </row>
    <row r="3774" spans="1:2" ht="15" customHeight="1" x14ac:dyDescent="0.3">
      <c r="A3774" t="s">
        <v>11616</v>
      </c>
      <c r="B3774">
        <f>F1259</f>
        <v>55</v>
      </c>
    </row>
    <row r="3775" spans="1:2" ht="15" customHeight="1" x14ac:dyDescent="0.3">
      <c r="A3775" t="s">
        <v>11617</v>
      </c>
      <c r="B3775">
        <f>F1259</f>
        <v>55</v>
      </c>
    </row>
    <row r="3776" spans="1:2" ht="15" customHeight="1" x14ac:dyDescent="0.3">
      <c r="A3776" t="s">
        <v>11618</v>
      </c>
      <c r="B3776">
        <f>F1260</f>
        <v>75</v>
      </c>
    </row>
    <row r="3777" spans="1:2" ht="15" customHeight="1" x14ac:dyDescent="0.3">
      <c r="A3777" t="s">
        <v>11619</v>
      </c>
      <c r="B3777">
        <f>F1262</f>
        <v>55</v>
      </c>
    </row>
    <row r="3778" spans="1:2" ht="15" customHeight="1" x14ac:dyDescent="0.3">
      <c r="A3778" t="s">
        <v>11620</v>
      </c>
      <c r="B3778">
        <f>F1262</f>
        <v>55</v>
      </c>
    </row>
    <row r="3779" spans="1:2" ht="15" customHeight="1" x14ac:dyDescent="0.3">
      <c r="A3779" t="s">
        <v>11621</v>
      </c>
      <c r="B3779">
        <f>F1262</f>
        <v>55</v>
      </c>
    </row>
    <row r="3780" spans="1:2" ht="15" customHeight="1" x14ac:dyDescent="0.3">
      <c r="A3780" t="s">
        <v>11622</v>
      </c>
      <c r="B3780">
        <f>F1263</f>
        <v>55</v>
      </c>
    </row>
    <row r="3781" spans="1:2" ht="15" customHeight="1" x14ac:dyDescent="0.3">
      <c r="A3781" t="s">
        <v>11623</v>
      </c>
      <c r="B3781">
        <f>F1263</f>
        <v>55</v>
      </c>
    </row>
    <row r="3782" spans="1:2" ht="15" customHeight="1" x14ac:dyDescent="0.3">
      <c r="A3782" t="s">
        <v>11624</v>
      </c>
      <c r="B3782">
        <f>F1263</f>
        <v>55</v>
      </c>
    </row>
    <row r="3783" spans="1:2" ht="15" customHeight="1" x14ac:dyDescent="0.3">
      <c r="A3783" t="s">
        <v>1150</v>
      </c>
      <c r="B3783">
        <f>F1264</f>
        <v>55</v>
      </c>
    </row>
    <row r="3784" spans="1:2" ht="15" customHeight="1" x14ac:dyDescent="0.3">
      <c r="A3784" t="s">
        <v>11625</v>
      </c>
      <c r="B3784">
        <f>F1265</f>
        <v>55</v>
      </c>
    </row>
    <row r="3785" spans="1:2" ht="15" customHeight="1" x14ac:dyDescent="0.3">
      <c r="A3785" t="s">
        <v>11626</v>
      </c>
      <c r="B3785">
        <f>F1265</f>
        <v>55</v>
      </c>
    </row>
    <row r="3786" spans="1:2" ht="15" customHeight="1" x14ac:dyDescent="0.3">
      <c r="A3786" t="s">
        <v>12304</v>
      </c>
      <c r="B3786">
        <f>F1266</f>
        <v>60</v>
      </c>
    </row>
    <row r="3787" spans="1:2" ht="15" customHeight="1" x14ac:dyDescent="0.3">
      <c r="A3787" t="s">
        <v>11627</v>
      </c>
      <c r="B3787">
        <f>F1265</f>
        <v>55</v>
      </c>
    </row>
    <row r="3788" spans="1:2" ht="15" customHeight="1" x14ac:dyDescent="0.3">
      <c r="A3788" t="s">
        <v>11628</v>
      </c>
      <c r="B3788">
        <f>F1267</f>
        <v>55</v>
      </c>
    </row>
    <row r="3789" spans="1:2" ht="15" customHeight="1" x14ac:dyDescent="0.3">
      <c r="A3789" t="s">
        <v>12383</v>
      </c>
      <c r="B3789">
        <f>F1268</f>
        <v>60</v>
      </c>
    </row>
    <row r="3790" spans="1:2" ht="15" customHeight="1" x14ac:dyDescent="0.3">
      <c r="A3790" t="s">
        <v>12305</v>
      </c>
      <c r="B3790">
        <f>F1266</f>
        <v>60</v>
      </c>
    </row>
    <row r="3791" spans="1:2" ht="15" customHeight="1" x14ac:dyDescent="0.3">
      <c r="A3791" t="s">
        <v>11629</v>
      </c>
      <c r="B3791">
        <f>F1267</f>
        <v>55</v>
      </c>
    </row>
    <row r="3792" spans="1:2" ht="15" customHeight="1" x14ac:dyDescent="0.3">
      <c r="A3792" t="s">
        <v>11630</v>
      </c>
      <c r="B3792">
        <f>F1269</f>
        <v>55</v>
      </c>
    </row>
    <row r="3793" spans="1:2" ht="15" customHeight="1" x14ac:dyDescent="0.3">
      <c r="A3793" t="s">
        <v>11631</v>
      </c>
      <c r="B3793">
        <f>F1270</f>
        <v>60</v>
      </c>
    </row>
    <row r="3794" spans="1:2" ht="15" customHeight="1" x14ac:dyDescent="0.3">
      <c r="A3794" t="s">
        <v>11632</v>
      </c>
      <c r="B3794">
        <f>F1270</f>
        <v>60</v>
      </c>
    </row>
    <row r="3795" spans="1:2" ht="15" customHeight="1" x14ac:dyDescent="0.3">
      <c r="A3795" t="s">
        <v>11633</v>
      </c>
      <c r="B3795">
        <f>F1270</f>
        <v>60</v>
      </c>
    </row>
    <row r="3796" spans="1:2" ht="15" customHeight="1" x14ac:dyDescent="0.3">
      <c r="A3796" t="s">
        <v>12384</v>
      </c>
      <c r="B3796">
        <f>F1268</f>
        <v>60</v>
      </c>
    </row>
    <row r="3797" spans="1:2" ht="15" customHeight="1" x14ac:dyDescent="0.3">
      <c r="A3797" t="s">
        <v>12306</v>
      </c>
      <c r="B3797">
        <f>F1266</f>
        <v>60</v>
      </c>
    </row>
    <row r="3798" spans="1:2" ht="15" customHeight="1" x14ac:dyDescent="0.3">
      <c r="A3798" t="s">
        <v>11634</v>
      </c>
      <c r="B3798">
        <f>F1270</f>
        <v>60</v>
      </c>
    </row>
    <row r="3799" spans="1:2" ht="15" customHeight="1" x14ac:dyDescent="0.3">
      <c r="A3799" t="s">
        <v>11635</v>
      </c>
      <c r="B3799">
        <f>F1270</f>
        <v>60</v>
      </c>
    </row>
    <row r="3800" spans="1:2" ht="15" customHeight="1" x14ac:dyDescent="0.3">
      <c r="A3800" t="s">
        <v>11085</v>
      </c>
      <c r="B3800">
        <f>F1276</f>
        <v>75</v>
      </c>
    </row>
    <row r="3801" spans="1:2" ht="15" customHeight="1" x14ac:dyDescent="0.3">
      <c r="A3801" t="s">
        <v>11084</v>
      </c>
      <c r="B3801">
        <f>F1276</f>
        <v>75</v>
      </c>
    </row>
    <row r="3802" spans="1:2" ht="15" customHeight="1" x14ac:dyDescent="0.3">
      <c r="A3802" t="s">
        <v>11636</v>
      </c>
      <c r="B3802">
        <f>F1271</f>
        <v>60</v>
      </c>
    </row>
    <row r="3803" spans="1:2" ht="15" customHeight="1" x14ac:dyDescent="0.3">
      <c r="A3803" t="s">
        <v>11637</v>
      </c>
      <c r="B3803">
        <f>F1271</f>
        <v>60</v>
      </c>
    </row>
    <row r="3804" spans="1:2" ht="15" customHeight="1" x14ac:dyDescent="0.3">
      <c r="A3804" t="s">
        <v>11638</v>
      </c>
      <c r="B3804">
        <f>F1272</f>
        <v>55</v>
      </c>
    </row>
    <row r="3805" spans="1:2" ht="15" customHeight="1" x14ac:dyDescent="0.3">
      <c r="A3805" t="s">
        <v>11639</v>
      </c>
      <c r="B3805">
        <f>F1273</f>
        <v>55</v>
      </c>
    </row>
    <row r="3806" spans="1:2" ht="15" customHeight="1" x14ac:dyDescent="0.3">
      <c r="A3806" t="s">
        <v>11640</v>
      </c>
      <c r="B3806">
        <f>F1274</f>
        <v>60</v>
      </c>
    </row>
    <row r="3807" spans="1:2" ht="15" customHeight="1" x14ac:dyDescent="0.3">
      <c r="A3807" t="s">
        <v>11641</v>
      </c>
      <c r="B3807">
        <f>F1274</f>
        <v>60</v>
      </c>
    </row>
    <row r="3808" spans="1:2" ht="15" customHeight="1" x14ac:dyDescent="0.3">
      <c r="A3808" t="s">
        <v>11642</v>
      </c>
      <c r="B3808">
        <f>F1275</f>
        <v>60</v>
      </c>
    </row>
    <row r="3809" spans="1:2" ht="15" customHeight="1" x14ac:dyDescent="0.3">
      <c r="A3809" t="s">
        <v>11643</v>
      </c>
      <c r="B3809">
        <f>F1275</f>
        <v>60</v>
      </c>
    </row>
    <row r="3810" spans="1:2" ht="15" customHeight="1" x14ac:dyDescent="0.3">
      <c r="A3810" t="s">
        <v>1160</v>
      </c>
      <c r="B3810">
        <f>F1277</f>
        <v>45</v>
      </c>
    </row>
    <row r="3811" spans="1:2" ht="15" customHeight="1" x14ac:dyDescent="0.3">
      <c r="A3811" t="s">
        <v>3659</v>
      </c>
      <c r="B3811">
        <f>F1278</f>
        <v>40</v>
      </c>
    </row>
    <row r="3812" spans="1:2" ht="15" customHeight="1" x14ac:dyDescent="0.3">
      <c r="A3812" t="s">
        <v>3660</v>
      </c>
      <c r="B3812">
        <f>F1278</f>
        <v>40</v>
      </c>
    </row>
    <row r="3813" spans="1:2" ht="15" customHeight="1" x14ac:dyDescent="0.3">
      <c r="A3813" t="s">
        <v>3661</v>
      </c>
      <c r="B3813">
        <f>F1278</f>
        <v>40</v>
      </c>
    </row>
    <row r="3814" spans="1:2" ht="15" customHeight="1" x14ac:dyDescent="0.3">
      <c r="A3814" t="s">
        <v>3665</v>
      </c>
      <c r="B3814">
        <f>F1278</f>
        <v>40</v>
      </c>
    </row>
    <row r="3815" spans="1:2" ht="15" customHeight="1" x14ac:dyDescent="0.3">
      <c r="A3815" t="s">
        <v>3662</v>
      </c>
      <c r="B3815">
        <f>F1278</f>
        <v>40</v>
      </c>
    </row>
    <row r="3816" spans="1:2" ht="15" customHeight="1" x14ac:dyDescent="0.3">
      <c r="A3816" t="s">
        <v>3663</v>
      </c>
      <c r="B3816">
        <f>F1278</f>
        <v>40</v>
      </c>
    </row>
    <row r="3817" spans="1:2" ht="15" customHeight="1" x14ac:dyDescent="0.3">
      <c r="A3817" t="s">
        <v>3664</v>
      </c>
      <c r="B3817">
        <f>F1278</f>
        <v>40</v>
      </c>
    </row>
    <row r="3818" spans="1:2" ht="15" customHeight="1" x14ac:dyDescent="0.3">
      <c r="A3818" t="s">
        <v>11644</v>
      </c>
      <c r="B3818">
        <f>F1279</f>
        <v>50</v>
      </c>
    </row>
    <row r="3819" spans="1:2" ht="15" customHeight="1" x14ac:dyDescent="0.3">
      <c r="A3819" t="s">
        <v>11645</v>
      </c>
      <c r="B3819">
        <f>F1279</f>
        <v>50</v>
      </c>
    </row>
    <row r="3820" spans="1:2" ht="15" customHeight="1" x14ac:dyDescent="0.3">
      <c r="A3820" t="s">
        <v>11646</v>
      </c>
      <c r="B3820">
        <f>F1280</f>
        <v>50</v>
      </c>
    </row>
    <row r="3821" spans="1:2" ht="15" customHeight="1" x14ac:dyDescent="0.3">
      <c r="A3821" t="s">
        <v>11647</v>
      </c>
      <c r="B3821">
        <f>F1280</f>
        <v>50</v>
      </c>
    </row>
    <row r="3822" spans="1:2" ht="15" customHeight="1" x14ac:dyDescent="0.3">
      <c r="A3822" t="s">
        <v>11648</v>
      </c>
      <c r="B3822">
        <f>F1280</f>
        <v>50</v>
      </c>
    </row>
    <row r="3823" spans="1:2" ht="15" customHeight="1" x14ac:dyDescent="0.3">
      <c r="A3823" t="s">
        <v>11649</v>
      </c>
      <c r="B3823">
        <f>F1280</f>
        <v>50</v>
      </c>
    </row>
    <row r="3824" spans="1:2" ht="15" customHeight="1" x14ac:dyDescent="0.3">
      <c r="A3824" t="s">
        <v>11650</v>
      </c>
      <c r="B3824">
        <f>F1280</f>
        <v>50</v>
      </c>
    </row>
    <row r="3825" spans="1:2" ht="15" customHeight="1" x14ac:dyDescent="0.3">
      <c r="A3825" t="s">
        <v>11651</v>
      </c>
      <c r="B3825">
        <f>F1280</f>
        <v>50</v>
      </c>
    </row>
    <row r="3826" spans="1:2" ht="15" customHeight="1" x14ac:dyDescent="0.3">
      <c r="A3826" t="s">
        <v>11652</v>
      </c>
      <c r="B3826">
        <f>F1280</f>
        <v>50</v>
      </c>
    </row>
    <row r="3827" spans="1:2" ht="15" customHeight="1" x14ac:dyDescent="0.3">
      <c r="A3827" t="s">
        <v>11653</v>
      </c>
      <c r="B3827">
        <f>F1281</f>
        <v>55</v>
      </c>
    </row>
    <row r="3828" spans="1:2" ht="15" customHeight="1" x14ac:dyDescent="0.3">
      <c r="A3828" t="s">
        <v>11654</v>
      </c>
      <c r="B3828">
        <f>F1281</f>
        <v>55</v>
      </c>
    </row>
    <row r="3829" spans="1:2" ht="15" customHeight="1" x14ac:dyDescent="0.3">
      <c r="A3829" t="s">
        <v>11655</v>
      </c>
      <c r="B3829">
        <f>F1281</f>
        <v>55</v>
      </c>
    </row>
    <row r="3830" spans="1:2" ht="15" customHeight="1" x14ac:dyDescent="0.3">
      <c r="A3830" t="s">
        <v>11656</v>
      </c>
      <c r="B3830">
        <f>F1281</f>
        <v>55</v>
      </c>
    </row>
    <row r="3831" spans="1:2" ht="15" customHeight="1" x14ac:dyDescent="0.3">
      <c r="A3831" t="s">
        <v>11657</v>
      </c>
      <c r="B3831">
        <f>F1283</f>
        <v>55</v>
      </c>
    </row>
    <row r="3832" spans="1:2" ht="15" customHeight="1" x14ac:dyDescent="0.3">
      <c r="A3832" t="s">
        <v>11658</v>
      </c>
      <c r="B3832">
        <f>F1284</f>
        <v>55</v>
      </c>
    </row>
    <row r="3833" spans="1:2" ht="15" customHeight="1" x14ac:dyDescent="0.3">
      <c r="A3833" t="s">
        <v>11659</v>
      </c>
      <c r="B3833">
        <f>F1284</f>
        <v>55</v>
      </c>
    </row>
    <row r="3834" spans="1:2" ht="15" customHeight="1" x14ac:dyDescent="0.3">
      <c r="A3834" t="s">
        <v>11660</v>
      </c>
      <c r="B3834">
        <f>F1284</f>
        <v>55</v>
      </c>
    </row>
    <row r="3835" spans="1:2" ht="15" customHeight="1" x14ac:dyDescent="0.3">
      <c r="A3835" t="s">
        <v>11661</v>
      </c>
      <c r="B3835">
        <f>F1283</f>
        <v>55</v>
      </c>
    </row>
    <row r="3836" spans="1:2" ht="15" customHeight="1" x14ac:dyDescent="0.3">
      <c r="A3836" t="s">
        <v>11662</v>
      </c>
      <c r="B3836">
        <f>F1284</f>
        <v>55</v>
      </c>
    </row>
    <row r="3837" spans="1:2" ht="15" customHeight="1" x14ac:dyDescent="0.3">
      <c r="A3837" t="s">
        <v>11663</v>
      </c>
      <c r="B3837">
        <f>F1284</f>
        <v>55</v>
      </c>
    </row>
    <row r="3838" spans="1:2" ht="15" customHeight="1" x14ac:dyDescent="0.3">
      <c r="A3838" t="s">
        <v>3666</v>
      </c>
      <c r="B3838">
        <f>F1285</f>
        <v>55</v>
      </c>
    </row>
    <row r="3839" spans="1:2" ht="15" customHeight="1" x14ac:dyDescent="0.3">
      <c r="A3839" t="s">
        <v>3667</v>
      </c>
      <c r="B3839">
        <f>F1285</f>
        <v>55</v>
      </c>
    </row>
    <row r="3840" spans="1:2" ht="15" customHeight="1" x14ac:dyDescent="0.3">
      <c r="A3840" t="s">
        <v>3668</v>
      </c>
      <c r="B3840">
        <f>F1285</f>
        <v>55</v>
      </c>
    </row>
    <row r="3841" spans="1:2" ht="15" customHeight="1" x14ac:dyDescent="0.3">
      <c r="A3841" t="s">
        <v>3669</v>
      </c>
      <c r="B3841">
        <f>F1286</f>
        <v>55</v>
      </c>
    </row>
    <row r="3842" spans="1:2" ht="15" customHeight="1" x14ac:dyDescent="0.3">
      <c r="A3842" t="s">
        <v>3670</v>
      </c>
      <c r="B3842">
        <f>F1286</f>
        <v>55</v>
      </c>
    </row>
    <row r="3843" spans="1:2" ht="15" customHeight="1" x14ac:dyDescent="0.3">
      <c r="A3843" t="s">
        <v>11664</v>
      </c>
      <c r="B3843">
        <f>F1287</f>
        <v>80</v>
      </c>
    </row>
    <row r="3844" spans="1:2" ht="15" customHeight="1" x14ac:dyDescent="0.3">
      <c r="A3844" t="s">
        <v>11665</v>
      </c>
      <c r="B3844">
        <f>F1288</f>
        <v>55</v>
      </c>
    </row>
    <row r="3845" spans="1:2" ht="15" customHeight="1" x14ac:dyDescent="0.3">
      <c r="A3845" t="s">
        <v>11666</v>
      </c>
      <c r="B3845">
        <f>F1288</f>
        <v>55</v>
      </c>
    </row>
    <row r="3846" spans="1:2" ht="15" customHeight="1" x14ac:dyDescent="0.3">
      <c r="A3846" t="s">
        <v>11667</v>
      </c>
      <c r="B3846">
        <f>F1288</f>
        <v>55</v>
      </c>
    </row>
    <row r="3847" spans="1:2" ht="15" customHeight="1" x14ac:dyDescent="0.3">
      <c r="A3847" t="s">
        <v>11668</v>
      </c>
      <c r="B3847">
        <f>F1288</f>
        <v>55</v>
      </c>
    </row>
    <row r="3848" spans="1:2" ht="15" customHeight="1" x14ac:dyDescent="0.3">
      <c r="A3848" t="s">
        <v>11669</v>
      </c>
      <c r="B3848">
        <f>F1288</f>
        <v>55</v>
      </c>
    </row>
    <row r="3849" spans="1:2" ht="15" customHeight="1" x14ac:dyDescent="0.3">
      <c r="A3849" t="s">
        <v>11670</v>
      </c>
      <c r="B3849">
        <f>F1288</f>
        <v>55</v>
      </c>
    </row>
    <row r="3850" spans="1:2" ht="15" customHeight="1" x14ac:dyDescent="0.3">
      <c r="A3850" t="s">
        <v>11671</v>
      </c>
      <c r="B3850">
        <f>F1289</f>
        <v>55</v>
      </c>
    </row>
    <row r="3851" spans="1:2" ht="15" customHeight="1" x14ac:dyDescent="0.3">
      <c r="A3851" t="s">
        <v>11672</v>
      </c>
      <c r="B3851">
        <f>F1289</f>
        <v>55</v>
      </c>
    </row>
    <row r="3852" spans="1:2" ht="15" customHeight="1" x14ac:dyDescent="0.3">
      <c r="A3852" t="s">
        <v>3677</v>
      </c>
      <c r="B3852">
        <f>B3722</f>
        <v>50</v>
      </c>
    </row>
    <row r="3853" spans="1:2" ht="15" customHeight="1" x14ac:dyDescent="0.3">
      <c r="A3853" t="s">
        <v>11673</v>
      </c>
      <c r="B3853">
        <f>B3798</f>
        <v>60</v>
      </c>
    </row>
    <row r="3854" spans="1:2" ht="15" customHeight="1" x14ac:dyDescent="0.3">
      <c r="A3854" t="s">
        <v>11674</v>
      </c>
      <c r="B3854">
        <f>B3799</f>
        <v>60</v>
      </c>
    </row>
    <row r="3855" spans="1:2" ht="15" customHeight="1" x14ac:dyDescent="0.3">
      <c r="A3855" t="s">
        <v>11675</v>
      </c>
      <c r="B3855">
        <f>B3808</f>
        <v>60</v>
      </c>
    </row>
    <row r="3856" spans="1:2" ht="15" customHeight="1" x14ac:dyDescent="0.3">
      <c r="A3856" t="s">
        <v>3678</v>
      </c>
      <c r="B3856">
        <f>B3817</f>
        <v>40</v>
      </c>
    </row>
    <row r="3857" spans="1:2" ht="15" customHeight="1" x14ac:dyDescent="0.3">
      <c r="A3857" t="s">
        <v>11676</v>
      </c>
      <c r="B3857">
        <f>B3843</f>
        <v>80</v>
      </c>
    </row>
    <row r="3858" spans="1:2" ht="15" customHeight="1" x14ac:dyDescent="0.3">
      <c r="A3858" t="s">
        <v>12426</v>
      </c>
      <c r="B3858">
        <f t="shared" ref="B3858:B3861" si="1145">F1290</f>
        <v>55</v>
      </c>
    </row>
    <row r="3859" spans="1:2" ht="15" customHeight="1" x14ac:dyDescent="0.3">
      <c r="A3859" t="s">
        <v>12427</v>
      </c>
      <c r="B3859">
        <f t="shared" si="1145"/>
        <v>55</v>
      </c>
    </row>
    <row r="3860" spans="1:2" ht="15" customHeight="1" x14ac:dyDescent="0.3">
      <c r="A3860" t="s">
        <v>12428</v>
      </c>
      <c r="B3860">
        <f t="shared" si="1145"/>
        <v>60</v>
      </c>
    </row>
    <row r="3861" spans="1:2" ht="15" customHeight="1" x14ac:dyDescent="0.3">
      <c r="A3861" t="s">
        <v>12429</v>
      </c>
      <c r="B3861">
        <f t="shared" si="1145"/>
        <v>55</v>
      </c>
    </row>
    <row r="3862" spans="1:2" ht="15" customHeight="1" x14ac:dyDescent="0.3">
      <c r="A3862" t="s">
        <v>12566</v>
      </c>
      <c r="B3862">
        <f>F1294</f>
        <v>95</v>
      </c>
    </row>
    <row r="3863" spans="1:2" ht="15" customHeight="1" x14ac:dyDescent="0.3">
      <c r="A3863" t="s">
        <v>12567</v>
      </c>
      <c r="B3863">
        <f>F1294</f>
        <v>95</v>
      </c>
    </row>
    <row r="3864" spans="1:2" ht="15" customHeight="1" x14ac:dyDescent="0.3">
      <c r="A3864" t="s">
        <v>12568</v>
      </c>
      <c r="B3864">
        <f>F1294</f>
        <v>95</v>
      </c>
    </row>
    <row r="3865" spans="1:2" ht="15" customHeight="1" x14ac:dyDescent="0.3">
      <c r="A3865" t="s">
        <v>12569</v>
      </c>
      <c r="B3865">
        <f>F1294</f>
        <v>95</v>
      </c>
    </row>
    <row r="3866" spans="1:2" ht="15" customHeight="1" x14ac:dyDescent="0.3">
      <c r="A3866" t="s">
        <v>12434</v>
      </c>
      <c r="B3866">
        <f>F1306</f>
        <v>55</v>
      </c>
    </row>
    <row r="3867" spans="1:2" ht="15" customHeight="1" x14ac:dyDescent="0.3">
      <c r="A3867" t="s">
        <v>12435</v>
      </c>
      <c r="B3867">
        <f>F1306</f>
        <v>55</v>
      </c>
    </row>
    <row r="3868" spans="1:2" ht="15" customHeight="1" x14ac:dyDescent="0.3">
      <c r="A3868" t="s">
        <v>12436</v>
      </c>
      <c r="B3868">
        <f>F1297</f>
        <v>55</v>
      </c>
    </row>
    <row r="3869" spans="1:2" ht="15" customHeight="1" x14ac:dyDescent="0.3">
      <c r="A3869" t="s">
        <v>12570</v>
      </c>
      <c r="B3869">
        <f>F1294</f>
        <v>95</v>
      </c>
    </row>
    <row r="3870" spans="1:2" ht="15" customHeight="1" x14ac:dyDescent="0.3">
      <c r="A3870" t="s">
        <v>12437</v>
      </c>
      <c r="B3870">
        <f>F1300</f>
        <v>55</v>
      </c>
    </row>
    <row r="3871" spans="1:2" ht="15" customHeight="1" x14ac:dyDescent="0.3">
      <c r="A3871" t="s">
        <v>12438</v>
      </c>
      <c r="B3871">
        <f>F1300</f>
        <v>55</v>
      </c>
    </row>
    <row r="3872" spans="1:2" ht="15" customHeight="1" x14ac:dyDescent="0.3">
      <c r="A3872" t="s">
        <v>12439</v>
      </c>
      <c r="B3872">
        <f>F1301</f>
        <v>70</v>
      </c>
    </row>
    <row r="3873" spans="1:2" ht="15" customHeight="1" x14ac:dyDescent="0.3">
      <c r="A3873" t="s">
        <v>12440</v>
      </c>
      <c r="B3873">
        <f>F1301</f>
        <v>70</v>
      </c>
    </row>
    <row r="3874" spans="1:2" ht="15" customHeight="1" x14ac:dyDescent="0.3">
      <c r="A3874" t="s">
        <v>12441</v>
      </c>
      <c r="B3874">
        <f>F1307</f>
        <v>55</v>
      </c>
    </row>
    <row r="3875" spans="1:2" ht="15" customHeight="1" x14ac:dyDescent="0.3">
      <c r="A3875" t="s">
        <v>12442</v>
      </c>
      <c r="B3875">
        <f>F1307</f>
        <v>55</v>
      </c>
    </row>
    <row r="3876" spans="1:2" ht="15" customHeight="1" x14ac:dyDescent="0.3">
      <c r="A3876" t="s">
        <v>12443</v>
      </c>
      <c r="B3876">
        <f>F1308</f>
        <v>55</v>
      </c>
    </row>
    <row r="3877" spans="1:2" ht="15" customHeight="1" x14ac:dyDescent="0.3">
      <c r="A3877" t="s">
        <v>12444</v>
      </c>
      <c r="B3877">
        <f>F1308</f>
        <v>55</v>
      </c>
    </row>
    <row r="3878" spans="1:2" ht="15" customHeight="1" x14ac:dyDescent="0.3">
      <c r="A3878" t="s">
        <v>13237</v>
      </c>
      <c r="B3878">
        <f>F1309</f>
        <v>55</v>
      </c>
    </row>
    <row r="3879" spans="1:2" ht="15" customHeight="1" x14ac:dyDescent="0.3">
      <c r="A3879" t="s">
        <v>13244</v>
      </c>
      <c r="B3879">
        <f>B3878</f>
        <v>55</v>
      </c>
    </row>
    <row r="3880" spans="1:2" ht="15" customHeight="1" x14ac:dyDescent="0.3">
      <c r="A3880" s="68" t="s">
        <v>12445</v>
      </c>
      <c r="B3880" s="68">
        <f>F1310</f>
        <v>55</v>
      </c>
    </row>
    <row r="3881" spans="1:2" ht="15" customHeight="1" x14ac:dyDescent="0.3">
      <c r="A3881" s="68" t="s">
        <v>13241</v>
      </c>
      <c r="B3881" s="68">
        <f>B3880</f>
        <v>55</v>
      </c>
    </row>
    <row r="3882" spans="1:2" ht="15" customHeight="1" x14ac:dyDescent="0.3">
      <c r="A3882" t="s">
        <v>12446</v>
      </c>
      <c r="B3882">
        <f>F1302</f>
        <v>55</v>
      </c>
    </row>
    <row r="3883" spans="1:2" ht="15" customHeight="1" x14ac:dyDescent="0.3">
      <c r="A3883" t="s">
        <v>12447</v>
      </c>
      <c r="B3883">
        <f>F1302</f>
        <v>55</v>
      </c>
    </row>
    <row r="3884" spans="1:2" ht="15" customHeight="1" x14ac:dyDescent="0.3">
      <c r="A3884" t="s">
        <v>12448</v>
      </c>
      <c r="B3884">
        <f>F1302</f>
        <v>55</v>
      </c>
    </row>
    <row r="3885" spans="1:2" ht="15" customHeight="1" x14ac:dyDescent="0.3">
      <c r="A3885" t="s">
        <v>12449</v>
      </c>
      <c r="B3885">
        <f>F1302</f>
        <v>55</v>
      </c>
    </row>
    <row r="3886" spans="1:2" ht="15" customHeight="1" x14ac:dyDescent="0.3">
      <c r="A3886" t="s">
        <v>12450</v>
      </c>
      <c r="B3886">
        <f>F1303</f>
        <v>70</v>
      </c>
    </row>
    <row r="3887" spans="1:2" ht="15" customHeight="1" x14ac:dyDescent="0.3">
      <c r="A3887" t="s">
        <v>12451</v>
      </c>
      <c r="B3887">
        <f>F1303</f>
        <v>70</v>
      </c>
    </row>
    <row r="3888" spans="1:2" ht="15" customHeight="1" x14ac:dyDescent="0.3">
      <c r="A3888" t="s">
        <v>12452</v>
      </c>
      <c r="B3888">
        <f>F1303</f>
        <v>70</v>
      </c>
    </row>
    <row r="3889" spans="1:2" ht="15" customHeight="1" x14ac:dyDescent="0.3">
      <c r="A3889" t="s">
        <v>12453</v>
      </c>
      <c r="B3889">
        <f>F1303</f>
        <v>70</v>
      </c>
    </row>
    <row r="3890" spans="1:2" ht="15" customHeight="1" x14ac:dyDescent="0.3">
      <c r="A3890" t="s">
        <v>12454</v>
      </c>
      <c r="B3890">
        <f>F1304</f>
        <v>55</v>
      </c>
    </row>
    <row r="3891" spans="1:2" ht="15" customHeight="1" x14ac:dyDescent="0.3">
      <c r="A3891" t="s">
        <v>12455</v>
      </c>
      <c r="B3891">
        <f>F1304</f>
        <v>55</v>
      </c>
    </row>
    <row r="3892" spans="1:2" ht="15" customHeight="1" x14ac:dyDescent="0.3">
      <c r="A3892" t="s">
        <v>12456</v>
      </c>
      <c r="B3892">
        <f>F1305</f>
        <v>55</v>
      </c>
    </row>
    <row r="3893" spans="1:2" ht="15" customHeight="1" x14ac:dyDescent="0.3">
      <c r="A3893" t="s">
        <v>12457</v>
      </c>
      <c r="B3893">
        <f>F1305</f>
        <v>55</v>
      </c>
    </row>
    <row r="3894" spans="1:2" ht="15" customHeight="1" x14ac:dyDescent="0.3">
      <c r="A3894" t="s">
        <v>12458</v>
      </c>
      <c r="B3894">
        <f>F1311</f>
        <v>55</v>
      </c>
    </row>
    <row r="3895" spans="1:2" ht="15" customHeight="1" x14ac:dyDescent="0.3">
      <c r="A3895" t="s">
        <v>12459</v>
      </c>
      <c r="B3895">
        <f>F1312</f>
        <v>55</v>
      </c>
    </row>
    <row r="3896" spans="1:2" ht="15" customHeight="1" x14ac:dyDescent="0.3">
      <c r="A3896" t="s">
        <v>13165</v>
      </c>
      <c r="B3896">
        <f>B3895</f>
        <v>55</v>
      </c>
    </row>
    <row r="3897" spans="1:2" ht="15" customHeight="1" x14ac:dyDescent="0.3">
      <c r="A3897" t="s">
        <v>13265</v>
      </c>
      <c r="B3897">
        <f>F1313</f>
        <v>60</v>
      </c>
    </row>
    <row r="3898" spans="1:2" ht="15" customHeight="1" x14ac:dyDescent="0.3">
      <c r="A3898" t="s">
        <v>13267</v>
      </c>
      <c r="B3898">
        <f>F1314</f>
        <v>55</v>
      </c>
    </row>
    <row r="3899" spans="1:2" ht="15" customHeight="1" x14ac:dyDescent="0.3">
      <c r="A3899" t="s">
        <v>13268</v>
      </c>
      <c r="B3899">
        <f>B3898</f>
        <v>55</v>
      </c>
    </row>
    <row r="3900" spans="1:2" ht="15" customHeight="1" x14ac:dyDescent="0.3">
      <c r="A3900" t="s">
        <v>12467</v>
      </c>
      <c r="B3900">
        <f>F1313</f>
        <v>60</v>
      </c>
    </row>
    <row r="3901" spans="1:2" ht="15" customHeight="1" x14ac:dyDescent="0.3">
      <c r="A3901" t="s">
        <v>12468</v>
      </c>
      <c r="B3901">
        <f>F1313</f>
        <v>60</v>
      </c>
    </row>
    <row r="3902" spans="1:2" ht="15" customHeight="1" x14ac:dyDescent="0.3">
      <c r="A3902" t="s">
        <v>12460</v>
      </c>
      <c r="B3902">
        <f>F1315</f>
        <v>55</v>
      </c>
    </row>
    <row r="3903" spans="1:2" ht="15" customHeight="1" x14ac:dyDescent="0.3">
      <c r="A3903" t="s">
        <v>12461</v>
      </c>
      <c r="B3903">
        <f>F1315</f>
        <v>55</v>
      </c>
    </row>
    <row r="3904" spans="1:2" ht="15" customHeight="1" x14ac:dyDescent="0.3">
      <c r="A3904" t="s">
        <v>12462</v>
      </c>
      <c r="B3904">
        <f>F1316</f>
        <v>70</v>
      </c>
    </row>
    <row r="3905" spans="1:2" ht="15" customHeight="1" x14ac:dyDescent="0.3">
      <c r="A3905" t="s">
        <v>12463</v>
      </c>
      <c r="B3905">
        <f>F1316</f>
        <v>70</v>
      </c>
    </row>
    <row r="3906" spans="1:2" ht="15" customHeight="1" x14ac:dyDescent="0.3">
      <c r="A3906" t="s">
        <v>12464</v>
      </c>
      <c r="B3906">
        <f>F1317</f>
        <v>55</v>
      </c>
    </row>
    <row r="3907" spans="1:2" ht="15" customHeight="1" x14ac:dyDescent="0.3">
      <c r="A3907" t="s">
        <v>12465</v>
      </c>
      <c r="B3907">
        <f>F1317</f>
        <v>55</v>
      </c>
    </row>
    <row r="3908" spans="1:2" ht="15" customHeight="1" x14ac:dyDescent="0.3">
      <c r="A3908" t="s">
        <v>12466</v>
      </c>
      <c r="B3908">
        <f>F1318</f>
        <v>55</v>
      </c>
    </row>
    <row r="3909" spans="1:2" ht="15" customHeight="1" x14ac:dyDescent="0.3">
      <c r="A3909" t="s">
        <v>12430</v>
      </c>
      <c r="B3909">
        <f>F1295</f>
        <v>55</v>
      </c>
    </row>
    <row r="3910" spans="1:2" ht="15" customHeight="1" x14ac:dyDescent="0.3">
      <c r="A3910" s="91" t="s">
        <v>13245</v>
      </c>
      <c r="B3910">
        <f>B3878</f>
        <v>55</v>
      </c>
    </row>
    <row r="3911" spans="1:2" ht="15" customHeight="1" x14ac:dyDescent="0.3">
      <c r="A3911" s="91" t="s">
        <v>13242</v>
      </c>
      <c r="B3911">
        <f>B3880</f>
        <v>55</v>
      </c>
    </row>
    <row r="3912" spans="1:2" ht="15" customHeight="1" x14ac:dyDescent="0.3">
      <c r="A3912" s="91" t="s">
        <v>12431</v>
      </c>
      <c r="B3912">
        <f>F1296</f>
        <v>55</v>
      </c>
    </row>
    <row r="3913" spans="1:2" ht="15" customHeight="1" x14ac:dyDescent="0.3">
      <c r="A3913" s="91" t="s">
        <v>12432</v>
      </c>
      <c r="B3913">
        <f>F1296</f>
        <v>55</v>
      </c>
    </row>
    <row r="3914" spans="1:2" ht="15" customHeight="1" x14ac:dyDescent="0.3">
      <c r="A3914" s="91" t="s">
        <v>13247</v>
      </c>
      <c r="B3914">
        <f>F1298</f>
        <v>55</v>
      </c>
    </row>
    <row r="3915" spans="1:2" ht="15" customHeight="1" x14ac:dyDescent="0.3">
      <c r="A3915" s="91" t="s">
        <v>13248</v>
      </c>
      <c r="B3915">
        <f>B3914</f>
        <v>55</v>
      </c>
    </row>
    <row r="3916" spans="1:2" ht="15" customHeight="1" x14ac:dyDescent="0.3">
      <c r="A3916" s="91" t="s">
        <v>13249</v>
      </c>
      <c r="B3916">
        <f>B3914</f>
        <v>55</v>
      </c>
    </row>
    <row r="3917" spans="1:2" ht="15" customHeight="1" x14ac:dyDescent="0.3">
      <c r="A3917" s="91" t="s">
        <v>13266</v>
      </c>
      <c r="B3917">
        <f>F1313</f>
        <v>60</v>
      </c>
    </row>
    <row r="3918" spans="1:2" ht="15" customHeight="1" x14ac:dyDescent="0.3">
      <c r="A3918" s="91" t="s">
        <v>13269</v>
      </c>
      <c r="B3918">
        <f>B3898</f>
        <v>55</v>
      </c>
    </row>
    <row r="3919" spans="1:2" ht="15" customHeight="1" x14ac:dyDescent="0.3">
      <c r="A3919" s="91" t="s">
        <v>13166</v>
      </c>
      <c r="B3919">
        <f>F1312</f>
        <v>55</v>
      </c>
    </row>
    <row r="3920" spans="1:2" ht="15" customHeight="1" x14ac:dyDescent="0.3">
      <c r="A3920" s="91" t="s">
        <v>13243</v>
      </c>
      <c r="B3920">
        <f>B3880</f>
        <v>55</v>
      </c>
    </row>
    <row r="3921" spans="1:2" ht="15" customHeight="1" x14ac:dyDescent="0.3">
      <c r="A3921" t="s">
        <v>12433</v>
      </c>
      <c r="B3921">
        <f>F1299</f>
        <v>0</v>
      </c>
    </row>
    <row r="3922" spans="1:2" ht="15" customHeight="1" x14ac:dyDescent="0.3">
      <c r="A3922" t="s">
        <v>1179</v>
      </c>
      <c r="B3922">
        <f>F1319</f>
        <v>40</v>
      </c>
    </row>
    <row r="3923" spans="1:2" ht="15" customHeight="1" x14ac:dyDescent="0.3">
      <c r="A3923" t="s">
        <v>1180</v>
      </c>
      <c r="B3923">
        <f>F1320</f>
        <v>45</v>
      </c>
    </row>
    <row r="3924" spans="1:2" ht="15" customHeight="1" x14ac:dyDescent="0.3">
      <c r="A3924" t="s">
        <v>1181</v>
      </c>
      <c r="B3924">
        <f>F1321</f>
        <v>60</v>
      </c>
    </row>
    <row r="3925" spans="1:2" ht="15" customHeight="1" x14ac:dyDescent="0.3">
      <c r="A3925" s="23" t="s">
        <v>4872</v>
      </c>
      <c r="B3925">
        <f>F1323</f>
        <v>60</v>
      </c>
    </row>
    <row r="3926" spans="1:2" ht="15" customHeight="1" x14ac:dyDescent="0.3">
      <c r="A3926" s="23" t="s">
        <v>4873</v>
      </c>
      <c r="B3926">
        <f>F1323</f>
        <v>60</v>
      </c>
    </row>
    <row r="3927" spans="1:2" ht="15" customHeight="1" x14ac:dyDescent="0.3">
      <c r="A3927" t="s">
        <v>1182</v>
      </c>
      <c r="B3927">
        <f>F1322</f>
        <v>60</v>
      </c>
    </row>
    <row r="3928" spans="1:2" ht="15" customHeight="1" x14ac:dyDescent="0.3">
      <c r="A3928" t="s">
        <v>1184</v>
      </c>
      <c r="B3928">
        <f t="shared" ref="B3928:B3936" si="1146">F1324</f>
        <v>70</v>
      </c>
    </row>
    <row r="3929" spans="1:2" ht="15" customHeight="1" x14ac:dyDescent="0.3">
      <c r="A3929" t="s">
        <v>1185</v>
      </c>
      <c r="B3929">
        <f t="shared" si="1146"/>
        <v>90</v>
      </c>
    </row>
    <row r="3930" spans="1:2" ht="15" customHeight="1" x14ac:dyDescent="0.3">
      <c r="A3930" t="s">
        <v>1186</v>
      </c>
      <c r="B3930">
        <f t="shared" si="1146"/>
        <v>90</v>
      </c>
    </row>
    <row r="3931" spans="1:2" ht="15" customHeight="1" x14ac:dyDescent="0.3">
      <c r="A3931" t="s">
        <v>1187</v>
      </c>
      <c r="B3931">
        <f t="shared" si="1146"/>
        <v>25</v>
      </c>
    </row>
    <row r="3932" spans="1:2" ht="15" customHeight="1" x14ac:dyDescent="0.3">
      <c r="A3932" t="s">
        <v>1188</v>
      </c>
      <c r="B3932">
        <f t="shared" si="1146"/>
        <v>25</v>
      </c>
    </row>
    <row r="3933" spans="1:2" ht="15" customHeight="1" x14ac:dyDescent="0.3">
      <c r="A3933" t="s">
        <v>1189</v>
      </c>
      <c r="B3933">
        <f t="shared" si="1146"/>
        <v>25</v>
      </c>
    </row>
    <row r="3934" spans="1:2" ht="15" customHeight="1" x14ac:dyDescent="0.3">
      <c r="A3934" t="s">
        <v>1190</v>
      </c>
      <c r="B3934">
        <f t="shared" si="1146"/>
        <v>30</v>
      </c>
    </row>
    <row r="3935" spans="1:2" ht="15" customHeight="1" x14ac:dyDescent="0.3">
      <c r="A3935" t="s">
        <v>1191</v>
      </c>
      <c r="B3935">
        <f t="shared" si="1146"/>
        <v>30</v>
      </c>
    </row>
    <row r="3936" spans="1:2" ht="15" customHeight="1" x14ac:dyDescent="0.3">
      <c r="A3936" t="s">
        <v>1192</v>
      </c>
      <c r="B3936">
        <f t="shared" si="1146"/>
        <v>45</v>
      </c>
    </row>
    <row r="3937" spans="1:2" ht="15" customHeight="1" x14ac:dyDescent="0.3">
      <c r="A3937" s="23" t="s">
        <v>4874</v>
      </c>
      <c r="B3937">
        <f>F1334</f>
        <v>35</v>
      </c>
    </row>
    <row r="3938" spans="1:2" ht="15" customHeight="1" x14ac:dyDescent="0.3">
      <c r="A3938" t="s">
        <v>1193</v>
      </c>
      <c r="B3938">
        <f t="shared" ref="B3938:B3951" si="1147">F1333</f>
        <v>35</v>
      </c>
    </row>
    <row r="3939" spans="1:2" ht="15" customHeight="1" x14ac:dyDescent="0.3">
      <c r="A3939" s="23" t="s">
        <v>4875</v>
      </c>
      <c r="B3939">
        <f t="shared" si="1147"/>
        <v>35</v>
      </c>
    </row>
    <row r="3940" spans="1:2" ht="15" customHeight="1" x14ac:dyDescent="0.3">
      <c r="A3940" t="s">
        <v>1195</v>
      </c>
      <c r="B3940">
        <f t="shared" si="1147"/>
        <v>35</v>
      </c>
    </row>
    <row r="3941" spans="1:2" ht="15" customHeight="1" x14ac:dyDescent="0.3">
      <c r="A3941" t="s">
        <v>1196</v>
      </c>
      <c r="B3941">
        <f t="shared" si="1147"/>
        <v>40</v>
      </c>
    </row>
    <row r="3942" spans="1:2" ht="15" customHeight="1" x14ac:dyDescent="0.3">
      <c r="A3942" t="s">
        <v>1197</v>
      </c>
      <c r="B3942">
        <f t="shared" si="1147"/>
        <v>40</v>
      </c>
    </row>
    <row r="3943" spans="1:2" ht="15" customHeight="1" x14ac:dyDescent="0.3">
      <c r="A3943" t="s">
        <v>1198</v>
      </c>
      <c r="B3943">
        <f t="shared" si="1147"/>
        <v>45</v>
      </c>
    </row>
    <row r="3944" spans="1:2" ht="15" customHeight="1" x14ac:dyDescent="0.3">
      <c r="A3944" t="s">
        <v>1199</v>
      </c>
      <c r="B3944">
        <f t="shared" si="1147"/>
        <v>40</v>
      </c>
    </row>
    <row r="3945" spans="1:2" ht="15" customHeight="1" x14ac:dyDescent="0.3">
      <c r="A3945" t="s">
        <v>1200</v>
      </c>
      <c r="B3945">
        <f t="shared" si="1147"/>
        <v>35</v>
      </c>
    </row>
    <row r="3946" spans="1:2" ht="15" customHeight="1" x14ac:dyDescent="0.3">
      <c r="A3946" t="s">
        <v>1201</v>
      </c>
      <c r="B3946">
        <f t="shared" si="1147"/>
        <v>35</v>
      </c>
    </row>
    <row r="3947" spans="1:2" ht="15" customHeight="1" x14ac:dyDescent="0.3">
      <c r="A3947" t="s">
        <v>1202</v>
      </c>
      <c r="B3947">
        <f t="shared" si="1147"/>
        <v>35</v>
      </c>
    </row>
    <row r="3948" spans="1:2" ht="15" customHeight="1" x14ac:dyDescent="0.3">
      <c r="A3948" t="s">
        <v>1203</v>
      </c>
      <c r="B3948">
        <f t="shared" si="1147"/>
        <v>45</v>
      </c>
    </row>
    <row r="3949" spans="1:2" ht="15" customHeight="1" x14ac:dyDescent="0.3">
      <c r="A3949" t="s">
        <v>1204</v>
      </c>
      <c r="B3949">
        <f t="shared" si="1147"/>
        <v>40</v>
      </c>
    </row>
    <row r="3950" spans="1:2" ht="15" customHeight="1" x14ac:dyDescent="0.3">
      <c r="A3950" t="s">
        <v>1205</v>
      </c>
      <c r="B3950">
        <f t="shared" si="1147"/>
        <v>0</v>
      </c>
    </row>
    <row r="3951" spans="1:2" ht="15" customHeight="1" x14ac:dyDescent="0.3">
      <c r="A3951" t="s">
        <v>1206</v>
      </c>
      <c r="B3951">
        <f t="shared" si="1147"/>
        <v>0</v>
      </c>
    </row>
    <row r="3952" spans="1:2" ht="15" customHeight="1" x14ac:dyDescent="0.3">
      <c r="A3952" t="s">
        <v>4876</v>
      </c>
      <c r="B3952">
        <f t="shared" ref="B3952:B3968" si="1148">B3922</f>
        <v>40</v>
      </c>
    </row>
    <row r="3953" spans="1:2" ht="15" customHeight="1" x14ac:dyDescent="0.3">
      <c r="A3953" t="s">
        <v>4877</v>
      </c>
      <c r="B3953">
        <f t="shared" si="1148"/>
        <v>45</v>
      </c>
    </row>
    <row r="3954" spans="1:2" ht="15" customHeight="1" x14ac:dyDescent="0.3">
      <c r="A3954" t="s">
        <v>4878</v>
      </c>
      <c r="B3954">
        <f t="shared" si="1148"/>
        <v>60</v>
      </c>
    </row>
    <row r="3955" spans="1:2" ht="15" customHeight="1" x14ac:dyDescent="0.3">
      <c r="A3955" s="23" t="s">
        <v>4879</v>
      </c>
      <c r="B3955">
        <f t="shared" si="1148"/>
        <v>60</v>
      </c>
    </row>
    <row r="3956" spans="1:2" ht="15" customHeight="1" x14ac:dyDescent="0.3">
      <c r="A3956" s="23" t="s">
        <v>4880</v>
      </c>
      <c r="B3956">
        <f t="shared" si="1148"/>
        <v>60</v>
      </c>
    </row>
    <row r="3957" spans="1:2" ht="15" customHeight="1" x14ac:dyDescent="0.3">
      <c r="A3957" t="s">
        <v>4881</v>
      </c>
      <c r="B3957">
        <f t="shared" si="1148"/>
        <v>60</v>
      </c>
    </row>
    <row r="3958" spans="1:2" ht="15" customHeight="1" x14ac:dyDescent="0.3">
      <c r="A3958" t="s">
        <v>4882</v>
      </c>
      <c r="B3958">
        <f t="shared" si="1148"/>
        <v>70</v>
      </c>
    </row>
    <row r="3959" spans="1:2" ht="15" customHeight="1" x14ac:dyDescent="0.3">
      <c r="A3959" t="s">
        <v>4883</v>
      </c>
      <c r="B3959">
        <f t="shared" si="1148"/>
        <v>90</v>
      </c>
    </row>
    <row r="3960" spans="1:2" ht="15" customHeight="1" x14ac:dyDescent="0.3">
      <c r="A3960" t="s">
        <v>4884</v>
      </c>
      <c r="B3960">
        <f t="shared" si="1148"/>
        <v>90</v>
      </c>
    </row>
    <row r="3961" spans="1:2" ht="15" customHeight="1" x14ac:dyDescent="0.3">
      <c r="A3961" t="s">
        <v>4885</v>
      </c>
      <c r="B3961">
        <f t="shared" si="1148"/>
        <v>25</v>
      </c>
    </row>
    <row r="3962" spans="1:2" ht="15" customHeight="1" x14ac:dyDescent="0.3">
      <c r="A3962" t="s">
        <v>4886</v>
      </c>
      <c r="B3962">
        <f t="shared" si="1148"/>
        <v>25</v>
      </c>
    </row>
    <row r="3963" spans="1:2" ht="15" customHeight="1" x14ac:dyDescent="0.3">
      <c r="A3963" t="s">
        <v>4887</v>
      </c>
      <c r="B3963">
        <f t="shared" si="1148"/>
        <v>25</v>
      </c>
    </row>
    <row r="3964" spans="1:2" ht="15" customHeight="1" x14ac:dyDescent="0.3">
      <c r="A3964" t="s">
        <v>4888</v>
      </c>
      <c r="B3964">
        <f t="shared" si="1148"/>
        <v>30</v>
      </c>
    </row>
    <row r="3965" spans="1:2" ht="15" customHeight="1" x14ac:dyDescent="0.3">
      <c r="A3965" t="s">
        <v>4889</v>
      </c>
      <c r="B3965">
        <f t="shared" si="1148"/>
        <v>30</v>
      </c>
    </row>
    <row r="3966" spans="1:2" ht="15" customHeight="1" x14ac:dyDescent="0.3">
      <c r="A3966" t="s">
        <v>4890</v>
      </c>
      <c r="B3966">
        <f t="shared" si="1148"/>
        <v>45</v>
      </c>
    </row>
    <row r="3967" spans="1:2" ht="15" customHeight="1" x14ac:dyDescent="0.3">
      <c r="A3967" s="23" t="s">
        <v>4891</v>
      </c>
      <c r="B3967">
        <f t="shared" si="1148"/>
        <v>35</v>
      </c>
    </row>
    <row r="3968" spans="1:2" ht="15" customHeight="1" x14ac:dyDescent="0.3">
      <c r="A3968" t="s">
        <v>4892</v>
      </c>
      <c r="B3968">
        <f t="shared" si="1148"/>
        <v>35</v>
      </c>
    </row>
    <row r="3969" spans="1:2" ht="15" customHeight="1" x14ac:dyDescent="0.3">
      <c r="A3969" t="s">
        <v>4893</v>
      </c>
      <c r="B3969">
        <f t="shared" ref="B3969:B3980" si="1149">B3940</f>
        <v>35</v>
      </c>
    </row>
    <row r="3970" spans="1:2" ht="15" customHeight="1" x14ac:dyDescent="0.3">
      <c r="A3970" t="s">
        <v>4894</v>
      </c>
      <c r="B3970">
        <f t="shared" si="1149"/>
        <v>40</v>
      </c>
    </row>
    <row r="3971" spans="1:2" ht="15" customHeight="1" x14ac:dyDescent="0.3">
      <c r="A3971" t="s">
        <v>4895</v>
      </c>
      <c r="B3971">
        <f t="shared" si="1149"/>
        <v>40</v>
      </c>
    </row>
    <row r="3972" spans="1:2" ht="15" customHeight="1" x14ac:dyDescent="0.3">
      <c r="A3972" t="s">
        <v>4896</v>
      </c>
      <c r="B3972">
        <f t="shared" si="1149"/>
        <v>45</v>
      </c>
    </row>
    <row r="3973" spans="1:2" ht="15" customHeight="1" x14ac:dyDescent="0.3">
      <c r="A3973" t="s">
        <v>4901</v>
      </c>
      <c r="B3973">
        <f t="shared" si="1149"/>
        <v>40</v>
      </c>
    </row>
    <row r="3974" spans="1:2" ht="15" customHeight="1" x14ac:dyDescent="0.3">
      <c r="A3974" t="s">
        <v>4902</v>
      </c>
      <c r="B3974">
        <f t="shared" si="1149"/>
        <v>35</v>
      </c>
    </row>
    <row r="3975" spans="1:2" ht="15" customHeight="1" x14ac:dyDescent="0.3">
      <c r="A3975" t="s">
        <v>4903</v>
      </c>
      <c r="B3975">
        <f t="shared" si="1149"/>
        <v>35</v>
      </c>
    </row>
    <row r="3976" spans="1:2" ht="15" customHeight="1" x14ac:dyDescent="0.3">
      <c r="A3976" t="s">
        <v>4897</v>
      </c>
      <c r="B3976">
        <f t="shared" si="1149"/>
        <v>35</v>
      </c>
    </row>
    <row r="3977" spans="1:2" ht="15" customHeight="1" x14ac:dyDescent="0.3">
      <c r="A3977" t="s">
        <v>4898</v>
      </c>
      <c r="B3977">
        <f t="shared" si="1149"/>
        <v>45</v>
      </c>
    </row>
    <row r="3978" spans="1:2" ht="15" customHeight="1" x14ac:dyDescent="0.3">
      <c r="A3978" t="s">
        <v>4899</v>
      </c>
      <c r="B3978">
        <f t="shared" si="1149"/>
        <v>40</v>
      </c>
    </row>
    <row r="3979" spans="1:2" ht="15" customHeight="1" x14ac:dyDescent="0.3">
      <c r="A3979" t="s">
        <v>4900</v>
      </c>
      <c r="B3979">
        <f t="shared" si="1149"/>
        <v>0</v>
      </c>
    </row>
    <row r="3980" spans="1:2" ht="15" customHeight="1" x14ac:dyDescent="0.3">
      <c r="A3980" t="s">
        <v>4904</v>
      </c>
      <c r="B3980">
        <f t="shared" si="1149"/>
        <v>0</v>
      </c>
    </row>
    <row r="3981" spans="1:2" ht="15" customHeight="1" x14ac:dyDescent="0.3">
      <c r="A3981" t="s">
        <v>4905</v>
      </c>
      <c r="B3981">
        <f t="shared" ref="B3981:B4012" si="1150">B3922</f>
        <v>40</v>
      </c>
    </row>
    <row r="3982" spans="1:2" ht="15" customHeight="1" x14ac:dyDescent="0.3">
      <c r="A3982" t="s">
        <v>4906</v>
      </c>
      <c r="B3982">
        <f t="shared" si="1150"/>
        <v>45</v>
      </c>
    </row>
    <row r="3983" spans="1:2" ht="15" customHeight="1" x14ac:dyDescent="0.3">
      <c r="A3983" t="s">
        <v>4907</v>
      </c>
      <c r="B3983">
        <f t="shared" si="1150"/>
        <v>60</v>
      </c>
    </row>
    <row r="3984" spans="1:2" ht="15" customHeight="1" x14ac:dyDescent="0.3">
      <c r="A3984" t="s">
        <v>4908</v>
      </c>
      <c r="B3984">
        <f t="shared" si="1150"/>
        <v>60</v>
      </c>
    </row>
    <row r="3985" spans="1:2" ht="15" customHeight="1" x14ac:dyDescent="0.3">
      <c r="A3985" t="s">
        <v>4909</v>
      </c>
      <c r="B3985">
        <f t="shared" si="1150"/>
        <v>60</v>
      </c>
    </row>
    <row r="3986" spans="1:2" ht="15" customHeight="1" x14ac:dyDescent="0.3">
      <c r="A3986" t="s">
        <v>4910</v>
      </c>
      <c r="B3986">
        <f t="shared" si="1150"/>
        <v>60</v>
      </c>
    </row>
    <row r="3987" spans="1:2" ht="15" customHeight="1" x14ac:dyDescent="0.3">
      <c r="A3987" t="s">
        <v>4911</v>
      </c>
      <c r="B3987">
        <f t="shared" si="1150"/>
        <v>70</v>
      </c>
    </row>
    <row r="3988" spans="1:2" ht="15" customHeight="1" x14ac:dyDescent="0.3">
      <c r="A3988" t="s">
        <v>4912</v>
      </c>
      <c r="B3988">
        <f t="shared" si="1150"/>
        <v>90</v>
      </c>
    </row>
    <row r="3989" spans="1:2" ht="15" customHeight="1" x14ac:dyDescent="0.3">
      <c r="A3989" t="s">
        <v>4913</v>
      </c>
      <c r="B3989">
        <f t="shared" si="1150"/>
        <v>90</v>
      </c>
    </row>
    <row r="3990" spans="1:2" ht="15" customHeight="1" x14ac:dyDescent="0.3">
      <c r="A3990" t="s">
        <v>4914</v>
      </c>
      <c r="B3990">
        <f t="shared" si="1150"/>
        <v>25</v>
      </c>
    </row>
    <row r="3991" spans="1:2" ht="15" customHeight="1" x14ac:dyDescent="0.3">
      <c r="A3991" t="s">
        <v>4915</v>
      </c>
      <c r="B3991">
        <f t="shared" si="1150"/>
        <v>25</v>
      </c>
    </row>
    <row r="3992" spans="1:2" ht="15" customHeight="1" x14ac:dyDescent="0.3">
      <c r="A3992" t="s">
        <v>4916</v>
      </c>
      <c r="B3992">
        <f t="shared" si="1150"/>
        <v>25</v>
      </c>
    </row>
    <row r="3993" spans="1:2" ht="15" customHeight="1" x14ac:dyDescent="0.3">
      <c r="A3993" t="s">
        <v>4917</v>
      </c>
      <c r="B3993">
        <f t="shared" si="1150"/>
        <v>30</v>
      </c>
    </row>
    <row r="3994" spans="1:2" ht="15" customHeight="1" x14ac:dyDescent="0.3">
      <c r="A3994" t="s">
        <v>4918</v>
      </c>
      <c r="B3994">
        <f t="shared" si="1150"/>
        <v>30</v>
      </c>
    </row>
    <row r="3995" spans="1:2" ht="15" customHeight="1" x14ac:dyDescent="0.3">
      <c r="A3995" t="s">
        <v>4919</v>
      </c>
      <c r="B3995">
        <f t="shared" si="1150"/>
        <v>45</v>
      </c>
    </row>
    <row r="3996" spans="1:2" ht="15" customHeight="1" x14ac:dyDescent="0.3">
      <c r="A3996" t="s">
        <v>4920</v>
      </c>
      <c r="B3996">
        <f t="shared" si="1150"/>
        <v>35</v>
      </c>
    </row>
    <row r="3997" spans="1:2" ht="15" customHeight="1" x14ac:dyDescent="0.3">
      <c r="A3997" t="s">
        <v>4921</v>
      </c>
      <c r="B3997">
        <f t="shared" si="1150"/>
        <v>35</v>
      </c>
    </row>
    <row r="3998" spans="1:2" ht="15" customHeight="1" x14ac:dyDescent="0.3">
      <c r="A3998" t="s">
        <v>4922</v>
      </c>
      <c r="B3998">
        <f t="shared" si="1150"/>
        <v>35</v>
      </c>
    </row>
    <row r="3999" spans="1:2" ht="15" customHeight="1" x14ac:dyDescent="0.3">
      <c r="A3999" t="s">
        <v>4923</v>
      </c>
      <c r="B3999">
        <f t="shared" si="1150"/>
        <v>35</v>
      </c>
    </row>
    <row r="4000" spans="1:2" ht="15" customHeight="1" x14ac:dyDescent="0.3">
      <c r="A4000" t="s">
        <v>4924</v>
      </c>
      <c r="B4000">
        <f t="shared" si="1150"/>
        <v>40</v>
      </c>
    </row>
    <row r="4001" spans="1:2" ht="15" customHeight="1" x14ac:dyDescent="0.3">
      <c r="A4001" t="s">
        <v>4925</v>
      </c>
      <c r="B4001">
        <f t="shared" si="1150"/>
        <v>40</v>
      </c>
    </row>
    <row r="4002" spans="1:2" ht="15" customHeight="1" x14ac:dyDescent="0.3">
      <c r="A4002" t="s">
        <v>4926</v>
      </c>
      <c r="B4002">
        <f t="shared" si="1150"/>
        <v>45</v>
      </c>
    </row>
    <row r="4003" spans="1:2" ht="15" customHeight="1" x14ac:dyDescent="0.3">
      <c r="A4003" t="s">
        <v>4927</v>
      </c>
      <c r="B4003">
        <f t="shared" si="1150"/>
        <v>40</v>
      </c>
    </row>
    <row r="4004" spans="1:2" ht="15" customHeight="1" x14ac:dyDescent="0.3">
      <c r="A4004" t="s">
        <v>4928</v>
      </c>
      <c r="B4004">
        <f t="shared" si="1150"/>
        <v>35</v>
      </c>
    </row>
    <row r="4005" spans="1:2" ht="15" customHeight="1" x14ac:dyDescent="0.3">
      <c r="A4005" t="s">
        <v>4929</v>
      </c>
      <c r="B4005">
        <f t="shared" si="1150"/>
        <v>35</v>
      </c>
    </row>
    <row r="4006" spans="1:2" ht="15" customHeight="1" x14ac:dyDescent="0.3">
      <c r="A4006" t="s">
        <v>4930</v>
      </c>
      <c r="B4006">
        <f t="shared" si="1150"/>
        <v>35</v>
      </c>
    </row>
    <row r="4007" spans="1:2" ht="15" customHeight="1" x14ac:dyDescent="0.3">
      <c r="A4007" t="s">
        <v>4931</v>
      </c>
      <c r="B4007">
        <f t="shared" si="1150"/>
        <v>45</v>
      </c>
    </row>
    <row r="4008" spans="1:2" ht="15" customHeight="1" x14ac:dyDescent="0.3">
      <c r="A4008" t="s">
        <v>4932</v>
      </c>
      <c r="B4008">
        <f t="shared" si="1150"/>
        <v>40</v>
      </c>
    </row>
    <row r="4009" spans="1:2" ht="15" customHeight="1" x14ac:dyDescent="0.3">
      <c r="A4009" t="s">
        <v>4933</v>
      </c>
      <c r="B4009">
        <f t="shared" si="1150"/>
        <v>0</v>
      </c>
    </row>
    <row r="4010" spans="1:2" ht="15" customHeight="1" x14ac:dyDescent="0.3">
      <c r="A4010" t="s">
        <v>4934</v>
      </c>
      <c r="B4010">
        <f t="shared" si="1150"/>
        <v>0</v>
      </c>
    </row>
    <row r="4011" spans="1:2" ht="15" customHeight="1" x14ac:dyDescent="0.3">
      <c r="A4011" t="s">
        <v>4935</v>
      </c>
      <c r="B4011">
        <f t="shared" si="1150"/>
        <v>40</v>
      </c>
    </row>
    <row r="4012" spans="1:2" ht="15" customHeight="1" x14ac:dyDescent="0.3">
      <c r="A4012" t="s">
        <v>4936</v>
      </c>
      <c r="B4012">
        <f t="shared" si="1150"/>
        <v>45</v>
      </c>
    </row>
    <row r="4013" spans="1:2" ht="15" customHeight="1" x14ac:dyDescent="0.3">
      <c r="A4013" t="s">
        <v>4937</v>
      </c>
      <c r="B4013">
        <f t="shared" ref="B4013:B4039" si="1151">B3954</f>
        <v>60</v>
      </c>
    </row>
    <row r="4014" spans="1:2" ht="15" customHeight="1" x14ac:dyDescent="0.3">
      <c r="A4014" t="s">
        <v>4938</v>
      </c>
      <c r="B4014">
        <f t="shared" si="1151"/>
        <v>60</v>
      </c>
    </row>
    <row r="4015" spans="1:2" ht="15" customHeight="1" x14ac:dyDescent="0.3">
      <c r="A4015" t="s">
        <v>4939</v>
      </c>
      <c r="B4015">
        <f t="shared" si="1151"/>
        <v>60</v>
      </c>
    </row>
    <row r="4016" spans="1:2" ht="15" customHeight="1" x14ac:dyDescent="0.3">
      <c r="A4016" t="s">
        <v>4940</v>
      </c>
      <c r="B4016">
        <f t="shared" si="1151"/>
        <v>60</v>
      </c>
    </row>
    <row r="4017" spans="1:2" ht="15" customHeight="1" x14ac:dyDescent="0.3">
      <c r="A4017" t="s">
        <v>4941</v>
      </c>
      <c r="B4017">
        <f t="shared" si="1151"/>
        <v>70</v>
      </c>
    </row>
    <row r="4018" spans="1:2" ht="15" customHeight="1" x14ac:dyDescent="0.3">
      <c r="A4018" t="s">
        <v>4942</v>
      </c>
      <c r="B4018">
        <f t="shared" si="1151"/>
        <v>90</v>
      </c>
    </row>
    <row r="4019" spans="1:2" ht="15" customHeight="1" x14ac:dyDescent="0.3">
      <c r="A4019" t="s">
        <v>4943</v>
      </c>
      <c r="B4019">
        <f t="shared" si="1151"/>
        <v>90</v>
      </c>
    </row>
    <row r="4020" spans="1:2" ht="15" customHeight="1" x14ac:dyDescent="0.3">
      <c r="A4020" t="s">
        <v>4944</v>
      </c>
      <c r="B4020">
        <f t="shared" si="1151"/>
        <v>25</v>
      </c>
    </row>
    <row r="4021" spans="1:2" ht="15" customHeight="1" x14ac:dyDescent="0.3">
      <c r="A4021" t="s">
        <v>4945</v>
      </c>
      <c r="B4021">
        <f t="shared" si="1151"/>
        <v>25</v>
      </c>
    </row>
    <row r="4022" spans="1:2" ht="15" customHeight="1" x14ac:dyDescent="0.3">
      <c r="A4022" t="s">
        <v>4946</v>
      </c>
      <c r="B4022">
        <f t="shared" si="1151"/>
        <v>25</v>
      </c>
    </row>
    <row r="4023" spans="1:2" ht="15" customHeight="1" x14ac:dyDescent="0.3">
      <c r="A4023" t="s">
        <v>4947</v>
      </c>
      <c r="B4023">
        <f t="shared" si="1151"/>
        <v>30</v>
      </c>
    </row>
    <row r="4024" spans="1:2" ht="15" customHeight="1" x14ac:dyDescent="0.3">
      <c r="A4024" t="s">
        <v>4948</v>
      </c>
      <c r="B4024">
        <f t="shared" si="1151"/>
        <v>30</v>
      </c>
    </row>
    <row r="4025" spans="1:2" ht="15" customHeight="1" x14ac:dyDescent="0.3">
      <c r="A4025" t="s">
        <v>4949</v>
      </c>
      <c r="B4025">
        <f t="shared" si="1151"/>
        <v>45</v>
      </c>
    </row>
    <row r="4026" spans="1:2" ht="15" customHeight="1" x14ac:dyDescent="0.3">
      <c r="A4026" t="s">
        <v>4950</v>
      </c>
      <c r="B4026">
        <f t="shared" si="1151"/>
        <v>35</v>
      </c>
    </row>
    <row r="4027" spans="1:2" ht="15" customHeight="1" x14ac:dyDescent="0.3">
      <c r="A4027" t="s">
        <v>4951</v>
      </c>
      <c r="B4027">
        <f t="shared" si="1151"/>
        <v>35</v>
      </c>
    </row>
    <row r="4028" spans="1:2" ht="15" customHeight="1" x14ac:dyDescent="0.3">
      <c r="A4028" t="s">
        <v>4952</v>
      </c>
      <c r="B4028">
        <f t="shared" si="1151"/>
        <v>35</v>
      </c>
    </row>
    <row r="4029" spans="1:2" ht="15" customHeight="1" x14ac:dyDescent="0.3">
      <c r="A4029" t="s">
        <v>4953</v>
      </c>
      <c r="B4029">
        <f t="shared" si="1151"/>
        <v>40</v>
      </c>
    </row>
    <row r="4030" spans="1:2" ht="15" customHeight="1" x14ac:dyDescent="0.3">
      <c r="A4030" t="s">
        <v>4954</v>
      </c>
      <c r="B4030">
        <f t="shared" si="1151"/>
        <v>40</v>
      </c>
    </row>
    <row r="4031" spans="1:2" ht="15" customHeight="1" x14ac:dyDescent="0.3">
      <c r="A4031" t="s">
        <v>4955</v>
      </c>
      <c r="B4031">
        <f t="shared" si="1151"/>
        <v>45</v>
      </c>
    </row>
    <row r="4032" spans="1:2" ht="15" customHeight="1" x14ac:dyDescent="0.3">
      <c r="A4032" t="s">
        <v>4956</v>
      </c>
      <c r="B4032">
        <f t="shared" si="1151"/>
        <v>40</v>
      </c>
    </row>
    <row r="4033" spans="1:2" ht="15" customHeight="1" x14ac:dyDescent="0.3">
      <c r="A4033" t="s">
        <v>4957</v>
      </c>
      <c r="B4033">
        <f t="shared" si="1151"/>
        <v>35</v>
      </c>
    </row>
    <row r="4034" spans="1:2" ht="15" customHeight="1" x14ac:dyDescent="0.3">
      <c r="A4034" t="s">
        <v>4958</v>
      </c>
      <c r="B4034">
        <f t="shared" si="1151"/>
        <v>35</v>
      </c>
    </row>
    <row r="4035" spans="1:2" ht="15" customHeight="1" x14ac:dyDescent="0.3">
      <c r="A4035" t="s">
        <v>4959</v>
      </c>
      <c r="B4035">
        <f t="shared" si="1151"/>
        <v>35</v>
      </c>
    </row>
    <row r="4036" spans="1:2" ht="15" customHeight="1" x14ac:dyDescent="0.3">
      <c r="A4036" t="s">
        <v>4960</v>
      </c>
      <c r="B4036">
        <f t="shared" si="1151"/>
        <v>45</v>
      </c>
    </row>
    <row r="4037" spans="1:2" ht="15" customHeight="1" x14ac:dyDescent="0.3">
      <c r="A4037" t="s">
        <v>4961</v>
      </c>
      <c r="B4037">
        <f t="shared" si="1151"/>
        <v>40</v>
      </c>
    </row>
    <row r="4038" spans="1:2" ht="15" customHeight="1" x14ac:dyDescent="0.3">
      <c r="A4038" t="s">
        <v>4962</v>
      </c>
      <c r="B4038">
        <f t="shared" si="1151"/>
        <v>0</v>
      </c>
    </row>
    <row r="4039" spans="1:2" ht="15" customHeight="1" x14ac:dyDescent="0.3">
      <c r="A4039" t="s">
        <v>4963</v>
      </c>
      <c r="B4039">
        <f t="shared" si="1151"/>
        <v>0</v>
      </c>
    </row>
    <row r="4040" spans="1:2" ht="15" customHeight="1" x14ac:dyDescent="0.3">
      <c r="A4040" t="s">
        <v>1207</v>
      </c>
      <c r="B4040">
        <f>F1347</f>
        <v>0</v>
      </c>
    </row>
    <row r="4041" spans="1:2" ht="15" customHeight="1" x14ac:dyDescent="0.3">
      <c r="A4041" s="23" t="s">
        <v>4968</v>
      </c>
      <c r="B4041">
        <f>F1348</f>
        <v>190</v>
      </c>
    </row>
    <row r="4042" spans="1:2" ht="15" customHeight="1" x14ac:dyDescent="0.3">
      <c r="A4042" s="23" t="s">
        <v>4969</v>
      </c>
      <c r="B4042">
        <f t="shared" ref="B4042:B4057" si="1152">F1348</f>
        <v>190</v>
      </c>
    </row>
    <row r="4043" spans="1:2" ht="15" customHeight="1" x14ac:dyDescent="0.3">
      <c r="A4043" t="s">
        <v>1209</v>
      </c>
      <c r="B4043">
        <f t="shared" si="1152"/>
        <v>120</v>
      </c>
    </row>
    <row r="4044" spans="1:2" ht="15" customHeight="1" x14ac:dyDescent="0.3">
      <c r="A4044" t="s">
        <v>1210</v>
      </c>
      <c r="B4044">
        <f t="shared" si="1152"/>
        <v>120</v>
      </c>
    </row>
    <row r="4045" spans="1:2" ht="15" customHeight="1" x14ac:dyDescent="0.3">
      <c r="A4045" t="s">
        <v>1211</v>
      </c>
      <c r="B4045">
        <f t="shared" si="1152"/>
        <v>160</v>
      </c>
    </row>
    <row r="4046" spans="1:2" ht="15" customHeight="1" x14ac:dyDescent="0.3">
      <c r="A4046" t="s">
        <v>1212</v>
      </c>
      <c r="B4046">
        <f t="shared" si="1152"/>
        <v>180</v>
      </c>
    </row>
    <row r="4047" spans="1:2" ht="15" customHeight="1" x14ac:dyDescent="0.3">
      <c r="A4047" t="s">
        <v>1213</v>
      </c>
      <c r="B4047">
        <f t="shared" si="1152"/>
        <v>195</v>
      </c>
    </row>
    <row r="4048" spans="1:2" ht="15" customHeight="1" x14ac:dyDescent="0.3">
      <c r="A4048" t="s">
        <v>1214</v>
      </c>
      <c r="B4048">
        <f t="shared" si="1152"/>
        <v>0</v>
      </c>
    </row>
    <row r="4049" spans="1:2" ht="15" customHeight="1" x14ac:dyDescent="0.3">
      <c r="A4049" t="s">
        <v>1215</v>
      </c>
      <c r="B4049">
        <f t="shared" si="1152"/>
        <v>50</v>
      </c>
    </row>
    <row r="4050" spans="1:2" ht="15" customHeight="1" x14ac:dyDescent="0.3">
      <c r="A4050" t="s">
        <v>1216</v>
      </c>
      <c r="B4050">
        <f t="shared" si="1152"/>
        <v>50</v>
      </c>
    </row>
    <row r="4051" spans="1:2" ht="15" customHeight="1" x14ac:dyDescent="0.3">
      <c r="A4051" t="s">
        <v>1217</v>
      </c>
      <c r="B4051">
        <f t="shared" si="1152"/>
        <v>50</v>
      </c>
    </row>
    <row r="4052" spans="1:2" ht="15" customHeight="1" x14ac:dyDescent="0.3">
      <c r="A4052" t="s">
        <v>1218</v>
      </c>
      <c r="B4052">
        <f t="shared" si="1152"/>
        <v>50</v>
      </c>
    </row>
    <row r="4053" spans="1:2" ht="15" customHeight="1" x14ac:dyDescent="0.3">
      <c r="A4053" s="23" t="s">
        <v>4970</v>
      </c>
      <c r="B4053">
        <f t="shared" si="1152"/>
        <v>0</v>
      </c>
    </row>
    <row r="4054" spans="1:2" ht="15" customHeight="1" x14ac:dyDescent="0.3">
      <c r="A4054" t="s">
        <v>1220</v>
      </c>
      <c r="B4054">
        <f t="shared" si="1152"/>
        <v>35</v>
      </c>
    </row>
    <row r="4055" spans="1:2" ht="15" customHeight="1" x14ac:dyDescent="0.3">
      <c r="A4055" t="s">
        <v>1221</v>
      </c>
      <c r="B4055">
        <f t="shared" si="1152"/>
        <v>40</v>
      </c>
    </row>
    <row r="4056" spans="1:2" ht="15" customHeight="1" x14ac:dyDescent="0.3">
      <c r="A4056" s="23" t="s">
        <v>4971</v>
      </c>
      <c r="B4056">
        <f t="shared" si="1152"/>
        <v>35</v>
      </c>
    </row>
    <row r="4057" spans="1:2" ht="15" customHeight="1" x14ac:dyDescent="0.3">
      <c r="A4057" t="s">
        <v>1223</v>
      </c>
      <c r="B4057">
        <f t="shared" si="1152"/>
        <v>75</v>
      </c>
    </row>
    <row r="4058" spans="1:2" ht="15" customHeight="1" x14ac:dyDescent="0.3">
      <c r="A4058" s="23" t="s">
        <v>4972</v>
      </c>
      <c r="B4058">
        <f>F1362</f>
        <v>35</v>
      </c>
    </row>
    <row r="4059" spans="1:2" ht="15" customHeight="1" x14ac:dyDescent="0.3">
      <c r="A4059" t="s">
        <v>1224</v>
      </c>
      <c r="B4059">
        <f t="shared" ref="B4059:B4072" si="1153">F1364</f>
        <v>35</v>
      </c>
    </row>
    <row r="4060" spans="1:2" ht="15" customHeight="1" x14ac:dyDescent="0.3">
      <c r="A4060" t="s">
        <v>1225</v>
      </c>
      <c r="B4060">
        <f t="shared" si="1153"/>
        <v>35</v>
      </c>
    </row>
    <row r="4061" spans="1:2" ht="15" customHeight="1" x14ac:dyDescent="0.3">
      <c r="A4061" t="s">
        <v>1226</v>
      </c>
      <c r="B4061">
        <f t="shared" si="1153"/>
        <v>30</v>
      </c>
    </row>
    <row r="4062" spans="1:2" ht="15" customHeight="1" x14ac:dyDescent="0.3">
      <c r="A4062" t="s">
        <v>1227</v>
      </c>
      <c r="B4062">
        <f t="shared" si="1153"/>
        <v>40</v>
      </c>
    </row>
    <row r="4063" spans="1:2" ht="15" customHeight="1" x14ac:dyDescent="0.3">
      <c r="A4063" t="s">
        <v>1228</v>
      </c>
      <c r="B4063">
        <f t="shared" si="1153"/>
        <v>0</v>
      </c>
    </row>
    <row r="4064" spans="1:2" ht="15" customHeight="1" x14ac:dyDescent="0.3">
      <c r="A4064" t="s">
        <v>1229</v>
      </c>
      <c r="B4064">
        <f t="shared" si="1153"/>
        <v>40</v>
      </c>
    </row>
    <row r="4065" spans="1:2" ht="15" customHeight="1" x14ac:dyDescent="0.3">
      <c r="A4065" t="s">
        <v>1230</v>
      </c>
      <c r="B4065">
        <f t="shared" si="1153"/>
        <v>40</v>
      </c>
    </row>
    <row r="4066" spans="1:2" ht="15" customHeight="1" x14ac:dyDescent="0.3">
      <c r="A4066" t="s">
        <v>1231</v>
      </c>
      <c r="B4066">
        <f t="shared" si="1153"/>
        <v>80</v>
      </c>
    </row>
    <row r="4067" spans="1:2" ht="15" customHeight="1" x14ac:dyDescent="0.3">
      <c r="A4067" t="s">
        <v>1232</v>
      </c>
      <c r="B4067">
        <f t="shared" si="1153"/>
        <v>50</v>
      </c>
    </row>
    <row r="4068" spans="1:2" ht="15" customHeight="1" x14ac:dyDescent="0.3">
      <c r="A4068" t="s">
        <v>1233</v>
      </c>
      <c r="B4068">
        <f t="shared" si="1153"/>
        <v>50</v>
      </c>
    </row>
    <row r="4069" spans="1:2" ht="15" customHeight="1" x14ac:dyDescent="0.3">
      <c r="A4069" t="s">
        <v>1234</v>
      </c>
      <c r="B4069">
        <f t="shared" si="1153"/>
        <v>65</v>
      </c>
    </row>
    <row r="4070" spans="1:2" ht="15" customHeight="1" x14ac:dyDescent="0.3">
      <c r="A4070" t="s">
        <v>1235</v>
      </c>
      <c r="B4070">
        <f t="shared" si="1153"/>
        <v>70</v>
      </c>
    </row>
    <row r="4071" spans="1:2" ht="15" customHeight="1" x14ac:dyDescent="0.3">
      <c r="A4071" t="s">
        <v>1236</v>
      </c>
      <c r="B4071">
        <f t="shared" si="1153"/>
        <v>70</v>
      </c>
    </row>
    <row r="4072" spans="1:2" ht="15" customHeight="1" x14ac:dyDescent="0.3">
      <c r="A4072" t="s">
        <v>1237</v>
      </c>
      <c r="B4072">
        <f t="shared" si="1153"/>
        <v>0</v>
      </c>
    </row>
    <row r="4073" spans="1:2" ht="15" customHeight="1" x14ac:dyDescent="0.3">
      <c r="A4073" t="s">
        <v>4991</v>
      </c>
      <c r="B4073">
        <f t="shared" ref="B4073:B4085" si="1154">B4040</f>
        <v>0</v>
      </c>
    </row>
    <row r="4074" spans="1:2" ht="15" customHeight="1" x14ac:dyDescent="0.3">
      <c r="A4074" s="23" t="s">
        <v>4992</v>
      </c>
      <c r="B4074">
        <f t="shared" si="1154"/>
        <v>190</v>
      </c>
    </row>
    <row r="4075" spans="1:2" ht="15" customHeight="1" x14ac:dyDescent="0.3">
      <c r="A4075" s="23" t="s">
        <v>4993</v>
      </c>
      <c r="B4075">
        <f t="shared" si="1154"/>
        <v>190</v>
      </c>
    </row>
    <row r="4076" spans="1:2" ht="15" customHeight="1" x14ac:dyDescent="0.3">
      <c r="A4076" t="s">
        <v>4994</v>
      </c>
      <c r="B4076">
        <f t="shared" si="1154"/>
        <v>120</v>
      </c>
    </row>
    <row r="4077" spans="1:2" ht="15" customHeight="1" x14ac:dyDescent="0.3">
      <c r="A4077" t="s">
        <v>4995</v>
      </c>
      <c r="B4077">
        <f t="shared" si="1154"/>
        <v>120</v>
      </c>
    </row>
    <row r="4078" spans="1:2" ht="15" customHeight="1" x14ac:dyDescent="0.3">
      <c r="A4078" t="s">
        <v>4996</v>
      </c>
      <c r="B4078">
        <f t="shared" si="1154"/>
        <v>160</v>
      </c>
    </row>
    <row r="4079" spans="1:2" ht="15" customHeight="1" x14ac:dyDescent="0.3">
      <c r="A4079" t="s">
        <v>4997</v>
      </c>
      <c r="B4079">
        <f t="shared" si="1154"/>
        <v>180</v>
      </c>
    </row>
    <row r="4080" spans="1:2" ht="15" customHeight="1" x14ac:dyDescent="0.3">
      <c r="A4080" t="s">
        <v>4998</v>
      </c>
      <c r="B4080">
        <f t="shared" si="1154"/>
        <v>195</v>
      </c>
    </row>
    <row r="4081" spans="1:2" ht="15" customHeight="1" x14ac:dyDescent="0.3">
      <c r="A4081" t="s">
        <v>4999</v>
      </c>
      <c r="B4081">
        <f t="shared" si="1154"/>
        <v>0</v>
      </c>
    </row>
    <row r="4082" spans="1:2" ht="15" customHeight="1" x14ac:dyDescent="0.3">
      <c r="A4082" t="s">
        <v>4964</v>
      </c>
      <c r="B4082">
        <f t="shared" si="1154"/>
        <v>50</v>
      </c>
    </row>
    <row r="4083" spans="1:2" ht="15" customHeight="1" x14ac:dyDescent="0.3">
      <c r="A4083" t="s">
        <v>4965</v>
      </c>
      <c r="B4083">
        <f t="shared" si="1154"/>
        <v>50</v>
      </c>
    </row>
    <row r="4084" spans="1:2" ht="15" customHeight="1" x14ac:dyDescent="0.3">
      <c r="A4084" t="s">
        <v>4966</v>
      </c>
      <c r="B4084">
        <f t="shared" si="1154"/>
        <v>50</v>
      </c>
    </row>
    <row r="4085" spans="1:2" ht="15" customHeight="1" x14ac:dyDescent="0.3">
      <c r="A4085" t="s">
        <v>4967</v>
      </c>
      <c r="B4085">
        <f t="shared" si="1154"/>
        <v>50</v>
      </c>
    </row>
    <row r="4086" spans="1:2" ht="15" customHeight="1" x14ac:dyDescent="0.3">
      <c r="A4086" t="s">
        <v>4973</v>
      </c>
      <c r="B4086">
        <f t="shared" ref="B4086:B4104" si="1155">B4054</f>
        <v>35</v>
      </c>
    </row>
    <row r="4087" spans="1:2" ht="15" customHeight="1" x14ac:dyDescent="0.3">
      <c r="A4087" t="s">
        <v>4974</v>
      </c>
      <c r="B4087">
        <f t="shared" si="1155"/>
        <v>40</v>
      </c>
    </row>
    <row r="4088" spans="1:2" ht="15" customHeight="1" x14ac:dyDescent="0.3">
      <c r="A4088" s="23" t="s">
        <v>4975</v>
      </c>
      <c r="B4088">
        <f t="shared" si="1155"/>
        <v>35</v>
      </c>
    </row>
    <row r="4089" spans="1:2" ht="15" customHeight="1" x14ac:dyDescent="0.3">
      <c r="A4089" t="s">
        <v>4976</v>
      </c>
      <c r="B4089">
        <f t="shared" si="1155"/>
        <v>75</v>
      </c>
    </row>
    <row r="4090" spans="1:2" ht="15" customHeight="1" x14ac:dyDescent="0.3">
      <c r="A4090" s="23" t="s">
        <v>4977</v>
      </c>
      <c r="B4090">
        <f t="shared" si="1155"/>
        <v>35</v>
      </c>
    </row>
    <row r="4091" spans="1:2" ht="15" customHeight="1" x14ac:dyDescent="0.3">
      <c r="A4091" t="s">
        <v>4978</v>
      </c>
      <c r="B4091">
        <f t="shared" si="1155"/>
        <v>35</v>
      </c>
    </row>
    <row r="4092" spans="1:2" ht="15" customHeight="1" x14ac:dyDescent="0.3">
      <c r="A4092" t="s">
        <v>4979</v>
      </c>
      <c r="B4092">
        <f t="shared" si="1155"/>
        <v>35</v>
      </c>
    </row>
    <row r="4093" spans="1:2" ht="15" customHeight="1" x14ac:dyDescent="0.3">
      <c r="A4093" t="s">
        <v>4980</v>
      </c>
      <c r="B4093">
        <f t="shared" si="1155"/>
        <v>30</v>
      </c>
    </row>
    <row r="4094" spans="1:2" ht="15" customHeight="1" x14ac:dyDescent="0.3">
      <c r="A4094" t="s">
        <v>4981</v>
      </c>
      <c r="B4094">
        <f t="shared" si="1155"/>
        <v>40</v>
      </c>
    </row>
    <row r="4095" spans="1:2" ht="15" customHeight="1" x14ac:dyDescent="0.3">
      <c r="A4095" t="s">
        <v>4982</v>
      </c>
      <c r="B4095">
        <f t="shared" si="1155"/>
        <v>0</v>
      </c>
    </row>
    <row r="4096" spans="1:2" ht="15" customHeight="1" x14ac:dyDescent="0.3">
      <c r="A4096" t="s">
        <v>4983</v>
      </c>
      <c r="B4096">
        <f t="shared" si="1155"/>
        <v>40</v>
      </c>
    </row>
    <row r="4097" spans="1:2" ht="15" customHeight="1" x14ac:dyDescent="0.3">
      <c r="A4097" t="s">
        <v>4984</v>
      </c>
      <c r="B4097">
        <f t="shared" si="1155"/>
        <v>40</v>
      </c>
    </row>
    <row r="4098" spans="1:2" ht="15" customHeight="1" x14ac:dyDescent="0.3">
      <c r="A4098" t="s">
        <v>4985</v>
      </c>
      <c r="B4098">
        <f t="shared" si="1155"/>
        <v>80</v>
      </c>
    </row>
    <row r="4099" spans="1:2" ht="15" customHeight="1" x14ac:dyDescent="0.3">
      <c r="A4099" t="s">
        <v>4986</v>
      </c>
      <c r="B4099">
        <f t="shared" si="1155"/>
        <v>50</v>
      </c>
    </row>
    <row r="4100" spans="1:2" ht="15" customHeight="1" x14ac:dyDescent="0.3">
      <c r="A4100" t="s">
        <v>4987</v>
      </c>
      <c r="B4100">
        <f t="shared" si="1155"/>
        <v>50</v>
      </c>
    </row>
    <row r="4101" spans="1:2" ht="15" customHeight="1" x14ac:dyDescent="0.3">
      <c r="A4101" t="s">
        <v>4988</v>
      </c>
      <c r="B4101">
        <f t="shared" si="1155"/>
        <v>65</v>
      </c>
    </row>
    <row r="4102" spans="1:2" ht="15" customHeight="1" x14ac:dyDescent="0.3">
      <c r="A4102" t="s">
        <v>4989</v>
      </c>
      <c r="B4102">
        <f t="shared" si="1155"/>
        <v>70</v>
      </c>
    </row>
    <row r="4103" spans="1:2" ht="15" customHeight="1" x14ac:dyDescent="0.3">
      <c r="A4103" t="s">
        <v>4990</v>
      </c>
      <c r="B4103">
        <f t="shared" si="1155"/>
        <v>70</v>
      </c>
    </row>
    <row r="4104" spans="1:2" ht="15" customHeight="1" x14ac:dyDescent="0.3">
      <c r="A4104" t="s">
        <v>5000</v>
      </c>
      <c r="B4104">
        <f t="shared" si="1155"/>
        <v>0</v>
      </c>
    </row>
    <row r="4105" spans="1:2" ht="15" customHeight="1" x14ac:dyDescent="0.3">
      <c r="A4105" t="s">
        <v>5001</v>
      </c>
      <c r="B4105">
        <f t="shared" ref="B4105:B4136" si="1156">B4040</f>
        <v>0</v>
      </c>
    </row>
    <row r="4106" spans="1:2" ht="15" customHeight="1" x14ac:dyDescent="0.3">
      <c r="A4106" t="s">
        <v>5002</v>
      </c>
      <c r="B4106">
        <f t="shared" si="1156"/>
        <v>190</v>
      </c>
    </row>
    <row r="4107" spans="1:2" ht="15" customHeight="1" x14ac:dyDescent="0.3">
      <c r="A4107" t="s">
        <v>5003</v>
      </c>
      <c r="B4107">
        <f t="shared" si="1156"/>
        <v>190</v>
      </c>
    </row>
    <row r="4108" spans="1:2" ht="15" customHeight="1" x14ac:dyDescent="0.3">
      <c r="A4108" t="s">
        <v>5004</v>
      </c>
      <c r="B4108">
        <f t="shared" si="1156"/>
        <v>120</v>
      </c>
    </row>
    <row r="4109" spans="1:2" ht="15" customHeight="1" x14ac:dyDescent="0.3">
      <c r="A4109" t="s">
        <v>5005</v>
      </c>
      <c r="B4109">
        <f t="shared" si="1156"/>
        <v>120</v>
      </c>
    </row>
    <row r="4110" spans="1:2" ht="15" customHeight="1" x14ac:dyDescent="0.3">
      <c r="A4110" t="s">
        <v>5006</v>
      </c>
      <c r="B4110">
        <f t="shared" si="1156"/>
        <v>160</v>
      </c>
    </row>
    <row r="4111" spans="1:2" ht="15" customHeight="1" x14ac:dyDescent="0.3">
      <c r="A4111" t="s">
        <v>5007</v>
      </c>
      <c r="B4111">
        <f t="shared" si="1156"/>
        <v>180</v>
      </c>
    </row>
    <row r="4112" spans="1:2" ht="15" customHeight="1" x14ac:dyDescent="0.3">
      <c r="A4112" t="s">
        <v>5008</v>
      </c>
      <c r="B4112">
        <f t="shared" si="1156"/>
        <v>195</v>
      </c>
    </row>
    <row r="4113" spans="1:2" ht="15" customHeight="1" x14ac:dyDescent="0.3">
      <c r="A4113" t="s">
        <v>5009</v>
      </c>
      <c r="B4113">
        <f t="shared" si="1156"/>
        <v>0</v>
      </c>
    </row>
    <row r="4114" spans="1:2" ht="15" customHeight="1" x14ac:dyDescent="0.3">
      <c r="A4114" t="s">
        <v>5010</v>
      </c>
      <c r="B4114">
        <f t="shared" si="1156"/>
        <v>50</v>
      </c>
    </row>
    <row r="4115" spans="1:2" ht="15" customHeight="1" x14ac:dyDescent="0.3">
      <c r="A4115" t="s">
        <v>5011</v>
      </c>
      <c r="B4115">
        <f t="shared" si="1156"/>
        <v>50</v>
      </c>
    </row>
    <row r="4116" spans="1:2" ht="15" customHeight="1" x14ac:dyDescent="0.3">
      <c r="A4116" t="s">
        <v>5012</v>
      </c>
      <c r="B4116">
        <f t="shared" si="1156"/>
        <v>50</v>
      </c>
    </row>
    <row r="4117" spans="1:2" ht="15" customHeight="1" x14ac:dyDescent="0.3">
      <c r="A4117" t="s">
        <v>5013</v>
      </c>
      <c r="B4117">
        <f t="shared" si="1156"/>
        <v>50</v>
      </c>
    </row>
    <row r="4118" spans="1:2" ht="15" customHeight="1" x14ac:dyDescent="0.3">
      <c r="A4118" t="s">
        <v>5014</v>
      </c>
      <c r="B4118">
        <f t="shared" si="1156"/>
        <v>0</v>
      </c>
    </row>
    <row r="4119" spans="1:2" ht="15" customHeight="1" x14ac:dyDescent="0.3">
      <c r="A4119" t="s">
        <v>5015</v>
      </c>
      <c r="B4119">
        <f t="shared" si="1156"/>
        <v>35</v>
      </c>
    </row>
    <row r="4120" spans="1:2" ht="15" customHeight="1" x14ac:dyDescent="0.3">
      <c r="A4120" t="s">
        <v>5016</v>
      </c>
      <c r="B4120">
        <f t="shared" si="1156"/>
        <v>40</v>
      </c>
    </row>
    <row r="4121" spans="1:2" ht="15" customHeight="1" x14ac:dyDescent="0.3">
      <c r="A4121" t="s">
        <v>5017</v>
      </c>
      <c r="B4121">
        <f t="shared" si="1156"/>
        <v>35</v>
      </c>
    </row>
    <row r="4122" spans="1:2" ht="15" customHeight="1" x14ac:dyDescent="0.3">
      <c r="A4122" t="s">
        <v>5018</v>
      </c>
      <c r="B4122">
        <f t="shared" si="1156"/>
        <v>75</v>
      </c>
    </row>
    <row r="4123" spans="1:2" ht="15" customHeight="1" x14ac:dyDescent="0.3">
      <c r="A4123" t="s">
        <v>5019</v>
      </c>
      <c r="B4123">
        <f t="shared" si="1156"/>
        <v>35</v>
      </c>
    </row>
    <row r="4124" spans="1:2" ht="15" customHeight="1" x14ac:dyDescent="0.3">
      <c r="A4124" t="s">
        <v>5020</v>
      </c>
      <c r="B4124">
        <f t="shared" si="1156"/>
        <v>35</v>
      </c>
    </row>
    <row r="4125" spans="1:2" ht="15" customHeight="1" x14ac:dyDescent="0.3">
      <c r="A4125" t="s">
        <v>5021</v>
      </c>
      <c r="B4125">
        <f t="shared" si="1156"/>
        <v>35</v>
      </c>
    </row>
    <row r="4126" spans="1:2" ht="15" customHeight="1" x14ac:dyDescent="0.3">
      <c r="A4126" t="s">
        <v>5022</v>
      </c>
      <c r="B4126">
        <f t="shared" si="1156"/>
        <v>30</v>
      </c>
    </row>
    <row r="4127" spans="1:2" ht="15" customHeight="1" x14ac:dyDescent="0.3">
      <c r="A4127" t="s">
        <v>5023</v>
      </c>
      <c r="B4127">
        <f t="shared" si="1156"/>
        <v>40</v>
      </c>
    </row>
    <row r="4128" spans="1:2" ht="15" customHeight="1" x14ac:dyDescent="0.3">
      <c r="A4128" t="s">
        <v>5024</v>
      </c>
      <c r="B4128">
        <f t="shared" si="1156"/>
        <v>0</v>
      </c>
    </row>
    <row r="4129" spans="1:2" ht="15" customHeight="1" x14ac:dyDescent="0.3">
      <c r="A4129" t="s">
        <v>5025</v>
      </c>
      <c r="B4129">
        <f t="shared" si="1156"/>
        <v>40</v>
      </c>
    </row>
    <row r="4130" spans="1:2" ht="15" customHeight="1" x14ac:dyDescent="0.3">
      <c r="A4130" t="s">
        <v>5026</v>
      </c>
      <c r="B4130">
        <f t="shared" si="1156"/>
        <v>40</v>
      </c>
    </row>
    <row r="4131" spans="1:2" ht="15" customHeight="1" x14ac:dyDescent="0.3">
      <c r="A4131" t="s">
        <v>5027</v>
      </c>
      <c r="B4131">
        <f t="shared" si="1156"/>
        <v>80</v>
      </c>
    </row>
    <row r="4132" spans="1:2" ht="15" customHeight="1" x14ac:dyDescent="0.3">
      <c r="A4132" t="s">
        <v>5028</v>
      </c>
      <c r="B4132">
        <f t="shared" si="1156"/>
        <v>50</v>
      </c>
    </row>
    <row r="4133" spans="1:2" ht="15" customHeight="1" x14ac:dyDescent="0.3">
      <c r="A4133" t="s">
        <v>5029</v>
      </c>
      <c r="B4133">
        <f t="shared" si="1156"/>
        <v>50</v>
      </c>
    </row>
    <row r="4134" spans="1:2" ht="15" customHeight="1" x14ac:dyDescent="0.3">
      <c r="A4134" t="s">
        <v>5030</v>
      </c>
      <c r="B4134">
        <f t="shared" si="1156"/>
        <v>65</v>
      </c>
    </row>
    <row r="4135" spans="1:2" ht="15" customHeight="1" x14ac:dyDescent="0.3">
      <c r="A4135" t="s">
        <v>5031</v>
      </c>
      <c r="B4135">
        <f t="shared" si="1156"/>
        <v>70</v>
      </c>
    </row>
    <row r="4136" spans="1:2" ht="15" customHeight="1" x14ac:dyDescent="0.3">
      <c r="A4136" t="s">
        <v>5032</v>
      </c>
      <c r="B4136">
        <f t="shared" si="1156"/>
        <v>70</v>
      </c>
    </row>
    <row r="4137" spans="1:2" ht="15" customHeight="1" x14ac:dyDescent="0.3">
      <c r="A4137" t="s">
        <v>5033</v>
      </c>
      <c r="B4137">
        <f t="shared" ref="B4137:B4168" si="1157">B4072</f>
        <v>0</v>
      </c>
    </row>
    <row r="4138" spans="1:2" ht="15" customHeight="1" x14ac:dyDescent="0.3">
      <c r="A4138" t="s">
        <v>5034</v>
      </c>
      <c r="B4138">
        <f t="shared" si="1157"/>
        <v>0</v>
      </c>
    </row>
    <row r="4139" spans="1:2" ht="15" customHeight="1" x14ac:dyDescent="0.3">
      <c r="A4139" t="s">
        <v>5035</v>
      </c>
      <c r="B4139">
        <f t="shared" si="1157"/>
        <v>190</v>
      </c>
    </row>
    <row r="4140" spans="1:2" ht="15" customHeight="1" x14ac:dyDescent="0.3">
      <c r="A4140" t="s">
        <v>5036</v>
      </c>
      <c r="B4140">
        <f t="shared" si="1157"/>
        <v>190</v>
      </c>
    </row>
    <row r="4141" spans="1:2" ht="15" customHeight="1" x14ac:dyDescent="0.3">
      <c r="A4141" t="s">
        <v>5037</v>
      </c>
      <c r="B4141">
        <f t="shared" si="1157"/>
        <v>120</v>
      </c>
    </row>
    <row r="4142" spans="1:2" ht="15" customHeight="1" x14ac:dyDescent="0.3">
      <c r="A4142" t="s">
        <v>5038</v>
      </c>
      <c r="B4142">
        <f t="shared" si="1157"/>
        <v>120</v>
      </c>
    </row>
    <row r="4143" spans="1:2" ht="15" customHeight="1" x14ac:dyDescent="0.3">
      <c r="A4143" t="s">
        <v>5039</v>
      </c>
      <c r="B4143">
        <f t="shared" si="1157"/>
        <v>160</v>
      </c>
    </row>
    <row r="4144" spans="1:2" ht="15" customHeight="1" x14ac:dyDescent="0.3">
      <c r="A4144" t="s">
        <v>5040</v>
      </c>
      <c r="B4144">
        <f t="shared" si="1157"/>
        <v>180</v>
      </c>
    </row>
    <row r="4145" spans="1:2" ht="15" customHeight="1" x14ac:dyDescent="0.3">
      <c r="A4145" t="s">
        <v>5041</v>
      </c>
      <c r="B4145">
        <f t="shared" si="1157"/>
        <v>195</v>
      </c>
    </row>
    <row r="4146" spans="1:2" ht="15" customHeight="1" x14ac:dyDescent="0.3">
      <c r="A4146" t="s">
        <v>5042</v>
      </c>
      <c r="B4146">
        <f t="shared" si="1157"/>
        <v>0</v>
      </c>
    </row>
    <row r="4147" spans="1:2" ht="15" customHeight="1" x14ac:dyDescent="0.3">
      <c r="A4147" t="s">
        <v>5043</v>
      </c>
      <c r="B4147">
        <f t="shared" si="1157"/>
        <v>50</v>
      </c>
    </row>
    <row r="4148" spans="1:2" ht="15" customHeight="1" x14ac:dyDescent="0.3">
      <c r="A4148" t="s">
        <v>5044</v>
      </c>
      <c r="B4148">
        <f t="shared" si="1157"/>
        <v>50</v>
      </c>
    </row>
    <row r="4149" spans="1:2" ht="15" customHeight="1" x14ac:dyDescent="0.3">
      <c r="A4149" t="s">
        <v>5045</v>
      </c>
      <c r="B4149">
        <f t="shared" si="1157"/>
        <v>50</v>
      </c>
    </row>
    <row r="4150" spans="1:2" ht="15" customHeight="1" x14ac:dyDescent="0.3">
      <c r="A4150" t="s">
        <v>5046</v>
      </c>
      <c r="B4150">
        <f t="shared" si="1157"/>
        <v>50</v>
      </c>
    </row>
    <row r="4151" spans="1:2" ht="15" customHeight="1" x14ac:dyDescent="0.3">
      <c r="A4151" t="s">
        <v>5047</v>
      </c>
      <c r="B4151">
        <f t="shared" si="1157"/>
        <v>35</v>
      </c>
    </row>
    <row r="4152" spans="1:2" ht="15" customHeight="1" x14ac:dyDescent="0.3">
      <c r="A4152" t="s">
        <v>5048</v>
      </c>
      <c r="B4152">
        <f t="shared" si="1157"/>
        <v>40</v>
      </c>
    </row>
    <row r="4153" spans="1:2" ht="15" customHeight="1" x14ac:dyDescent="0.3">
      <c r="A4153" t="s">
        <v>5049</v>
      </c>
      <c r="B4153">
        <f t="shared" si="1157"/>
        <v>35</v>
      </c>
    </row>
    <row r="4154" spans="1:2" ht="15" customHeight="1" x14ac:dyDescent="0.3">
      <c r="A4154" t="s">
        <v>5050</v>
      </c>
      <c r="B4154">
        <f t="shared" si="1157"/>
        <v>75</v>
      </c>
    </row>
    <row r="4155" spans="1:2" ht="15" customHeight="1" x14ac:dyDescent="0.3">
      <c r="A4155" t="s">
        <v>5051</v>
      </c>
      <c r="B4155">
        <f t="shared" si="1157"/>
        <v>35</v>
      </c>
    </row>
    <row r="4156" spans="1:2" ht="15" customHeight="1" x14ac:dyDescent="0.3">
      <c r="A4156" t="s">
        <v>5052</v>
      </c>
      <c r="B4156">
        <f t="shared" si="1157"/>
        <v>35</v>
      </c>
    </row>
    <row r="4157" spans="1:2" ht="15" customHeight="1" x14ac:dyDescent="0.3">
      <c r="A4157" t="s">
        <v>5053</v>
      </c>
      <c r="B4157">
        <f t="shared" si="1157"/>
        <v>35</v>
      </c>
    </row>
    <row r="4158" spans="1:2" ht="15" customHeight="1" x14ac:dyDescent="0.3">
      <c r="A4158" t="s">
        <v>5054</v>
      </c>
      <c r="B4158">
        <f t="shared" si="1157"/>
        <v>30</v>
      </c>
    </row>
    <row r="4159" spans="1:2" ht="15" customHeight="1" x14ac:dyDescent="0.3">
      <c r="A4159" t="s">
        <v>5055</v>
      </c>
      <c r="B4159">
        <f t="shared" si="1157"/>
        <v>40</v>
      </c>
    </row>
    <row r="4160" spans="1:2" ht="15" customHeight="1" x14ac:dyDescent="0.3">
      <c r="A4160" t="s">
        <v>5056</v>
      </c>
      <c r="B4160">
        <f t="shared" si="1157"/>
        <v>0</v>
      </c>
    </row>
    <row r="4161" spans="1:2" ht="15" customHeight="1" x14ac:dyDescent="0.3">
      <c r="A4161" t="s">
        <v>5057</v>
      </c>
      <c r="B4161">
        <f t="shared" si="1157"/>
        <v>40</v>
      </c>
    </row>
    <row r="4162" spans="1:2" ht="15" customHeight="1" x14ac:dyDescent="0.3">
      <c r="A4162" t="s">
        <v>5058</v>
      </c>
      <c r="B4162">
        <f t="shared" si="1157"/>
        <v>40</v>
      </c>
    </row>
    <row r="4163" spans="1:2" ht="15" customHeight="1" x14ac:dyDescent="0.3">
      <c r="A4163" t="s">
        <v>5059</v>
      </c>
      <c r="B4163">
        <f t="shared" si="1157"/>
        <v>80</v>
      </c>
    </row>
    <row r="4164" spans="1:2" ht="15" customHeight="1" x14ac:dyDescent="0.3">
      <c r="A4164" t="s">
        <v>5060</v>
      </c>
      <c r="B4164">
        <f t="shared" si="1157"/>
        <v>50</v>
      </c>
    </row>
    <row r="4165" spans="1:2" ht="15" customHeight="1" x14ac:dyDescent="0.3">
      <c r="A4165" t="s">
        <v>5061</v>
      </c>
      <c r="B4165">
        <f t="shared" si="1157"/>
        <v>50</v>
      </c>
    </row>
    <row r="4166" spans="1:2" ht="15" customHeight="1" x14ac:dyDescent="0.3">
      <c r="A4166" t="s">
        <v>5062</v>
      </c>
      <c r="B4166">
        <f t="shared" si="1157"/>
        <v>65</v>
      </c>
    </row>
    <row r="4167" spans="1:2" ht="15" customHeight="1" x14ac:dyDescent="0.3">
      <c r="A4167" t="s">
        <v>5063</v>
      </c>
      <c r="B4167">
        <f t="shared" si="1157"/>
        <v>70</v>
      </c>
    </row>
    <row r="4168" spans="1:2" ht="15" customHeight="1" x14ac:dyDescent="0.3">
      <c r="A4168" t="s">
        <v>5064</v>
      </c>
      <c r="B4168">
        <f t="shared" si="1157"/>
        <v>70</v>
      </c>
    </row>
    <row r="4169" spans="1:2" ht="15" customHeight="1" x14ac:dyDescent="0.3">
      <c r="A4169" t="s">
        <v>5065</v>
      </c>
      <c r="B4169">
        <f t="shared" ref="B4169" si="1158">B4104</f>
        <v>0</v>
      </c>
    </row>
    <row r="4170" spans="1:2" ht="15" customHeight="1" x14ac:dyDescent="0.3">
      <c r="A4170" t="s">
        <v>4161</v>
      </c>
      <c r="B4170">
        <f>F1043</f>
        <v>15</v>
      </c>
    </row>
    <row r="4171" spans="1:2" ht="15" customHeight="1" x14ac:dyDescent="0.3">
      <c r="A4171" t="s">
        <v>4162</v>
      </c>
      <c r="B4171">
        <f>F1043</f>
        <v>15</v>
      </c>
    </row>
    <row r="4172" spans="1:2" ht="15" customHeight="1" x14ac:dyDescent="0.3">
      <c r="A4172" t="s">
        <v>4163</v>
      </c>
      <c r="B4172">
        <f>F1043</f>
        <v>15</v>
      </c>
    </row>
    <row r="4173" spans="1:2" ht="15" customHeight="1" x14ac:dyDescent="0.3">
      <c r="A4173" t="s">
        <v>4164</v>
      </c>
      <c r="B4173">
        <f>F1043</f>
        <v>15</v>
      </c>
    </row>
    <row r="4174" spans="1:2" ht="15" customHeight="1" x14ac:dyDescent="0.3">
      <c r="A4174" t="s">
        <v>4165</v>
      </c>
      <c r="B4174">
        <f>F1043</f>
        <v>15</v>
      </c>
    </row>
    <row r="4175" spans="1:2" ht="15" customHeight="1" x14ac:dyDescent="0.3">
      <c r="A4175" t="s">
        <v>4166</v>
      </c>
      <c r="B4175">
        <f>F1043</f>
        <v>15</v>
      </c>
    </row>
    <row r="4176" spans="1:2" ht="15" customHeight="1" x14ac:dyDescent="0.3">
      <c r="A4176" t="s">
        <v>12375</v>
      </c>
      <c r="B4176">
        <f>F1379</f>
        <v>20</v>
      </c>
    </row>
    <row r="4177" spans="1:2" ht="15" customHeight="1" x14ac:dyDescent="0.3">
      <c r="A4177" t="s">
        <v>12376</v>
      </c>
      <c r="B4177">
        <f>F1379</f>
        <v>20</v>
      </c>
    </row>
    <row r="4178" spans="1:2" ht="15" customHeight="1" x14ac:dyDescent="0.3">
      <c r="A4178" t="s">
        <v>12374</v>
      </c>
      <c r="B4178">
        <f>F1379</f>
        <v>20</v>
      </c>
    </row>
    <row r="4179" spans="1:2" ht="15" customHeight="1" x14ac:dyDescent="0.3">
      <c r="A4179" t="s">
        <v>12377</v>
      </c>
      <c r="B4179">
        <f>F1379</f>
        <v>20</v>
      </c>
    </row>
    <row r="4180" spans="1:2" ht="15" customHeight="1" x14ac:dyDescent="0.3">
      <c r="A4180" t="s">
        <v>4167</v>
      </c>
      <c r="B4180">
        <f>F1043</f>
        <v>15</v>
      </c>
    </row>
    <row r="4181" spans="1:2" ht="15" customHeight="1" x14ac:dyDescent="0.3">
      <c r="A4181" t="s">
        <v>12380</v>
      </c>
      <c r="B4181">
        <f>F1380</f>
        <v>20</v>
      </c>
    </row>
    <row r="4182" spans="1:2" ht="15" customHeight="1" x14ac:dyDescent="0.3">
      <c r="A4182" t="s">
        <v>12381</v>
      </c>
      <c r="B4182">
        <f>F1380</f>
        <v>20</v>
      </c>
    </row>
    <row r="4183" spans="1:2" ht="15" customHeight="1" x14ac:dyDescent="0.3">
      <c r="A4183" t="s">
        <v>12379</v>
      </c>
      <c r="B4183">
        <f>F1380</f>
        <v>20</v>
      </c>
    </row>
    <row r="4184" spans="1:2" ht="15" customHeight="1" x14ac:dyDescent="0.3">
      <c r="A4184" t="s">
        <v>12382</v>
      </c>
      <c r="B4184">
        <f>F1380</f>
        <v>20</v>
      </c>
    </row>
    <row r="4185" spans="1:2" ht="15" customHeight="1" x14ac:dyDescent="0.3">
      <c r="A4185" t="s">
        <v>4168</v>
      </c>
      <c r="B4185">
        <f>F1043</f>
        <v>15</v>
      </c>
    </row>
    <row r="4186" spans="1:2" ht="15" customHeight="1" x14ac:dyDescent="0.3">
      <c r="A4186" t="s">
        <v>4155</v>
      </c>
      <c r="B4186">
        <f>F1044</f>
        <v>0</v>
      </c>
    </row>
    <row r="4187" spans="1:2" ht="15" customHeight="1" x14ac:dyDescent="0.3">
      <c r="A4187" t="s">
        <v>4156</v>
      </c>
      <c r="B4187">
        <f>F1045</f>
        <v>15</v>
      </c>
    </row>
    <row r="4188" spans="1:2" ht="15" customHeight="1" x14ac:dyDescent="0.3">
      <c r="A4188" t="s">
        <v>10673</v>
      </c>
      <c r="B4188">
        <f>B4187</f>
        <v>15</v>
      </c>
    </row>
    <row r="4189" spans="1:2" ht="15" customHeight="1" x14ac:dyDescent="0.3">
      <c r="A4189" t="s">
        <v>4169</v>
      </c>
      <c r="B4189">
        <f>F1046</f>
        <v>15</v>
      </c>
    </row>
    <row r="4190" spans="1:2" ht="15" customHeight="1" x14ac:dyDescent="0.3">
      <c r="A4190" t="s">
        <v>4170</v>
      </c>
      <c r="B4190">
        <f>F1046</f>
        <v>15</v>
      </c>
    </row>
    <row r="4191" spans="1:2" ht="15" customHeight="1" x14ac:dyDescent="0.3">
      <c r="A4191" t="s">
        <v>4171</v>
      </c>
      <c r="B4191">
        <f>F1046</f>
        <v>15</v>
      </c>
    </row>
    <row r="4192" spans="1:2" ht="15" customHeight="1" x14ac:dyDescent="0.3">
      <c r="A4192" t="s">
        <v>4172</v>
      </c>
      <c r="B4192">
        <f>F1046</f>
        <v>15</v>
      </c>
    </row>
    <row r="4193" spans="1:2" ht="15" customHeight="1" x14ac:dyDescent="0.3">
      <c r="A4193" t="s">
        <v>4173</v>
      </c>
      <c r="B4193">
        <f>F1046</f>
        <v>15</v>
      </c>
    </row>
    <row r="4194" spans="1:2" ht="15" customHeight="1" x14ac:dyDescent="0.3">
      <c r="A4194" t="s">
        <v>4174</v>
      </c>
      <c r="B4194">
        <f>F1046</f>
        <v>15</v>
      </c>
    </row>
    <row r="4195" spans="1:2" ht="15" customHeight="1" x14ac:dyDescent="0.3">
      <c r="A4195" t="s">
        <v>4175</v>
      </c>
      <c r="B4195">
        <f>F1046</f>
        <v>15</v>
      </c>
    </row>
    <row r="4196" spans="1:2" ht="15" customHeight="1" x14ac:dyDescent="0.3">
      <c r="A4196" t="s">
        <v>4176</v>
      </c>
      <c r="B4196">
        <f>F1046</f>
        <v>15</v>
      </c>
    </row>
    <row r="4197" spans="1:2" ht="15" customHeight="1" x14ac:dyDescent="0.3">
      <c r="A4197" t="s">
        <v>4177</v>
      </c>
      <c r="B4197">
        <f>F1046</f>
        <v>15</v>
      </c>
    </row>
    <row r="4198" spans="1:2" ht="15" customHeight="1" x14ac:dyDescent="0.3">
      <c r="A4198" t="s">
        <v>4178</v>
      </c>
      <c r="B4198">
        <f>F1046</f>
        <v>15</v>
      </c>
    </row>
    <row r="4199" spans="1:2" ht="15" customHeight="1" x14ac:dyDescent="0.3">
      <c r="A4199" t="s">
        <v>4179</v>
      </c>
      <c r="B4199">
        <f>F1046</f>
        <v>15</v>
      </c>
    </row>
    <row r="4200" spans="1:2" ht="15" customHeight="1" x14ac:dyDescent="0.3">
      <c r="A4200" t="s">
        <v>4180</v>
      </c>
      <c r="B4200">
        <f>F1046</f>
        <v>15</v>
      </c>
    </row>
    <row r="4201" spans="1:2" ht="15" customHeight="1" x14ac:dyDescent="0.3">
      <c r="A4201" t="s">
        <v>4181</v>
      </c>
      <c r="B4201">
        <f>F1046</f>
        <v>15</v>
      </c>
    </row>
    <row r="4202" spans="1:2" ht="15" customHeight="1" x14ac:dyDescent="0.3">
      <c r="A4202" t="s">
        <v>4182</v>
      </c>
      <c r="B4202">
        <f>F1046</f>
        <v>15</v>
      </c>
    </row>
    <row r="4203" spans="1:2" ht="15" customHeight="1" x14ac:dyDescent="0.3">
      <c r="A4203" t="s">
        <v>4183</v>
      </c>
      <c r="B4203">
        <f>F1046</f>
        <v>15</v>
      </c>
    </row>
    <row r="4204" spans="1:2" ht="15" customHeight="1" x14ac:dyDescent="0.3">
      <c r="A4204" t="s">
        <v>4184</v>
      </c>
      <c r="B4204">
        <f>F1046</f>
        <v>15</v>
      </c>
    </row>
    <row r="4205" spans="1:2" ht="15" customHeight="1" x14ac:dyDescent="0.3">
      <c r="A4205" t="s">
        <v>4192</v>
      </c>
      <c r="B4205">
        <f>F1046</f>
        <v>15</v>
      </c>
    </row>
    <row r="4206" spans="1:2" ht="15" customHeight="1" x14ac:dyDescent="0.3">
      <c r="A4206" t="s">
        <v>4193</v>
      </c>
      <c r="B4206">
        <f>F1046</f>
        <v>15</v>
      </c>
    </row>
    <row r="4207" spans="1:2" ht="15" customHeight="1" x14ac:dyDescent="0.3">
      <c r="A4207" t="s">
        <v>4185</v>
      </c>
      <c r="B4207">
        <f>F1046</f>
        <v>15</v>
      </c>
    </row>
    <row r="4208" spans="1:2" ht="15" customHeight="1" x14ac:dyDescent="0.3">
      <c r="A4208" t="s">
        <v>4186</v>
      </c>
      <c r="B4208">
        <f>F1046</f>
        <v>15</v>
      </c>
    </row>
    <row r="4209" spans="1:2" ht="15" customHeight="1" x14ac:dyDescent="0.3">
      <c r="A4209" t="s">
        <v>4187</v>
      </c>
      <c r="B4209">
        <f>F1046</f>
        <v>15</v>
      </c>
    </row>
    <row r="4210" spans="1:2" ht="15" customHeight="1" x14ac:dyDescent="0.3">
      <c r="A4210" t="s">
        <v>4188</v>
      </c>
      <c r="B4210">
        <f>F1046</f>
        <v>15</v>
      </c>
    </row>
    <row r="4211" spans="1:2" ht="15" customHeight="1" x14ac:dyDescent="0.3">
      <c r="A4211" t="s">
        <v>4189</v>
      </c>
      <c r="B4211">
        <f>F1046</f>
        <v>15</v>
      </c>
    </row>
    <row r="4212" spans="1:2" ht="15" customHeight="1" x14ac:dyDescent="0.3">
      <c r="A4212" t="s">
        <v>4190</v>
      </c>
      <c r="B4212">
        <f>F1046</f>
        <v>15</v>
      </c>
    </row>
    <row r="4213" spans="1:2" ht="15" customHeight="1" x14ac:dyDescent="0.3">
      <c r="A4213" t="s">
        <v>4191</v>
      </c>
      <c r="B4213">
        <f>F1046</f>
        <v>15</v>
      </c>
    </row>
    <row r="4214" spans="1:2" ht="15" customHeight="1" x14ac:dyDescent="0.3">
      <c r="A4214" t="s">
        <v>4151</v>
      </c>
      <c r="B4214">
        <f>F1036</f>
        <v>0</v>
      </c>
    </row>
    <row r="4215" spans="1:2" ht="15" customHeight="1" x14ac:dyDescent="0.3">
      <c r="A4215" t="s">
        <v>4157</v>
      </c>
      <c r="B4215">
        <f>F1037</f>
        <v>20</v>
      </c>
    </row>
    <row r="4216" spans="1:2" ht="15" customHeight="1" x14ac:dyDescent="0.3">
      <c r="A4216" t="s">
        <v>4158</v>
      </c>
      <c r="B4216">
        <f>F1037</f>
        <v>20</v>
      </c>
    </row>
    <row r="4217" spans="1:2" ht="15" customHeight="1" x14ac:dyDescent="0.3">
      <c r="A4217" t="s">
        <v>4152</v>
      </c>
      <c r="B4217">
        <f>F1038</f>
        <v>20</v>
      </c>
    </row>
    <row r="4218" spans="1:2" ht="15" customHeight="1" x14ac:dyDescent="0.3">
      <c r="A4218" t="s">
        <v>4159</v>
      </c>
      <c r="B4218">
        <f>F1040</f>
        <v>20</v>
      </c>
    </row>
    <row r="4219" spans="1:2" ht="15" customHeight="1" x14ac:dyDescent="0.3">
      <c r="A4219" t="s">
        <v>4160</v>
      </c>
      <c r="B4219">
        <f>F1040</f>
        <v>20</v>
      </c>
    </row>
    <row r="4220" spans="1:2" ht="15" customHeight="1" x14ac:dyDescent="0.3">
      <c r="A4220" t="s">
        <v>4153</v>
      </c>
      <c r="B4220">
        <f>F1041</f>
        <v>20</v>
      </c>
    </row>
    <row r="4221" spans="1:2" ht="15" customHeight="1" x14ac:dyDescent="0.3">
      <c r="A4221" t="s">
        <v>4154</v>
      </c>
      <c r="B4221">
        <f>F1042</f>
        <v>20</v>
      </c>
    </row>
    <row r="4222" spans="1:2" ht="15" customHeight="1" x14ac:dyDescent="0.3">
      <c r="A4222" t="s">
        <v>1238</v>
      </c>
      <c r="B4222">
        <f>F1047</f>
        <v>0</v>
      </c>
    </row>
    <row r="4223" spans="1:2" ht="15" customHeight="1" x14ac:dyDescent="0.3">
      <c r="A4223" t="s">
        <v>1239</v>
      </c>
      <c r="B4223">
        <f>F1048</f>
        <v>10</v>
      </c>
    </row>
    <row r="4224" spans="1:2" ht="15" customHeight="1" x14ac:dyDescent="0.3">
      <c r="A4224" t="s">
        <v>1240</v>
      </c>
      <c r="B4224">
        <f>F1049</f>
        <v>20</v>
      </c>
    </row>
    <row r="4225" spans="1:2" ht="15" customHeight="1" x14ac:dyDescent="0.3">
      <c r="A4225" t="s">
        <v>4194</v>
      </c>
      <c r="B4225">
        <f>F1050</f>
        <v>20</v>
      </c>
    </row>
    <row r="4226" spans="1:2" ht="15" customHeight="1" x14ac:dyDescent="0.3">
      <c r="A4226" t="s">
        <v>4195</v>
      </c>
      <c r="B4226">
        <f t="shared" ref="B4226:B4235" si="1159">F1050</f>
        <v>20</v>
      </c>
    </row>
    <row r="4227" spans="1:2" ht="15" customHeight="1" x14ac:dyDescent="0.3">
      <c r="A4227" t="s">
        <v>1241</v>
      </c>
      <c r="B4227">
        <f t="shared" si="1159"/>
        <v>20</v>
      </c>
    </row>
    <row r="4228" spans="1:2" ht="15" customHeight="1" x14ac:dyDescent="0.3">
      <c r="A4228" t="s">
        <v>1242</v>
      </c>
      <c r="B4228">
        <f t="shared" si="1159"/>
        <v>20</v>
      </c>
    </row>
    <row r="4229" spans="1:2" ht="15" customHeight="1" x14ac:dyDescent="0.3">
      <c r="A4229" t="s">
        <v>1243</v>
      </c>
      <c r="B4229">
        <f t="shared" si="1159"/>
        <v>20</v>
      </c>
    </row>
    <row r="4230" spans="1:2" ht="15" customHeight="1" x14ac:dyDescent="0.3">
      <c r="A4230" t="s">
        <v>1244</v>
      </c>
      <c r="B4230">
        <f t="shared" si="1159"/>
        <v>20</v>
      </c>
    </row>
    <row r="4231" spans="1:2" ht="15" customHeight="1" x14ac:dyDescent="0.3">
      <c r="A4231" t="s">
        <v>1245</v>
      </c>
      <c r="B4231">
        <f t="shared" si="1159"/>
        <v>0</v>
      </c>
    </row>
    <row r="4232" spans="1:2" ht="15" customHeight="1" x14ac:dyDescent="0.3">
      <c r="A4232" t="s">
        <v>1246</v>
      </c>
      <c r="B4232">
        <f t="shared" si="1159"/>
        <v>15</v>
      </c>
    </row>
    <row r="4233" spans="1:2" ht="15" customHeight="1" x14ac:dyDescent="0.3">
      <c r="A4233" t="s">
        <v>1247</v>
      </c>
      <c r="B4233">
        <f t="shared" si="1159"/>
        <v>15</v>
      </c>
    </row>
    <row r="4234" spans="1:2" ht="15" customHeight="1" x14ac:dyDescent="0.3">
      <c r="A4234" t="s">
        <v>1248</v>
      </c>
      <c r="B4234">
        <f t="shared" si="1159"/>
        <v>20</v>
      </c>
    </row>
    <row r="4235" spans="1:2" ht="15" customHeight="1" x14ac:dyDescent="0.3">
      <c r="A4235" t="s">
        <v>4196</v>
      </c>
      <c r="B4235">
        <f t="shared" si="1159"/>
        <v>20</v>
      </c>
    </row>
    <row r="4236" spans="1:2" ht="15" customHeight="1" x14ac:dyDescent="0.3">
      <c r="A4236" t="s">
        <v>4197</v>
      </c>
      <c r="B4236">
        <f t="shared" ref="B4236:B4247" si="1160">F1059</f>
        <v>20</v>
      </c>
    </row>
    <row r="4237" spans="1:2" ht="15" customHeight="1" x14ac:dyDescent="0.3">
      <c r="A4237" t="s">
        <v>1249</v>
      </c>
      <c r="B4237">
        <f t="shared" si="1160"/>
        <v>20</v>
      </c>
    </row>
    <row r="4238" spans="1:2" ht="15" customHeight="1" x14ac:dyDescent="0.3">
      <c r="A4238" t="s">
        <v>1250</v>
      </c>
      <c r="B4238">
        <f t="shared" si="1160"/>
        <v>20</v>
      </c>
    </row>
    <row r="4239" spans="1:2" ht="15" customHeight="1" x14ac:dyDescent="0.3">
      <c r="A4239" t="s">
        <v>1251</v>
      </c>
      <c r="B4239">
        <f t="shared" si="1160"/>
        <v>15</v>
      </c>
    </row>
    <row r="4240" spans="1:2" ht="15" customHeight="1" x14ac:dyDescent="0.3">
      <c r="A4240" t="s">
        <v>1252</v>
      </c>
      <c r="B4240">
        <f t="shared" si="1160"/>
        <v>15</v>
      </c>
    </row>
    <row r="4241" spans="1:2" ht="15" customHeight="1" x14ac:dyDescent="0.3">
      <c r="A4241" t="s">
        <v>1253</v>
      </c>
      <c r="B4241">
        <f t="shared" si="1160"/>
        <v>25</v>
      </c>
    </row>
    <row r="4242" spans="1:2" ht="15" customHeight="1" x14ac:dyDescent="0.3">
      <c r="A4242" t="s">
        <v>1254</v>
      </c>
      <c r="B4242">
        <f t="shared" si="1160"/>
        <v>15</v>
      </c>
    </row>
    <row r="4243" spans="1:2" ht="15" customHeight="1" x14ac:dyDescent="0.3">
      <c r="A4243" t="s">
        <v>1255</v>
      </c>
      <c r="B4243">
        <f t="shared" si="1160"/>
        <v>15</v>
      </c>
    </row>
    <row r="4244" spans="1:2" ht="15" customHeight="1" x14ac:dyDescent="0.3">
      <c r="A4244" t="s">
        <v>1256</v>
      </c>
      <c r="B4244">
        <f t="shared" si="1160"/>
        <v>20</v>
      </c>
    </row>
    <row r="4245" spans="1:2" ht="15" customHeight="1" x14ac:dyDescent="0.3">
      <c r="A4245" t="s">
        <v>1257</v>
      </c>
      <c r="B4245">
        <f t="shared" si="1160"/>
        <v>20</v>
      </c>
    </row>
    <row r="4246" spans="1:2" ht="15" customHeight="1" x14ac:dyDescent="0.3">
      <c r="A4246" t="s">
        <v>1258</v>
      </c>
      <c r="B4246">
        <f t="shared" si="1160"/>
        <v>20</v>
      </c>
    </row>
    <row r="4247" spans="1:2" ht="15" customHeight="1" x14ac:dyDescent="0.3">
      <c r="A4247" t="s">
        <v>6607</v>
      </c>
      <c r="B4247">
        <f t="shared" si="1160"/>
        <v>20</v>
      </c>
    </row>
    <row r="4248" spans="1:2" ht="15" customHeight="1" x14ac:dyDescent="0.3">
      <c r="A4248" t="s">
        <v>6608</v>
      </c>
      <c r="B4248">
        <f>F1070</f>
        <v>20</v>
      </c>
    </row>
    <row r="4249" spans="1:2" ht="15" customHeight="1" x14ac:dyDescent="0.3">
      <c r="A4249" t="s">
        <v>1259</v>
      </c>
      <c r="B4249">
        <f>F1071</f>
        <v>15</v>
      </c>
    </row>
    <row r="4250" spans="1:2" ht="15" customHeight="1" x14ac:dyDescent="0.3">
      <c r="A4250" t="s">
        <v>6610</v>
      </c>
      <c r="B4250">
        <f>F1072</f>
        <v>20</v>
      </c>
    </row>
    <row r="4251" spans="1:2" ht="15" customHeight="1" x14ac:dyDescent="0.3">
      <c r="A4251" t="s">
        <v>6609</v>
      </c>
      <c r="B4251">
        <f>F1072</f>
        <v>20</v>
      </c>
    </row>
    <row r="4252" spans="1:2" ht="15" customHeight="1" x14ac:dyDescent="0.3">
      <c r="A4252" t="s">
        <v>6611</v>
      </c>
      <c r="B4252">
        <f t="shared" ref="B4252:B4264" si="1161">F1072</f>
        <v>20</v>
      </c>
    </row>
    <row r="4253" spans="1:2" ht="15" customHeight="1" x14ac:dyDescent="0.3">
      <c r="A4253" t="s">
        <v>1260</v>
      </c>
      <c r="B4253">
        <f t="shared" si="1161"/>
        <v>20</v>
      </c>
    </row>
    <row r="4254" spans="1:2" ht="15" customHeight="1" x14ac:dyDescent="0.3">
      <c r="A4254" t="s">
        <v>1261</v>
      </c>
      <c r="B4254">
        <f t="shared" si="1161"/>
        <v>20</v>
      </c>
    </row>
    <row r="4255" spans="1:2" ht="15" customHeight="1" x14ac:dyDescent="0.3">
      <c r="A4255" t="s">
        <v>1262</v>
      </c>
      <c r="B4255">
        <f t="shared" si="1161"/>
        <v>20</v>
      </c>
    </row>
    <row r="4256" spans="1:2" ht="15" customHeight="1" x14ac:dyDescent="0.3">
      <c r="A4256" t="s">
        <v>1263</v>
      </c>
      <c r="B4256">
        <f t="shared" si="1161"/>
        <v>20</v>
      </c>
    </row>
    <row r="4257" spans="1:2" ht="15" customHeight="1" x14ac:dyDescent="0.3">
      <c r="A4257" t="s">
        <v>1264</v>
      </c>
      <c r="B4257">
        <f t="shared" si="1161"/>
        <v>20</v>
      </c>
    </row>
    <row r="4258" spans="1:2" ht="15" customHeight="1" x14ac:dyDescent="0.3">
      <c r="A4258" t="s">
        <v>1265</v>
      </c>
      <c r="B4258">
        <f t="shared" si="1161"/>
        <v>15</v>
      </c>
    </row>
    <row r="4259" spans="1:2" ht="15" customHeight="1" x14ac:dyDescent="0.3">
      <c r="A4259" t="s">
        <v>1266</v>
      </c>
      <c r="B4259">
        <f t="shared" si="1161"/>
        <v>20</v>
      </c>
    </row>
    <row r="4260" spans="1:2" ht="15" customHeight="1" x14ac:dyDescent="0.3">
      <c r="A4260" t="s">
        <v>1267</v>
      </c>
      <c r="B4260">
        <f t="shared" si="1161"/>
        <v>15</v>
      </c>
    </row>
    <row r="4261" spans="1:2" ht="15" customHeight="1" x14ac:dyDescent="0.3">
      <c r="A4261" t="s">
        <v>1268</v>
      </c>
      <c r="B4261">
        <f t="shared" si="1161"/>
        <v>0</v>
      </c>
    </row>
    <row r="4262" spans="1:2" ht="15" customHeight="1" x14ac:dyDescent="0.3">
      <c r="A4262" t="s">
        <v>1269</v>
      </c>
      <c r="B4262">
        <f t="shared" si="1161"/>
        <v>20</v>
      </c>
    </row>
    <row r="4263" spans="1:2" ht="15" customHeight="1" x14ac:dyDescent="0.3">
      <c r="A4263" t="s">
        <v>1270</v>
      </c>
      <c r="B4263">
        <f t="shared" si="1161"/>
        <v>15</v>
      </c>
    </row>
    <row r="4264" spans="1:2" ht="15" customHeight="1" x14ac:dyDescent="0.3">
      <c r="A4264" t="s">
        <v>6613</v>
      </c>
      <c r="B4264">
        <f t="shared" si="1161"/>
        <v>20</v>
      </c>
    </row>
    <row r="4265" spans="1:2" ht="15" customHeight="1" x14ac:dyDescent="0.3">
      <c r="A4265" t="s">
        <v>6612</v>
      </c>
      <c r="B4265">
        <f>F1084</f>
        <v>20</v>
      </c>
    </row>
    <row r="4266" spans="1:2" ht="15" customHeight="1" x14ac:dyDescent="0.3">
      <c r="A4266" t="s">
        <v>6614</v>
      </c>
      <c r="B4266">
        <f>F1085</f>
        <v>15</v>
      </c>
    </row>
    <row r="4267" spans="1:2" ht="15" customHeight="1" x14ac:dyDescent="0.3">
      <c r="A4267" t="s">
        <v>6615</v>
      </c>
      <c r="B4267">
        <f>F1085</f>
        <v>15</v>
      </c>
    </row>
    <row r="4268" spans="1:2" ht="15" customHeight="1" x14ac:dyDescent="0.3">
      <c r="A4268" t="s">
        <v>6616</v>
      </c>
      <c r="B4268">
        <f>F1086</f>
        <v>15</v>
      </c>
    </row>
    <row r="4269" spans="1:2" ht="15" customHeight="1" x14ac:dyDescent="0.3">
      <c r="A4269" t="s">
        <v>6617</v>
      </c>
      <c r="B4269">
        <f>F1086</f>
        <v>15</v>
      </c>
    </row>
    <row r="4270" spans="1:2" ht="15" customHeight="1" x14ac:dyDescent="0.3">
      <c r="A4270" t="s">
        <v>6618</v>
      </c>
      <c r="B4270">
        <f>F1086</f>
        <v>15</v>
      </c>
    </row>
    <row r="4271" spans="1:2" ht="15" customHeight="1" x14ac:dyDescent="0.3">
      <c r="A4271" t="s">
        <v>6619</v>
      </c>
      <c r="B4271">
        <f>F1086</f>
        <v>15</v>
      </c>
    </row>
    <row r="4272" spans="1:2" ht="15" customHeight="1" x14ac:dyDescent="0.3">
      <c r="A4272" t="s">
        <v>6620</v>
      </c>
      <c r="B4272">
        <f>F1087</f>
        <v>15</v>
      </c>
    </row>
    <row r="4273" spans="1:2" ht="15" customHeight="1" x14ac:dyDescent="0.3">
      <c r="A4273" t="s">
        <v>6621</v>
      </c>
      <c r="B4273">
        <f>F1087</f>
        <v>15</v>
      </c>
    </row>
    <row r="4274" spans="1:2" ht="15" customHeight="1" x14ac:dyDescent="0.3">
      <c r="A4274" t="s">
        <v>6622</v>
      </c>
      <c r="B4274">
        <f>F1088</f>
        <v>15</v>
      </c>
    </row>
    <row r="4275" spans="1:2" ht="15" customHeight="1" x14ac:dyDescent="0.3">
      <c r="A4275" t="s">
        <v>6624</v>
      </c>
      <c r="B4275">
        <f>F1088</f>
        <v>15</v>
      </c>
    </row>
    <row r="4276" spans="1:2" ht="15" customHeight="1" x14ac:dyDescent="0.3">
      <c r="A4276" t="s">
        <v>6623</v>
      </c>
      <c r="B4276">
        <f>F1088</f>
        <v>15</v>
      </c>
    </row>
    <row r="4277" spans="1:2" ht="15" customHeight="1" x14ac:dyDescent="0.3">
      <c r="A4277" t="s">
        <v>6625</v>
      </c>
      <c r="B4277">
        <f>F1088</f>
        <v>15</v>
      </c>
    </row>
    <row r="4278" spans="1:2" ht="15" customHeight="1" x14ac:dyDescent="0.3">
      <c r="A4278" t="s">
        <v>1271</v>
      </c>
      <c r="B4278">
        <f>F1089</f>
        <v>15</v>
      </c>
    </row>
    <row r="4279" spans="1:2" ht="15" customHeight="1" x14ac:dyDescent="0.3">
      <c r="A4279" t="s">
        <v>1272</v>
      </c>
      <c r="B4279">
        <f>F1090</f>
        <v>15</v>
      </c>
    </row>
    <row r="4280" spans="1:2" ht="15" customHeight="1" x14ac:dyDescent="0.3">
      <c r="A4280" t="s">
        <v>6626</v>
      </c>
      <c r="B4280">
        <f>F1091</f>
        <v>15</v>
      </c>
    </row>
    <row r="4281" spans="1:2" ht="15" customHeight="1" x14ac:dyDescent="0.3">
      <c r="A4281" t="s">
        <v>6627</v>
      </c>
      <c r="B4281">
        <f>F1091</f>
        <v>15</v>
      </c>
    </row>
    <row r="4282" spans="1:2" ht="15" customHeight="1" x14ac:dyDescent="0.3">
      <c r="A4282" t="s">
        <v>1273</v>
      </c>
      <c r="B4282">
        <f>F1092</f>
        <v>20</v>
      </c>
    </row>
    <row r="4283" spans="1:2" ht="15" customHeight="1" x14ac:dyDescent="0.3">
      <c r="A4283" t="s">
        <v>6628</v>
      </c>
      <c r="B4283">
        <f>F1093</f>
        <v>20</v>
      </c>
    </row>
    <row r="4284" spans="1:2" ht="15" customHeight="1" x14ac:dyDescent="0.3">
      <c r="A4284" t="s">
        <v>6629</v>
      </c>
      <c r="B4284">
        <f>F1093</f>
        <v>20</v>
      </c>
    </row>
    <row r="4285" spans="1:2" ht="15" customHeight="1" x14ac:dyDescent="0.3">
      <c r="A4285" t="s">
        <v>6630</v>
      </c>
      <c r="B4285">
        <f>F1094</f>
        <v>15</v>
      </c>
    </row>
    <row r="4286" spans="1:2" ht="15" customHeight="1" x14ac:dyDescent="0.3">
      <c r="A4286" t="s">
        <v>6631</v>
      </c>
      <c r="B4286">
        <f>F1094</f>
        <v>15</v>
      </c>
    </row>
    <row r="4287" spans="1:2" ht="15" customHeight="1" x14ac:dyDescent="0.3">
      <c r="A4287" t="s">
        <v>6632</v>
      </c>
      <c r="B4287">
        <f>F1094</f>
        <v>15</v>
      </c>
    </row>
    <row r="4288" spans="1:2" ht="15" customHeight="1" x14ac:dyDescent="0.3">
      <c r="A4288" t="s">
        <v>1274</v>
      </c>
      <c r="B4288">
        <f>F1095</f>
        <v>15</v>
      </c>
    </row>
    <row r="4289" spans="1:2" ht="15" customHeight="1" x14ac:dyDescent="0.3">
      <c r="A4289" t="s">
        <v>1275</v>
      </c>
      <c r="B4289">
        <f>F1096</f>
        <v>20</v>
      </c>
    </row>
    <row r="4290" spans="1:2" ht="15" customHeight="1" x14ac:dyDescent="0.3">
      <c r="A4290" t="s">
        <v>1276</v>
      </c>
      <c r="B4290">
        <f>F1097</f>
        <v>20</v>
      </c>
    </row>
    <row r="4291" spans="1:2" ht="15" customHeight="1" x14ac:dyDescent="0.3">
      <c r="A4291" t="s">
        <v>4198</v>
      </c>
      <c r="B4291">
        <f t="shared" ref="B4291:B4296" si="1162">B4170</f>
        <v>15</v>
      </c>
    </row>
    <row r="4292" spans="1:2" ht="15" customHeight="1" x14ac:dyDescent="0.3">
      <c r="A4292" t="s">
        <v>4199</v>
      </c>
      <c r="B4292">
        <f t="shared" si="1162"/>
        <v>15</v>
      </c>
    </row>
    <row r="4293" spans="1:2" ht="15" customHeight="1" x14ac:dyDescent="0.3">
      <c r="A4293" t="s">
        <v>4200</v>
      </c>
      <c r="B4293">
        <f t="shared" si="1162"/>
        <v>15</v>
      </c>
    </row>
    <row r="4294" spans="1:2" ht="15" customHeight="1" x14ac:dyDescent="0.3">
      <c r="A4294" t="s">
        <v>4201</v>
      </c>
      <c r="B4294">
        <f t="shared" si="1162"/>
        <v>15</v>
      </c>
    </row>
    <row r="4295" spans="1:2" ht="15" customHeight="1" x14ac:dyDescent="0.3">
      <c r="A4295" t="s">
        <v>4202</v>
      </c>
      <c r="B4295">
        <f t="shared" si="1162"/>
        <v>15</v>
      </c>
    </row>
    <row r="4296" spans="1:2" ht="15" customHeight="1" x14ac:dyDescent="0.3">
      <c r="A4296" t="s">
        <v>4203</v>
      </c>
      <c r="B4296">
        <f t="shared" si="1162"/>
        <v>15</v>
      </c>
    </row>
    <row r="4297" spans="1:2" ht="15" customHeight="1" x14ac:dyDescent="0.3">
      <c r="A4297" t="s">
        <v>4204</v>
      </c>
      <c r="B4297">
        <f>B4180</f>
        <v>15</v>
      </c>
    </row>
    <row r="4298" spans="1:2" ht="15" customHeight="1" x14ac:dyDescent="0.3">
      <c r="A4298" t="s">
        <v>4205</v>
      </c>
      <c r="B4298">
        <f t="shared" ref="B4298:B4300" si="1163">B4185</f>
        <v>15</v>
      </c>
    </row>
    <row r="4299" spans="1:2" ht="15" customHeight="1" x14ac:dyDescent="0.3">
      <c r="A4299" t="s">
        <v>4206</v>
      </c>
      <c r="B4299">
        <f t="shared" si="1163"/>
        <v>0</v>
      </c>
    </row>
    <row r="4300" spans="1:2" ht="15" customHeight="1" x14ac:dyDescent="0.3">
      <c r="A4300" t="s">
        <v>4231</v>
      </c>
      <c r="B4300">
        <f t="shared" si="1163"/>
        <v>15</v>
      </c>
    </row>
    <row r="4301" spans="1:2" ht="15" customHeight="1" x14ac:dyDescent="0.3">
      <c r="A4301" t="s">
        <v>4232</v>
      </c>
      <c r="B4301">
        <f t="shared" ref="B4301:B4322" si="1164">B4189</f>
        <v>15</v>
      </c>
    </row>
    <row r="4302" spans="1:2" ht="15" customHeight="1" x14ac:dyDescent="0.3">
      <c r="A4302" t="s">
        <v>4233</v>
      </c>
      <c r="B4302">
        <f t="shared" si="1164"/>
        <v>15</v>
      </c>
    </row>
    <row r="4303" spans="1:2" ht="15" customHeight="1" x14ac:dyDescent="0.3">
      <c r="A4303" t="s">
        <v>4234</v>
      </c>
      <c r="B4303">
        <f t="shared" si="1164"/>
        <v>15</v>
      </c>
    </row>
    <row r="4304" spans="1:2" ht="15" customHeight="1" x14ac:dyDescent="0.3">
      <c r="A4304" t="s">
        <v>4235</v>
      </c>
      <c r="B4304">
        <f t="shared" si="1164"/>
        <v>15</v>
      </c>
    </row>
    <row r="4305" spans="1:2" ht="15" customHeight="1" x14ac:dyDescent="0.3">
      <c r="A4305" t="s">
        <v>4236</v>
      </c>
      <c r="B4305">
        <f t="shared" si="1164"/>
        <v>15</v>
      </c>
    </row>
    <row r="4306" spans="1:2" ht="15" customHeight="1" x14ac:dyDescent="0.3">
      <c r="A4306" t="s">
        <v>4237</v>
      </c>
      <c r="B4306">
        <f t="shared" si="1164"/>
        <v>15</v>
      </c>
    </row>
    <row r="4307" spans="1:2" ht="15" customHeight="1" x14ac:dyDescent="0.3">
      <c r="A4307" t="s">
        <v>4238</v>
      </c>
      <c r="B4307">
        <f t="shared" si="1164"/>
        <v>15</v>
      </c>
    </row>
    <row r="4308" spans="1:2" ht="15" customHeight="1" x14ac:dyDescent="0.3">
      <c r="A4308" t="s">
        <v>4239</v>
      </c>
      <c r="B4308">
        <f t="shared" si="1164"/>
        <v>15</v>
      </c>
    </row>
    <row r="4309" spans="1:2" ht="15" customHeight="1" x14ac:dyDescent="0.3">
      <c r="A4309" t="s">
        <v>4240</v>
      </c>
      <c r="B4309">
        <f t="shared" si="1164"/>
        <v>15</v>
      </c>
    </row>
    <row r="4310" spans="1:2" ht="15" customHeight="1" x14ac:dyDescent="0.3">
      <c r="A4310" t="s">
        <v>4241</v>
      </c>
      <c r="B4310">
        <f t="shared" si="1164"/>
        <v>15</v>
      </c>
    </row>
    <row r="4311" spans="1:2" ht="15" customHeight="1" x14ac:dyDescent="0.3">
      <c r="A4311" t="s">
        <v>4242</v>
      </c>
      <c r="B4311">
        <f t="shared" si="1164"/>
        <v>15</v>
      </c>
    </row>
    <row r="4312" spans="1:2" ht="15" customHeight="1" x14ac:dyDescent="0.3">
      <c r="A4312" t="s">
        <v>4243</v>
      </c>
      <c r="B4312">
        <f t="shared" si="1164"/>
        <v>15</v>
      </c>
    </row>
    <row r="4313" spans="1:2" ht="15" customHeight="1" x14ac:dyDescent="0.3">
      <c r="A4313" t="s">
        <v>4244</v>
      </c>
      <c r="B4313">
        <f t="shared" si="1164"/>
        <v>15</v>
      </c>
    </row>
    <row r="4314" spans="1:2" ht="15" customHeight="1" x14ac:dyDescent="0.3">
      <c r="A4314" t="s">
        <v>4245</v>
      </c>
      <c r="B4314">
        <f t="shared" si="1164"/>
        <v>15</v>
      </c>
    </row>
    <row r="4315" spans="1:2" ht="15" customHeight="1" x14ac:dyDescent="0.3">
      <c r="A4315" t="s">
        <v>4246</v>
      </c>
      <c r="B4315">
        <f t="shared" si="1164"/>
        <v>15</v>
      </c>
    </row>
    <row r="4316" spans="1:2" ht="15" customHeight="1" x14ac:dyDescent="0.3">
      <c r="A4316" t="s">
        <v>4247</v>
      </c>
      <c r="B4316">
        <f t="shared" si="1164"/>
        <v>15</v>
      </c>
    </row>
    <row r="4317" spans="1:2" ht="15" customHeight="1" x14ac:dyDescent="0.3">
      <c r="A4317" t="s">
        <v>4248</v>
      </c>
      <c r="B4317">
        <f t="shared" si="1164"/>
        <v>15</v>
      </c>
    </row>
    <row r="4318" spans="1:2" ht="15" customHeight="1" x14ac:dyDescent="0.3">
      <c r="A4318" t="s">
        <v>4249</v>
      </c>
      <c r="B4318">
        <f t="shared" si="1164"/>
        <v>15</v>
      </c>
    </row>
    <row r="4319" spans="1:2" ht="15" customHeight="1" x14ac:dyDescent="0.3">
      <c r="A4319" t="s">
        <v>4250</v>
      </c>
      <c r="B4319">
        <f t="shared" si="1164"/>
        <v>15</v>
      </c>
    </row>
    <row r="4320" spans="1:2" ht="15" customHeight="1" x14ac:dyDescent="0.3">
      <c r="A4320" t="s">
        <v>4251</v>
      </c>
      <c r="B4320">
        <f t="shared" si="1164"/>
        <v>15</v>
      </c>
    </row>
    <row r="4321" spans="1:2" ht="15" customHeight="1" x14ac:dyDescent="0.3">
      <c r="A4321" t="s">
        <v>4252</v>
      </c>
      <c r="B4321">
        <f t="shared" si="1164"/>
        <v>15</v>
      </c>
    </row>
    <row r="4322" spans="1:2" ht="15" customHeight="1" x14ac:dyDescent="0.3">
      <c r="A4322" t="s">
        <v>4253</v>
      </c>
      <c r="B4322">
        <f t="shared" si="1164"/>
        <v>15</v>
      </c>
    </row>
    <row r="4323" spans="1:2" ht="15" customHeight="1" x14ac:dyDescent="0.3">
      <c r="A4323" t="s">
        <v>4254</v>
      </c>
      <c r="B4323">
        <f t="shared" ref="B4323:B4351" si="1165">B4211</f>
        <v>15</v>
      </c>
    </row>
    <row r="4324" spans="1:2" ht="15" customHeight="1" x14ac:dyDescent="0.3">
      <c r="A4324" t="s">
        <v>4255</v>
      </c>
      <c r="B4324">
        <f t="shared" si="1165"/>
        <v>15</v>
      </c>
    </row>
    <row r="4325" spans="1:2" ht="15" customHeight="1" x14ac:dyDescent="0.3">
      <c r="A4325" t="s">
        <v>4256</v>
      </c>
      <c r="B4325">
        <f t="shared" si="1165"/>
        <v>15</v>
      </c>
    </row>
    <row r="4326" spans="1:2" ht="15" customHeight="1" x14ac:dyDescent="0.3">
      <c r="A4326" t="s">
        <v>4207</v>
      </c>
      <c r="B4326">
        <f t="shared" si="1165"/>
        <v>0</v>
      </c>
    </row>
    <row r="4327" spans="1:2" ht="15" customHeight="1" x14ac:dyDescent="0.3">
      <c r="A4327" t="s">
        <v>4208</v>
      </c>
      <c r="B4327">
        <f t="shared" si="1165"/>
        <v>20</v>
      </c>
    </row>
    <row r="4328" spans="1:2" ht="15" customHeight="1" x14ac:dyDescent="0.3">
      <c r="A4328" t="s">
        <v>4209</v>
      </c>
      <c r="B4328">
        <f t="shared" si="1165"/>
        <v>20</v>
      </c>
    </row>
    <row r="4329" spans="1:2" ht="15" customHeight="1" x14ac:dyDescent="0.3">
      <c r="A4329" t="s">
        <v>4210</v>
      </c>
      <c r="B4329">
        <f t="shared" si="1165"/>
        <v>20</v>
      </c>
    </row>
    <row r="4330" spans="1:2" ht="15" customHeight="1" x14ac:dyDescent="0.3">
      <c r="A4330" t="s">
        <v>4211</v>
      </c>
      <c r="B4330">
        <f t="shared" si="1165"/>
        <v>20</v>
      </c>
    </row>
    <row r="4331" spans="1:2" ht="15" customHeight="1" x14ac:dyDescent="0.3">
      <c r="A4331" t="s">
        <v>4212</v>
      </c>
      <c r="B4331">
        <f t="shared" si="1165"/>
        <v>20</v>
      </c>
    </row>
    <row r="4332" spans="1:2" ht="15" customHeight="1" x14ac:dyDescent="0.3">
      <c r="A4332" t="s">
        <v>4213</v>
      </c>
      <c r="B4332">
        <f t="shared" si="1165"/>
        <v>20</v>
      </c>
    </row>
    <row r="4333" spans="1:2" ht="15" customHeight="1" x14ac:dyDescent="0.3">
      <c r="A4333" t="s">
        <v>4257</v>
      </c>
      <c r="B4333">
        <f t="shared" si="1165"/>
        <v>20</v>
      </c>
    </row>
    <row r="4334" spans="1:2" ht="15" customHeight="1" x14ac:dyDescent="0.3">
      <c r="A4334" t="s">
        <v>4258</v>
      </c>
      <c r="B4334">
        <f t="shared" si="1165"/>
        <v>0</v>
      </c>
    </row>
    <row r="4335" spans="1:2" ht="15" customHeight="1" x14ac:dyDescent="0.3">
      <c r="A4335" t="s">
        <v>4214</v>
      </c>
      <c r="B4335">
        <f t="shared" si="1165"/>
        <v>10</v>
      </c>
    </row>
    <row r="4336" spans="1:2" ht="15" customHeight="1" x14ac:dyDescent="0.3">
      <c r="A4336" t="s">
        <v>4215</v>
      </c>
      <c r="B4336">
        <f t="shared" si="1165"/>
        <v>20</v>
      </c>
    </row>
    <row r="4337" spans="1:2" ht="15" customHeight="1" x14ac:dyDescent="0.3">
      <c r="A4337" t="s">
        <v>4216</v>
      </c>
      <c r="B4337">
        <f t="shared" si="1165"/>
        <v>20</v>
      </c>
    </row>
    <row r="4338" spans="1:2" ht="15" customHeight="1" x14ac:dyDescent="0.3">
      <c r="A4338" t="s">
        <v>4217</v>
      </c>
      <c r="B4338">
        <f t="shared" si="1165"/>
        <v>20</v>
      </c>
    </row>
    <row r="4339" spans="1:2" ht="15" customHeight="1" x14ac:dyDescent="0.3">
      <c r="A4339" t="s">
        <v>4218</v>
      </c>
      <c r="B4339">
        <f t="shared" si="1165"/>
        <v>20</v>
      </c>
    </row>
    <row r="4340" spans="1:2" ht="15" customHeight="1" x14ac:dyDescent="0.3">
      <c r="A4340" t="s">
        <v>4219</v>
      </c>
      <c r="B4340">
        <f t="shared" si="1165"/>
        <v>20</v>
      </c>
    </row>
    <row r="4341" spans="1:2" ht="15" customHeight="1" x14ac:dyDescent="0.3">
      <c r="A4341" t="s">
        <v>4220</v>
      </c>
      <c r="B4341">
        <f t="shared" si="1165"/>
        <v>20</v>
      </c>
    </row>
    <row r="4342" spans="1:2" ht="15" customHeight="1" x14ac:dyDescent="0.3">
      <c r="A4342" t="s">
        <v>4221</v>
      </c>
      <c r="B4342">
        <f t="shared" si="1165"/>
        <v>20</v>
      </c>
    </row>
    <row r="4343" spans="1:2" ht="15" customHeight="1" x14ac:dyDescent="0.3">
      <c r="A4343" t="s">
        <v>4222</v>
      </c>
      <c r="B4343">
        <f t="shared" si="1165"/>
        <v>0</v>
      </c>
    </row>
    <row r="4344" spans="1:2" ht="15" customHeight="1" x14ac:dyDescent="0.3">
      <c r="A4344" t="s">
        <v>4223</v>
      </c>
      <c r="B4344">
        <f t="shared" si="1165"/>
        <v>15</v>
      </c>
    </row>
    <row r="4345" spans="1:2" ht="15" customHeight="1" x14ac:dyDescent="0.3">
      <c r="A4345" t="s">
        <v>4224</v>
      </c>
      <c r="B4345">
        <f t="shared" si="1165"/>
        <v>15</v>
      </c>
    </row>
    <row r="4346" spans="1:2" ht="15" customHeight="1" x14ac:dyDescent="0.3">
      <c r="A4346" t="s">
        <v>4225</v>
      </c>
      <c r="B4346">
        <f t="shared" si="1165"/>
        <v>20</v>
      </c>
    </row>
    <row r="4347" spans="1:2" ht="15" customHeight="1" x14ac:dyDescent="0.3">
      <c r="A4347" t="s">
        <v>4226</v>
      </c>
      <c r="B4347">
        <f t="shared" si="1165"/>
        <v>20</v>
      </c>
    </row>
    <row r="4348" spans="1:2" ht="15" customHeight="1" x14ac:dyDescent="0.3">
      <c r="A4348" t="s">
        <v>4227</v>
      </c>
      <c r="B4348">
        <f t="shared" si="1165"/>
        <v>20</v>
      </c>
    </row>
    <row r="4349" spans="1:2" ht="15" customHeight="1" x14ac:dyDescent="0.3">
      <c r="A4349" t="s">
        <v>4228</v>
      </c>
      <c r="B4349">
        <f t="shared" si="1165"/>
        <v>20</v>
      </c>
    </row>
    <row r="4350" spans="1:2" ht="15" customHeight="1" x14ac:dyDescent="0.3">
      <c r="A4350" t="s">
        <v>4229</v>
      </c>
      <c r="B4350">
        <f t="shared" si="1165"/>
        <v>20</v>
      </c>
    </row>
    <row r="4351" spans="1:2" ht="15" customHeight="1" x14ac:dyDescent="0.3">
      <c r="A4351" t="s">
        <v>4230</v>
      </c>
      <c r="B4351">
        <f t="shared" si="1165"/>
        <v>15</v>
      </c>
    </row>
    <row r="4352" spans="1:2" ht="15" customHeight="1" x14ac:dyDescent="0.3">
      <c r="A4352" t="s">
        <v>1278</v>
      </c>
      <c r="B4352">
        <f>F1382</f>
        <v>20</v>
      </c>
    </row>
    <row r="4353" spans="1:2" ht="15" customHeight="1" x14ac:dyDescent="0.3">
      <c r="A4353" t="s">
        <v>4433</v>
      </c>
      <c r="B4353">
        <f>F1382</f>
        <v>20</v>
      </c>
    </row>
    <row r="4354" spans="1:2" ht="15" customHeight="1" x14ac:dyDescent="0.3">
      <c r="A4354" t="s">
        <v>1277</v>
      </c>
      <c r="B4354">
        <f>F1381</f>
        <v>20</v>
      </c>
    </row>
    <row r="4355" spans="1:2" ht="15" customHeight="1" x14ac:dyDescent="0.3">
      <c r="A4355" t="s">
        <v>4432</v>
      </c>
      <c r="B4355">
        <f>F1381</f>
        <v>20</v>
      </c>
    </row>
    <row r="4356" spans="1:2" ht="15" customHeight="1" x14ac:dyDescent="0.3">
      <c r="A4356" t="s">
        <v>10492</v>
      </c>
      <c r="B4356">
        <f>F1382</f>
        <v>20</v>
      </c>
    </row>
    <row r="4357" spans="1:2" ht="15" customHeight="1" x14ac:dyDescent="0.3">
      <c r="A4357" t="s">
        <v>10493</v>
      </c>
      <c r="B4357">
        <f>F1382</f>
        <v>20</v>
      </c>
    </row>
    <row r="4358" spans="1:2" ht="15" customHeight="1" x14ac:dyDescent="0.3">
      <c r="A4358" t="s">
        <v>10494</v>
      </c>
      <c r="B4358">
        <f>F1381</f>
        <v>20</v>
      </c>
    </row>
    <row r="4359" spans="1:2" ht="15" customHeight="1" x14ac:dyDescent="0.3">
      <c r="A4359" t="s">
        <v>10495</v>
      </c>
      <c r="B4359">
        <f>F1381</f>
        <v>20</v>
      </c>
    </row>
    <row r="4360" spans="1:2" ht="15" customHeight="1" x14ac:dyDescent="0.3">
      <c r="A4360" t="s">
        <v>10496</v>
      </c>
      <c r="B4360">
        <f>F1381</f>
        <v>20</v>
      </c>
    </row>
    <row r="4361" spans="1:2" ht="15" customHeight="1" x14ac:dyDescent="0.3">
      <c r="A4361" t="s">
        <v>10497</v>
      </c>
      <c r="B4361">
        <f>F1381</f>
        <v>20</v>
      </c>
    </row>
    <row r="4362" spans="1:2" ht="15" customHeight="1" x14ac:dyDescent="0.3">
      <c r="A4362" t="s">
        <v>12594</v>
      </c>
      <c r="B4362">
        <f>F1384</f>
        <v>10</v>
      </c>
    </row>
    <row r="4363" spans="1:2" ht="15" customHeight="1" x14ac:dyDescent="0.3">
      <c r="A4363" t="s">
        <v>12595</v>
      </c>
      <c r="B4363">
        <f>F1384</f>
        <v>10</v>
      </c>
    </row>
    <row r="4364" spans="1:2" ht="15" customHeight="1" x14ac:dyDescent="0.3">
      <c r="A4364" t="s">
        <v>12593</v>
      </c>
      <c r="B4364">
        <f>F1383</f>
        <v>10</v>
      </c>
    </row>
    <row r="4365" spans="1:2" ht="15" customHeight="1" x14ac:dyDescent="0.3">
      <c r="A4365" t="s">
        <v>12596</v>
      </c>
      <c r="B4365">
        <f>F1383</f>
        <v>10</v>
      </c>
    </row>
    <row r="4366" spans="1:2" ht="15" customHeight="1" x14ac:dyDescent="0.3">
      <c r="A4366" t="s">
        <v>12597</v>
      </c>
      <c r="B4366">
        <f>F1384</f>
        <v>10</v>
      </c>
    </row>
    <row r="4367" spans="1:2" ht="15" customHeight="1" x14ac:dyDescent="0.3">
      <c r="A4367" t="s">
        <v>12598</v>
      </c>
      <c r="B4367">
        <f>F1384</f>
        <v>10</v>
      </c>
    </row>
    <row r="4368" spans="1:2" ht="15" customHeight="1" x14ac:dyDescent="0.3">
      <c r="A4368" t="s">
        <v>12599</v>
      </c>
      <c r="B4368">
        <f>F1383</f>
        <v>10</v>
      </c>
    </row>
    <row r="4369" spans="1:2" ht="15" customHeight="1" x14ac:dyDescent="0.3">
      <c r="A4369" t="s">
        <v>12600</v>
      </c>
      <c r="B4369">
        <f>F1383</f>
        <v>10</v>
      </c>
    </row>
    <row r="4370" spans="1:2" ht="15" customHeight="1" x14ac:dyDescent="0.3">
      <c r="A4370" t="s">
        <v>12601</v>
      </c>
      <c r="B4370">
        <f>F1383</f>
        <v>10</v>
      </c>
    </row>
    <row r="4371" spans="1:2" ht="15" customHeight="1" x14ac:dyDescent="0.3">
      <c r="A4371" t="s">
        <v>12602</v>
      </c>
      <c r="B4371">
        <f>F1383</f>
        <v>10</v>
      </c>
    </row>
    <row r="4372" spans="1:2" ht="15" customHeight="1" x14ac:dyDescent="0.3">
      <c r="A4372" s="33" t="s">
        <v>3723</v>
      </c>
      <c r="B4372">
        <f>F1385</f>
        <v>4</v>
      </c>
    </row>
    <row r="4373" spans="1:2" ht="15" customHeight="1" x14ac:dyDescent="0.3">
      <c r="A4373" s="33" t="s">
        <v>3813</v>
      </c>
      <c r="B4373">
        <f>F1401</f>
        <v>7</v>
      </c>
    </row>
    <row r="4374" spans="1:2" ht="15" customHeight="1" x14ac:dyDescent="0.3">
      <c r="A4374" s="33" t="s">
        <v>3724</v>
      </c>
      <c r="B4374">
        <f>F1385</f>
        <v>4</v>
      </c>
    </row>
    <row r="4375" spans="1:2" ht="15" customHeight="1" x14ac:dyDescent="0.3">
      <c r="A4375" s="33" t="s">
        <v>3725</v>
      </c>
      <c r="B4375">
        <f>F1385</f>
        <v>4</v>
      </c>
    </row>
    <row r="4376" spans="1:2" ht="15" customHeight="1" x14ac:dyDescent="0.3">
      <c r="A4376" s="33" t="s">
        <v>3726</v>
      </c>
      <c r="B4376">
        <f>F1385</f>
        <v>4</v>
      </c>
    </row>
    <row r="4377" spans="1:2" ht="15" customHeight="1" x14ac:dyDescent="0.3">
      <c r="A4377" s="33" t="s">
        <v>3727</v>
      </c>
      <c r="B4377">
        <f>F1385</f>
        <v>4</v>
      </c>
    </row>
    <row r="4378" spans="1:2" ht="15" customHeight="1" x14ac:dyDescent="0.3">
      <c r="A4378" s="33" t="s">
        <v>3728</v>
      </c>
      <c r="B4378">
        <f>F1386</f>
        <v>4</v>
      </c>
    </row>
    <row r="4379" spans="1:2" ht="15" customHeight="1" x14ac:dyDescent="0.3">
      <c r="A4379" s="33" t="s">
        <v>3729</v>
      </c>
      <c r="B4379">
        <f>F1386</f>
        <v>4</v>
      </c>
    </row>
    <row r="4380" spans="1:2" ht="15" customHeight="1" x14ac:dyDescent="0.3">
      <c r="A4380" s="33" t="s">
        <v>3730</v>
      </c>
      <c r="B4380">
        <f>F1386</f>
        <v>4</v>
      </c>
    </row>
    <row r="4381" spans="1:2" ht="15" customHeight="1" x14ac:dyDescent="0.3">
      <c r="A4381" s="33" t="s">
        <v>3731</v>
      </c>
      <c r="B4381">
        <f>F1386</f>
        <v>4</v>
      </c>
    </row>
    <row r="4382" spans="1:2" ht="15" customHeight="1" x14ac:dyDescent="0.3">
      <c r="A4382" s="33" t="s">
        <v>3732</v>
      </c>
      <c r="B4382">
        <f>F1386</f>
        <v>4</v>
      </c>
    </row>
    <row r="4383" spans="1:2" ht="15" customHeight="1" x14ac:dyDescent="0.3">
      <c r="A4383" s="33" t="s">
        <v>3733</v>
      </c>
      <c r="B4383">
        <f>F1386</f>
        <v>4</v>
      </c>
    </row>
    <row r="4384" spans="1:2" ht="15" customHeight="1" x14ac:dyDescent="0.3">
      <c r="A4384" s="33" t="s">
        <v>3734</v>
      </c>
      <c r="B4384">
        <f>F1387</f>
        <v>4</v>
      </c>
    </row>
    <row r="4385" spans="1:2" ht="15" customHeight="1" x14ac:dyDescent="0.3">
      <c r="A4385" s="33" t="s">
        <v>3735</v>
      </c>
      <c r="B4385">
        <f>F1387</f>
        <v>4</v>
      </c>
    </row>
    <row r="4386" spans="1:2" ht="15" customHeight="1" x14ac:dyDescent="0.3">
      <c r="A4386" s="33" t="s">
        <v>3736</v>
      </c>
      <c r="B4386">
        <f>F1387</f>
        <v>4</v>
      </c>
    </row>
    <row r="4387" spans="1:2" ht="15" customHeight="1" x14ac:dyDescent="0.3">
      <c r="A4387" s="33" t="s">
        <v>3737</v>
      </c>
      <c r="B4387">
        <f>F1388</f>
        <v>4</v>
      </c>
    </row>
    <row r="4388" spans="1:2" ht="15" customHeight="1" x14ac:dyDescent="0.3">
      <c r="A4388" s="33" t="s">
        <v>3738</v>
      </c>
      <c r="B4388">
        <f>F1388</f>
        <v>4</v>
      </c>
    </row>
    <row r="4389" spans="1:2" ht="15" customHeight="1" x14ac:dyDescent="0.3">
      <c r="A4389" s="33" t="s">
        <v>3739</v>
      </c>
      <c r="B4389">
        <f>F1389</f>
        <v>4</v>
      </c>
    </row>
    <row r="4390" spans="1:2" ht="15" customHeight="1" x14ac:dyDescent="0.3">
      <c r="A4390" s="33" t="s">
        <v>3740</v>
      </c>
      <c r="B4390">
        <f>F1389</f>
        <v>4</v>
      </c>
    </row>
    <row r="4391" spans="1:2" ht="15" customHeight="1" x14ac:dyDescent="0.3">
      <c r="A4391" s="33" t="s">
        <v>3741</v>
      </c>
      <c r="B4391">
        <f>F1389</f>
        <v>4</v>
      </c>
    </row>
    <row r="4392" spans="1:2" ht="15" customHeight="1" x14ac:dyDescent="0.3">
      <c r="A4392" s="33" t="s">
        <v>3742</v>
      </c>
      <c r="B4392">
        <f>F1389</f>
        <v>4</v>
      </c>
    </row>
    <row r="4393" spans="1:2" ht="15" customHeight="1" x14ac:dyDescent="0.3">
      <c r="A4393" s="33" t="s">
        <v>3743</v>
      </c>
      <c r="B4393">
        <f>F1389</f>
        <v>4</v>
      </c>
    </row>
    <row r="4394" spans="1:2" ht="15" customHeight="1" x14ac:dyDescent="0.3">
      <c r="A4394" s="33" t="s">
        <v>3744</v>
      </c>
      <c r="B4394">
        <f>F1389</f>
        <v>4</v>
      </c>
    </row>
    <row r="4395" spans="1:2" ht="15" customHeight="1" x14ac:dyDescent="0.3">
      <c r="A4395" s="33" t="s">
        <v>3745</v>
      </c>
      <c r="B4395">
        <f>F1389</f>
        <v>4</v>
      </c>
    </row>
    <row r="4396" spans="1:2" ht="15" customHeight="1" x14ac:dyDescent="0.3">
      <c r="A4396" s="33" t="s">
        <v>3746</v>
      </c>
      <c r="B4396">
        <f>F1389</f>
        <v>4</v>
      </c>
    </row>
    <row r="4397" spans="1:2" ht="15" customHeight="1" x14ac:dyDescent="0.3">
      <c r="A4397" s="33" t="s">
        <v>3747</v>
      </c>
      <c r="B4397">
        <f>F1389</f>
        <v>4</v>
      </c>
    </row>
    <row r="4398" spans="1:2" ht="15" customHeight="1" x14ac:dyDescent="0.3">
      <c r="A4398" s="33" t="s">
        <v>3751</v>
      </c>
      <c r="B4398">
        <f>F1389</f>
        <v>4</v>
      </c>
    </row>
    <row r="4399" spans="1:2" ht="15" customHeight="1" x14ac:dyDescent="0.3">
      <c r="A4399" s="33" t="s">
        <v>3748</v>
      </c>
      <c r="B4399">
        <f>F1389</f>
        <v>4</v>
      </c>
    </row>
    <row r="4400" spans="1:2" ht="15" customHeight="1" x14ac:dyDescent="0.3">
      <c r="A4400" s="33" t="s">
        <v>3749</v>
      </c>
      <c r="B4400">
        <f>F1389</f>
        <v>4</v>
      </c>
    </row>
    <row r="4401" spans="1:2" ht="15" customHeight="1" x14ac:dyDescent="0.3">
      <c r="A4401" s="33" t="s">
        <v>3750</v>
      </c>
      <c r="B4401">
        <f>F1389</f>
        <v>4</v>
      </c>
    </row>
    <row r="4402" spans="1:2" ht="15" customHeight="1" x14ac:dyDescent="0.3">
      <c r="A4402" s="33" t="s">
        <v>3752</v>
      </c>
      <c r="B4402">
        <f>F1390</f>
        <v>5</v>
      </c>
    </row>
    <row r="4403" spans="1:2" ht="15" customHeight="1" x14ac:dyDescent="0.3">
      <c r="A4403" s="33" t="s">
        <v>3753</v>
      </c>
      <c r="B4403">
        <f>F1390</f>
        <v>5</v>
      </c>
    </row>
    <row r="4404" spans="1:2" ht="15" customHeight="1" x14ac:dyDescent="0.3">
      <c r="A4404" s="33" t="s">
        <v>3754</v>
      </c>
      <c r="B4404">
        <f>F1391</f>
        <v>4</v>
      </c>
    </row>
    <row r="4405" spans="1:2" ht="15" customHeight="1" x14ac:dyDescent="0.3">
      <c r="A4405" s="33" t="s">
        <v>3755</v>
      </c>
      <c r="B4405">
        <f>F1391</f>
        <v>4</v>
      </c>
    </row>
    <row r="4406" spans="1:2" ht="15" customHeight="1" x14ac:dyDescent="0.3">
      <c r="A4406" s="33" t="s">
        <v>3756</v>
      </c>
      <c r="B4406">
        <f>F1391</f>
        <v>4</v>
      </c>
    </row>
    <row r="4407" spans="1:2" ht="15" customHeight="1" x14ac:dyDescent="0.3">
      <c r="A4407" s="33" t="s">
        <v>3757</v>
      </c>
      <c r="B4407">
        <f>F1392</f>
        <v>4</v>
      </c>
    </row>
    <row r="4408" spans="1:2" ht="15" customHeight="1" x14ac:dyDescent="0.3">
      <c r="A4408" s="33" t="s">
        <v>3758</v>
      </c>
      <c r="B4408">
        <f>F1392</f>
        <v>4</v>
      </c>
    </row>
    <row r="4409" spans="1:2" ht="15" customHeight="1" x14ac:dyDescent="0.3">
      <c r="A4409" s="33" t="s">
        <v>3759</v>
      </c>
      <c r="B4409">
        <f>F1392</f>
        <v>4</v>
      </c>
    </row>
    <row r="4410" spans="1:2" ht="15" customHeight="1" x14ac:dyDescent="0.3">
      <c r="A4410" s="33" t="s">
        <v>3760</v>
      </c>
      <c r="B4410">
        <f>F1392</f>
        <v>4</v>
      </c>
    </row>
    <row r="4411" spans="1:2" ht="15" customHeight="1" x14ac:dyDescent="0.3">
      <c r="A4411" s="33" t="s">
        <v>3761</v>
      </c>
      <c r="B4411">
        <f>F1392</f>
        <v>4</v>
      </c>
    </row>
    <row r="4412" spans="1:2" ht="15" customHeight="1" x14ac:dyDescent="0.3">
      <c r="A4412" s="33" t="s">
        <v>3762</v>
      </c>
      <c r="B4412">
        <f>F1392</f>
        <v>4</v>
      </c>
    </row>
    <row r="4413" spans="1:2" ht="15" customHeight="1" x14ac:dyDescent="0.3">
      <c r="A4413" s="33" t="s">
        <v>3763</v>
      </c>
      <c r="B4413">
        <f>F1392</f>
        <v>4</v>
      </c>
    </row>
    <row r="4414" spans="1:2" ht="15" customHeight="1" x14ac:dyDescent="0.3">
      <c r="A4414" s="33" t="s">
        <v>3764</v>
      </c>
      <c r="B4414">
        <f>F1392</f>
        <v>4</v>
      </c>
    </row>
    <row r="4415" spans="1:2" ht="15" customHeight="1" x14ac:dyDescent="0.3">
      <c r="A4415" s="33" t="s">
        <v>3765</v>
      </c>
      <c r="B4415">
        <f>F1392</f>
        <v>4</v>
      </c>
    </row>
    <row r="4416" spans="1:2" ht="15" customHeight="1" x14ac:dyDescent="0.3">
      <c r="A4416" s="33" t="s">
        <v>3766</v>
      </c>
      <c r="B4416">
        <f>F1392</f>
        <v>4</v>
      </c>
    </row>
    <row r="4417" spans="1:2" ht="15" customHeight="1" x14ac:dyDescent="0.3">
      <c r="A4417" s="33" t="s">
        <v>3767</v>
      </c>
      <c r="B4417">
        <f>F1392</f>
        <v>4</v>
      </c>
    </row>
    <row r="4418" spans="1:2" ht="15" customHeight="1" x14ac:dyDescent="0.3">
      <c r="A4418" s="33" t="s">
        <v>3768</v>
      </c>
      <c r="B4418">
        <f>F1392</f>
        <v>4</v>
      </c>
    </row>
    <row r="4419" spans="1:2" ht="15" customHeight="1" x14ac:dyDescent="0.3">
      <c r="A4419" s="33" t="s">
        <v>3769</v>
      </c>
      <c r="B4419">
        <f>F1393</f>
        <v>4</v>
      </c>
    </row>
    <row r="4420" spans="1:2" ht="15" customHeight="1" x14ac:dyDescent="0.3">
      <c r="A4420" s="33" t="s">
        <v>3770</v>
      </c>
      <c r="B4420">
        <f>F1393</f>
        <v>4</v>
      </c>
    </row>
    <row r="4421" spans="1:2" ht="15" customHeight="1" x14ac:dyDescent="0.3">
      <c r="A4421" s="33" t="s">
        <v>3771</v>
      </c>
      <c r="B4421">
        <f>F1393</f>
        <v>4</v>
      </c>
    </row>
    <row r="4422" spans="1:2" ht="15" customHeight="1" x14ac:dyDescent="0.3">
      <c r="A4422" s="33" t="s">
        <v>3772</v>
      </c>
      <c r="B4422">
        <f>F1393</f>
        <v>4</v>
      </c>
    </row>
    <row r="4423" spans="1:2" ht="15" customHeight="1" x14ac:dyDescent="0.3">
      <c r="A4423" s="33" t="s">
        <v>3773</v>
      </c>
      <c r="B4423">
        <f>F1393</f>
        <v>4</v>
      </c>
    </row>
    <row r="4424" spans="1:2" ht="15" customHeight="1" x14ac:dyDescent="0.3">
      <c r="A4424" s="33" t="s">
        <v>3775</v>
      </c>
      <c r="B4424">
        <f>F1393</f>
        <v>4</v>
      </c>
    </row>
    <row r="4425" spans="1:2" ht="15" customHeight="1" x14ac:dyDescent="0.3">
      <c r="A4425" s="33" t="s">
        <v>3774</v>
      </c>
      <c r="B4425">
        <f>F1393</f>
        <v>4</v>
      </c>
    </row>
    <row r="4426" spans="1:2" ht="15" customHeight="1" x14ac:dyDescent="0.3">
      <c r="A4426" s="33" t="s">
        <v>3776</v>
      </c>
      <c r="B4426">
        <f>F1393</f>
        <v>4</v>
      </c>
    </row>
    <row r="4427" spans="1:2" ht="15" customHeight="1" x14ac:dyDescent="0.3">
      <c r="A4427" s="33" t="s">
        <v>3777</v>
      </c>
      <c r="B4427">
        <f>F1394</f>
        <v>4</v>
      </c>
    </row>
    <row r="4428" spans="1:2" ht="15" customHeight="1" x14ac:dyDescent="0.3">
      <c r="A4428" s="33" t="s">
        <v>3778</v>
      </c>
      <c r="B4428">
        <f>F1394</f>
        <v>4</v>
      </c>
    </row>
    <row r="4429" spans="1:2" ht="15" customHeight="1" x14ac:dyDescent="0.3">
      <c r="A4429" s="33" t="s">
        <v>3779</v>
      </c>
      <c r="B4429">
        <f>F1395</f>
        <v>3</v>
      </c>
    </row>
    <row r="4430" spans="1:2" ht="15" customHeight="1" x14ac:dyDescent="0.3">
      <c r="A4430" t="s">
        <v>1288</v>
      </c>
      <c r="B4430">
        <f>F1396</f>
        <v>3</v>
      </c>
    </row>
    <row r="4431" spans="1:2" ht="15" customHeight="1" x14ac:dyDescent="0.3">
      <c r="A4431" s="33" t="s">
        <v>3780</v>
      </c>
      <c r="B4431">
        <f>F1395</f>
        <v>3</v>
      </c>
    </row>
    <row r="4432" spans="1:2" ht="15" customHeight="1" x14ac:dyDescent="0.3">
      <c r="A4432" s="33" t="s">
        <v>3781</v>
      </c>
      <c r="B4432">
        <f>F1397</f>
        <v>4</v>
      </c>
    </row>
    <row r="4433" spans="1:2" ht="15" customHeight="1" x14ac:dyDescent="0.3">
      <c r="A4433" s="33" t="s">
        <v>3784</v>
      </c>
      <c r="B4433">
        <f>F1398</f>
        <v>7</v>
      </c>
    </row>
    <row r="4434" spans="1:2" ht="15" customHeight="1" x14ac:dyDescent="0.3">
      <c r="A4434" s="33" t="s">
        <v>3782</v>
      </c>
      <c r="B4434">
        <f>F1397</f>
        <v>4</v>
      </c>
    </row>
    <row r="4435" spans="1:2" ht="15" customHeight="1" x14ac:dyDescent="0.3">
      <c r="A4435" s="33" t="s">
        <v>3783</v>
      </c>
      <c r="B4435">
        <f>F1397</f>
        <v>4</v>
      </c>
    </row>
    <row r="4436" spans="1:2" ht="15" customHeight="1" x14ac:dyDescent="0.3">
      <c r="A4436" s="33" t="s">
        <v>3785</v>
      </c>
      <c r="B4436">
        <f>F1398</f>
        <v>7</v>
      </c>
    </row>
    <row r="4437" spans="1:2" ht="15" customHeight="1" x14ac:dyDescent="0.3">
      <c r="A4437" s="33" t="s">
        <v>3786</v>
      </c>
      <c r="B4437">
        <f>F1398</f>
        <v>7</v>
      </c>
    </row>
    <row r="4438" spans="1:2" ht="15" customHeight="1" x14ac:dyDescent="0.3">
      <c r="A4438" s="33" t="s">
        <v>3802</v>
      </c>
      <c r="B4438">
        <f>F1400</f>
        <v>8</v>
      </c>
    </row>
    <row r="4439" spans="1:2" ht="15" customHeight="1" x14ac:dyDescent="0.3">
      <c r="A4439" s="33" t="s">
        <v>3787</v>
      </c>
      <c r="B4439">
        <f>F1399</f>
        <v>8</v>
      </c>
    </row>
    <row r="4440" spans="1:2" ht="15" customHeight="1" x14ac:dyDescent="0.3">
      <c r="A4440" s="33" t="s">
        <v>3788</v>
      </c>
      <c r="B4440">
        <f>F1399</f>
        <v>8</v>
      </c>
    </row>
    <row r="4441" spans="1:2" ht="15" customHeight="1" x14ac:dyDescent="0.3">
      <c r="A4441" s="33" t="s">
        <v>3789</v>
      </c>
      <c r="B4441">
        <f>F1399</f>
        <v>8</v>
      </c>
    </row>
    <row r="4442" spans="1:2" ht="15" customHeight="1" x14ac:dyDescent="0.3">
      <c r="A4442" s="33" t="s">
        <v>3790</v>
      </c>
      <c r="B4442">
        <f>F1399</f>
        <v>8</v>
      </c>
    </row>
    <row r="4443" spans="1:2" ht="15" customHeight="1" x14ac:dyDescent="0.3">
      <c r="A4443" s="33" t="s">
        <v>3791</v>
      </c>
      <c r="B4443">
        <f>F1399</f>
        <v>8</v>
      </c>
    </row>
    <row r="4444" spans="1:2" ht="15" customHeight="1" x14ac:dyDescent="0.3">
      <c r="A4444" s="33" t="s">
        <v>3792</v>
      </c>
      <c r="B4444">
        <f>F1399</f>
        <v>8</v>
      </c>
    </row>
    <row r="4445" spans="1:2" ht="15" customHeight="1" x14ac:dyDescent="0.3">
      <c r="A4445" s="33" t="s">
        <v>3793</v>
      </c>
      <c r="B4445">
        <f>F1399</f>
        <v>8</v>
      </c>
    </row>
    <row r="4446" spans="1:2" ht="15" customHeight="1" x14ac:dyDescent="0.3">
      <c r="A4446" s="33" t="s">
        <v>3794</v>
      </c>
      <c r="B4446">
        <f>F1399</f>
        <v>8</v>
      </c>
    </row>
    <row r="4447" spans="1:2" ht="15" customHeight="1" x14ac:dyDescent="0.3">
      <c r="A4447" s="33" t="s">
        <v>3795</v>
      </c>
      <c r="B4447">
        <f>F1399</f>
        <v>8</v>
      </c>
    </row>
    <row r="4448" spans="1:2" ht="15" customHeight="1" x14ac:dyDescent="0.3">
      <c r="A4448" s="33" t="s">
        <v>3796</v>
      </c>
      <c r="B4448">
        <f>F1399</f>
        <v>8</v>
      </c>
    </row>
    <row r="4449" spans="1:2" ht="15" customHeight="1" x14ac:dyDescent="0.3">
      <c r="A4449" s="33" t="s">
        <v>3797</v>
      </c>
      <c r="B4449">
        <f>F1399</f>
        <v>8</v>
      </c>
    </row>
    <row r="4450" spans="1:2" ht="15" customHeight="1" x14ac:dyDescent="0.3">
      <c r="A4450" s="33" t="s">
        <v>3798</v>
      </c>
      <c r="B4450">
        <f>F1399</f>
        <v>8</v>
      </c>
    </row>
    <row r="4451" spans="1:2" ht="15" customHeight="1" x14ac:dyDescent="0.3">
      <c r="A4451" s="33" t="s">
        <v>3799</v>
      </c>
      <c r="B4451">
        <f>F1399</f>
        <v>8</v>
      </c>
    </row>
    <row r="4452" spans="1:2" ht="15" customHeight="1" x14ac:dyDescent="0.3">
      <c r="A4452" s="33" t="s">
        <v>3800</v>
      </c>
      <c r="B4452">
        <f>F1399</f>
        <v>8</v>
      </c>
    </row>
    <row r="4453" spans="1:2" ht="15" customHeight="1" x14ac:dyDescent="0.3">
      <c r="A4453" s="33" t="s">
        <v>3801</v>
      </c>
      <c r="B4453">
        <f>F1399</f>
        <v>8</v>
      </c>
    </row>
    <row r="4454" spans="1:2" ht="15" customHeight="1" x14ac:dyDescent="0.3">
      <c r="A4454" s="33" t="s">
        <v>3803</v>
      </c>
      <c r="B4454">
        <f>F1400</f>
        <v>8</v>
      </c>
    </row>
    <row r="4455" spans="1:2" ht="15" customHeight="1" x14ac:dyDescent="0.3">
      <c r="A4455" s="33" t="s">
        <v>3804</v>
      </c>
      <c r="B4455">
        <f>F1400</f>
        <v>8</v>
      </c>
    </row>
    <row r="4456" spans="1:2" ht="15" customHeight="1" x14ac:dyDescent="0.3">
      <c r="A4456" s="33" t="s">
        <v>3805</v>
      </c>
      <c r="B4456">
        <f>F1400</f>
        <v>8</v>
      </c>
    </row>
    <row r="4457" spans="1:2" ht="15" customHeight="1" x14ac:dyDescent="0.3">
      <c r="A4457" s="33" t="s">
        <v>3806</v>
      </c>
      <c r="B4457">
        <f>F1400</f>
        <v>8</v>
      </c>
    </row>
    <row r="4458" spans="1:2" ht="15" customHeight="1" x14ac:dyDescent="0.3">
      <c r="A4458" s="33" t="s">
        <v>3807</v>
      </c>
      <c r="B4458">
        <f>F1400</f>
        <v>8</v>
      </c>
    </row>
    <row r="4459" spans="1:2" ht="15" customHeight="1" x14ac:dyDescent="0.3">
      <c r="A4459" s="33" t="s">
        <v>3808</v>
      </c>
      <c r="B4459">
        <f>F1400</f>
        <v>8</v>
      </c>
    </row>
    <row r="4460" spans="1:2" ht="15" customHeight="1" x14ac:dyDescent="0.3">
      <c r="A4460" s="33" t="s">
        <v>3812</v>
      </c>
      <c r="B4460">
        <f>F1400</f>
        <v>8</v>
      </c>
    </row>
    <row r="4461" spans="1:2" ht="15" customHeight="1" x14ac:dyDescent="0.3">
      <c r="A4461" s="33" t="s">
        <v>3809</v>
      </c>
      <c r="B4461">
        <f>F1400</f>
        <v>8</v>
      </c>
    </row>
    <row r="4462" spans="1:2" ht="15" customHeight="1" x14ac:dyDescent="0.3">
      <c r="A4462" s="33" t="s">
        <v>3810</v>
      </c>
      <c r="B4462">
        <f>F1400</f>
        <v>8</v>
      </c>
    </row>
    <row r="4463" spans="1:2" ht="15" customHeight="1" x14ac:dyDescent="0.3">
      <c r="A4463" s="33" t="s">
        <v>3811</v>
      </c>
      <c r="B4463">
        <f>F1400</f>
        <v>8</v>
      </c>
    </row>
    <row r="4464" spans="1:2" ht="15" customHeight="1" x14ac:dyDescent="0.3">
      <c r="A4464" s="33" t="s">
        <v>3814</v>
      </c>
      <c r="B4464">
        <f>F1401</f>
        <v>7</v>
      </c>
    </row>
    <row r="4465" spans="1:2" ht="15" customHeight="1" x14ac:dyDescent="0.3">
      <c r="A4465" s="33" t="s">
        <v>3815</v>
      </c>
      <c r="B4465">
        <f>F1401</f>
        <v>7</v>
      </c>
    </row>
    <row r="4466" spans="1:2" ht="15" customHeight="1" x14ac:dyDescent="0.3">
      <c r="A4466" s="33" t="s">
        <v>3816</v>
      </c>
      <c r="B4466">
        <f>F1401</f>
        <v>7</v>
      </c>
    </row>
    <row r="4467" spans="1:2" ht="15" customHeight="1" x14ac:dyDescent="0.3">
      <c r="A4467" s="33" t="s">
        <v>3817</v>
      </c>
      <c r="B4467">
        <f>F1401</f>
        <v>7</v>
      </c>
    </row>
    <row r="4468" spans="1:2" ht="15" customHeight="1" x14ac:dyDescent="0.3">
      <c r="A4468" s="33" t="s">
        <v>3818</v>
      </c>
      <c r="B4468">
        <f>F1401</f>
        <v>7</v>
      </c>
    </row>
    <row r="4469" spans="1:2" ht="15" customHeight="1" x14ac:dyDescent="0.3">
      <c r="A4469" s="33" t="s">
        <v>3819</v>
      </c>
      <c r="B4469">
        <f>F1401</f>
        <v>7</v>
      </c>
    </row>
    <row r="4470" spans="1:2" ht="15" customHeight="1" x14ac:dyDescent="0.3">
      <c r="A4470" t="s">
        <v>1294</v>
      </c>
      <c r="B4470">
        <f>F1392</f>
        <v>4</v>
      </c>
    </row>
    <row r="4471" spans="1:2" ht="15" customHeight="1" x14ac:dyDescent="0.3">
      <c r="A4471" t="s">
        <v>1295</v>
      </c>
      <c r="B4471">
        <f>F1402</f>
        <v>8</v>
      </c>
    </row>
    <row r="4472" spans="1:2" ht="15" customHeight="1" x14ac:dyDescent="0.3">
      <c r="A4472" t="s">
        <v>1296</v>
      </c>
      <c r="B4472">
        <f>F1403</f>
        <v>0</v>
      </c>
    </row>
    <row r="4473" spans="1:2" ht="15" customHeight="1" x14ac:dyDescent="0.3">
      <c r="A4473" s="33" t="s">
        <v>3820</v>
      </c>
      <c r="B4473">
        <f>F1404</f>
        <v>4</v>
      </c>
    </row>
    <row r="4474" spans="1:2" ht="15" customHeight="1" x14ac:dyDescent="0.3">
      <c r="A4474" t="s">
        <v>1297</v>
      </c>
      <c r="B4474">
        <f>F1405</f>
        <v>0</v>
      </c>
    </row>
    <row r="4475" spans="1:2" ht="15" customHeight="1" x14ac:dyDescent="0.3">
      <c r="A4475" s="33" t="s">
        <v>3821</v>
      </c>
      <c r="B4475">
        <f>F1406</f>
        <v>4</v>
      </c>
    </row>
    <row r="4476" spans="1:2" ht="15" customHeight="1" x14ac:dyDescent="0.3">
      <c r="A4476" s="33" t="s">
        <v>3822</v>
      </c>
      <c r="B4476">
        <f>F1406</f>
        <v>4</v>
      </c>
    </row>
    <row r="4477" spans="1:2" ht="15" customHeight="1" x14ac:dyDescent="0.3">
      <c r="A4477" s="33" t="s">
        <v>3823</v>
      </c>
      <c r="B4477">
        <f>F1406</f>
        <v>4</v>
      </c>
    </row>
    <row r="4478" spans="1:2" ht="15" customHeight="1" x14ac:dyDescent="0.3">
      <c r="A4478" s="33" t="s">
        <v>3824</v>
      </c>
      <c r="B4478">
        <f>F1406</f>
        <v>4</v>
      </c>
    </row>
    <row r="4479" spans="1:2" ht="15" customHeight="1" x14ac:dyDescent="0.3">
      <c r="A4479" s="33" t="s">
        <v>3825</v>
      </c>
      <c r="B4479">
        <f>F1406</f>
        <v>4</v>
      </c>
    </row>
    <row r="4480" spans="1:2" ht="15" customHeight="1" x14ac:dyDescent="0.3">
      <c r="A4480" s="33" t="s">
        <v>3826</v>
      </c>
      <c r="B4480">
        <f>F1406</f>
        <v>4</v>
      </c>
    </row>
    <row r="4481" spans="1:2" ht="15" customHeight="1" x14ac:dyDescent="0.3">
      <c r="A4481" s="33" t="s">
        <v>3827</v>
      </c>
      <c r="B4481">
        <f>F1406</f>
        <v>4</v>
      </c>
    </row>
    <row r="4482" spans="1:2" ht="15" customHeight="1" x14ac:dyDescent="0.3">
      <c r="A4482" s="33" t="s">
        <v>3828</v>
      </c>
      <c r="B4482">
        <f>F1406</f>
        <v>4</v>
      </c>
    </row>
    <row r="4483" spans="1:2" ht="15" customHeight="1" x14ac:dyDescent="0.3">
      <c r="A4483" s="33" t="s">
        <v>3829</v>
      </c>
      <c r="B4483">
        <f>F1405</f>
        <v>0</v>
      </c>
    </row>
    <row r="4484" spans="1:2" ht="15" customHeight="1" x14ac:dyDescent="0.3">
      <c r="A4484" s="33" t="s">
        <v>3830</v>
      </c>
      <c r="B4484">
        <f>F1406</f>
        <v>4</v>
      </c>
    </row>
    <row r="4485" spans="1:2" ht="15" customHeight="1" x14ac:dyDescent="0.3">
      <c r="A4485" s="33" t="s">
        <v>3831</v>
      </c>
      <c r="B4485">
        <f>F1406</f>
        <v>4</v>
      </c>
    </row>
    <row r="4486" spans="1:2" ht="15" customHeight="1" x14ac:dyDescent="0.3">
      <c r="A4486" s="33" t="s">
        <v>3832</v>
      </c>
      <c r="B4486">
        <f>F1406</f>
        <v>4</v>
      </c>
    </row>
    <row r="4487" spans="1:2" ht="15" customHeight="1" x14ac:dyDescent="0.3">
      <c r="A4487" s="33" t="s">
        <v>3833</v>
      </c>
      <c r="B4487">
        <f>F1406</f>
        <v>4</v>
      </c>
    </row>
    <row r="4488" spans="1:2" ht="15" customHeight="1" x14ac:dyDescent="0.3">
      <c r="A4488" s="33" t="s">
        <v>3834</v>
      </c>
      <c r="B4488">
        <f>F1406</f>
        <v>4</v>
      </c>
    </row>
    <row r="4489" spans="1:2" ht="15" customHeight="1" x14ac:dyDescent="0.3">
      <c r="A4489" s="33" t="s">
        <v>3835</v>
      </c>
      <c r="B4489">
        <f>F1406</f>
        <v>4</v>
      </c>
    </row>
    <row r="4490" spans="1:2" ht="15" customHeight="1" x14ac:dyDescent="0.3">
      <c r="A4490" s="33" t="s">
        <v>3836</v>
      </c>
      <c r="B4490">
        <f>F1406</f>
        <v>4</v>
      </c>
    </row>
    <row r="4491" spans="1:2" ht="15" customHeight="1" x14ac:dyDescent="0.3">
      <c r="A4491" s="33" t="s">
        <v>3837</v>
      </c>
      <c r="B4491">
        <f>F1406</f>
        <v>4</v>
      </c>
    </row>
    <row r="4492" spans="1:2" ht="15" customHeight="1" x14ac:dyDescent="0.3">
      <c r="A4492" s="33" t="s">
        <v>3838</v>
      </c>
      <c r="B4492">
        <f>F1406</f>
        <v>4</v>
      </c>
    </row>
    <row r="4493" spans="1:2" ht="15" customHeight="1" x14ac:dyDescent="0.3">
      <c r="A4493" s="33" t="s">
        <v>3839</v>
      </c>
      <c r="B4493">
        <f>F1406</f>
        <v>4</v>
      </c>
    </row>
    <row r="4494" spans="1:2" ht="15" customHeight="1" x14ac:dyDescent="0.3">
      <c r="A4494" s="33" t="s">
        <v>3840</v>
      </c>
      <c r="B4494">
        <f>F1406</f>
        <v>4</v>
      </c>
    </row>
    <row r="4495" spans="1:2" ht="15" customHeight="1" x14ac:dyDescent="0.3">
      <c r="A4495" s="33" t="s">
        <v>3841</v>
      </c>
      <c r="B4495">
        <f>F1407</f>
        <v>0</v>
      </c>
    </row>
    <row r="4496" spans="1:2" ht="15" customHeight="1" x14ac:dyDescent="0.3">
      <c r="A4496" s="33" t="s">
        <v>3842</v>
      </c>
      <c r="B4496">
        <f>F1407</f>
        <v>0</v>
      </c>
    </row>
    <row r="4497" spans="1:2" ht="15" customHeight="1" x14ac:dyDescent="0.3">
      <c r="A4497" t="s">
        <v>1300</v>
      </c>
      <c r="B4497">
        <f>F1408</f>
        <v>8</v>
      </c>
    </row>
    <row r="4498" spans="1:2" ht="15" customHeight="1" x14ac:dyDescent="0.3">
      <c r="A4498" s="33" t="s">
        <v>3853</v>
      </c>
      <c r="B4498">
        <f>F1409</f>
        <v>3</v>
      </c>
    </row>
    <row r="4499" spans="1:2" ht="15" customHeight="1" x14ac:dyDescent="0.3">
      <c r="A4499" s="33" t="s">
        <v>3864</v>
      </c>
      <c r="B4499">
        <f>F1409</f>
        <v>3</v>
      </c>
    </row>
    <row r="4500" spans="1:2" ht="15" customHeight="1" x14ac:dyDescent="0.3">
      <c r="A4500" s="33" t="s">
        <v>3843</v>
      </c>
      <c r="B4500">
        <f>F1409</f>
        <v>3</v>
      </c>
    </row>
    <row r="4501" spans="1:2" ht="15" customHeight="1" x14ac:dyDescent="0.3">
      <c r="A4501" s="33" t="s">
        <v>3844</v>
      </c>
      <c r="B4501">
        <f>F1409</f>
        <v>3</v>
      </c>
    </row>
    <row r="4502" spans="1:2" ht="15" customHeight="1" x14ac:dyDescent="0.3">
      <c r="A4502" s="33" t="s">
        <v>3845</v>
      </c>
      <c r="B4502">
        <f>F1409</f>
        <v>3</v>
      </c>
    </row>
    <row r="4503" spans="1:2" ht="15" customHeight="1" x14ac:dyDescent="0.3">
      <c r="A4503" s="33" t="s">
        <v>3846</v>
      </c>
      <c r="B4503">
        <f>F1409</f>
        <v>3</v>
      </c>
    </row>
    <row r="4504" spans="1:2" ht="15" customHeight="1" x14ac:dyDescent="0.3">
      <c r="A4504" s="33" t="s">
        <v>3847</v>
      </c>
      <c r="B4504">
        <f>F1409</f>
        <v>3</v>
      </c>
    </row>
    <row r="4505" spans="1:2" ht="15" customHeight="1" x14ac:dyDescent="0.3">
      <c r="A4505" s="33" t="s">
        <v>3848</v>
      </c>
      <c r="B4505">
        <f>F1409</f>
        <v>3</v>
      </c>
    </row>
    <row r="4506" spans="1:2" ht="15" customHeight="1" x14ac:dyDescent="0.3">
      <c r="A4506" s="33" t="s">
        <v>3849</v>
      </c>
      <c r="B4506">
        <f>F1409</f>
        <v>3</v>
      </c>
    </row>
    <row r="4507" spans="1:2" ht="15" customHeight="1" x14ac:dyDescent="0.3">
      <c r="A4507" s="33" t="s">
        <v>3850</v>
      </c>
      <c r="B4507">
        <f>F1409</f>
        <v>3</v>
      </c>
    </row>
    <row r="4508" spans="1:2" ht="15" customHeight="1" x14ac:dyDescent="0.3">
      <c r="A4508" s="33" t="s">
        <v>3851</v>
      </c>
      <c r="B4508">
        <f>F1409</f>
        <v>3</v>
      </c>
    </row>
    <row r="4509" spans="1:2" ht="15" customHeight="1" x14ac:dyDescent="0.3">
      <c r="A4509" s="33" t="s">
        <v>3852</v>
      </c>
      <c r="B4509">
        <f>F1409</f>
        <v>3</v>
      </c>
    </row>
    <row r="4510" spans="1:2" ht="15" customHeight="1" x14ac:dyDescent="0.3">
      <c r="A4510" s="33" t="s">
        <v>3854</v>
      </c>
      <c r="B4510">
        <f>F1409</f>
        <v>3</v>
      </c>
    </row>
    <row r="4511" spans="1:2" ht="15" customHeight="1" x14ac:dyDescent="0.3">
      <c r="A4511" s="33" t="s">
        <v>3855</v>
      </c>
      <c r="B4511">
        <f>F1409</f>
        <v>3</v>
      </c>
    </row>
    <row r="4512" spans="1:2" ht="15" customHeight="1" x14ac:dyDescent="0.3">
      <c r="A4512" s="33" t="s">
        <v>3865</v>
      </c>
      <c r="B4512">
        <f>F1409</f>
        <v>3</v>
      </c>
    </row>
    <row r="4513" spans="1:2" ht="15" customHeight="1" x14ac:dyDescent="0.3">
      <c r="A4513" s="33" t="s">
        <v>3856</v>
      </c>
      <c r="B4513">
        <f>F1409</f>
        <v>3</v>
      </c>
    </row>
    <row r="4514" spans="1:2" ht="15" customHeight="1" x14ac:dyDescent="0.3">
      <c r="A4514" s="33" t="s">
        <v>3857</v>
      </c>
      <c r="B4514">
        <f>F1409</f>
        <v>3</v>
      </c>
    </row>
    <row r="4515" spans="1:2" ht="15" customHeight="1" x14ac:dyDescent="0.3">
      <c r="A4515" s="33" t="s">
        <v>3858</v>
      </c>
      <c r="B4515">
        <f>F1409</f>
        <v>3</v>
      </c>
    </row>
    <row r="4516" spans="1:2" ht="15" customHeight="1" x14ac:dyDescent="0.3">
      <c r="A4516" s="33" t="s">
        <v>3859</v>
      </c>
      <c r="B4516">
        <f>F1409</f>
        <v>3</v>
      </c>
    </row>
    <row r="4517" spans="1:2" ht="15" customHeight="1" x14ac:dyDescent="0.3">
      <c r="A4517" s="33" t="s">
        <v>3866</v>
      </c>
      <c r="B4517">
        <f>F1409</f>
        <v>3</v>
      </c>
    </row>
    <row r="4518" spans="1:2" ht="15" customHeight="1" x14ac:dyDescent="0.3">
      <c r="A4518" s="33" t="s">
        <v>3860</v>
      </c>
      <c r="B4518">
        <f>F1409</f>
        <v>3</v>
      </c>
    </row>
    <row r="4519" spans="1:2" ht="15" customHeight="1" x14ac:dyDescent="0.3">
      <c r="A4519" s="33" t="s">
        <v>3861</v>
      </c>
      <c r="B4519">
        <f>F1409</f>
        <v>3</v>
      </c>
    </row>
    <row r="4520" spans="1:2" ht="15" customHeight="1" x14ac:dyDescent="0.3">
      <c r="A4520" s="33" t="s">
        <v>3867</v>
      </c>
      <c r="B4520">
        <f>F1409</f>
        <v>3</v>
      </c>
    </row>
    <row r="4521" spans="1:2" ht="15" customHeight="1" x14ac:dyDescent="0.3">
      <c r="A4521" s="33" t="s">
        <v>3862</v>
      </c>
      <c r="B4521">
        <f>F1409</f>
        <v>3</v>
      </c>
    </row>
    <row r="4522" spans="1:2" ht="15" customHeight="1" x14ac:dyDescent="0.3">
      <c r="A4522" s="33" t="s">
        <v>3868</v>
      </c>
      <c r="B4522">
        <f>F1409</f>
        <v>3</v>
      </c>
    </row>
    <row r="4523" spans="1:2" ht="15" customHeight="1" x14ac:dyDescent="0.3">
      <c r="A4523" s="33" t="s">
        <v>3863</v>
      </c>
      <c r="B4523">
        <f>F1409</f>
        <v>3</v>
      </c>
    </row>
    <row r="4524" spans="1:2" ht="15" customHeight="1" x14ac:dyDescent="0.3">
      <c r="A4524" s="33" t="s">
        <v>3869</v>
      </c>
      <c r="B4524">
        <f>F1410</f>
        <v>4</v>
      </c>
    </row>
    <row r="4525" spans="1:2" ht="15" customHeight="1" x14ac:dyDescent="0.3">
      <c r="A4525" s="33" t="s">
        <v>3870</v>
      </c>
      <c r="B4525">
        <f>F1410</f>
        <v>4</v>
      </c>
    </row>
    <row r="4526" spans="1:2" ht="15" customHeight="1" x14ac:dyDescent="0.3">
      <c r="A4526" s="33" t="s">
        <v>3871</v>
      </c>
      <c r="B4526">
        <f>F1410</f>
        <v>4</v>
      </c>
    </row>
    <row r="4527" spans="1:2" ht="15" customHeight="1" x14ac:dyDescent="0.3">
      <c r="A4527" s="33" t="s">
        <v>3872</v>
      </c>
      <c r="B4527">
        <f>F1410</f>
        <v>4</v>
      </c>
    </row>
    <row r="4528" spans="1:2" ht="15" customHeight="1" x14ac:dyDescent="0.3">
      <c r="A4528" s="33" t="s">
        <v>3873</v>
      </c>
      <c r="B4528">
        <f>F1410</f>
        <v>4</v>
      </c>
    </row>
    <row r="4529" spans="1:2" ht="15" customHeight="1" x14ac:dyDescent="0.3">
      <c r="A4529" s="33" t="s">
        <v>3874</v>
      </c>
      <c r="B4529">
        <f>F1410</f>
        <v>4</v>
      </c>
    </row>
    <row r="4530" spans="1:2" ht="15" customHeight="1" x14ac:dyDescent="0.3">
      <c r="A4530" s="33" t="s">
        <v>3875</v>
      </c>
      <c r="B4530">
        <f>F1410</f>
        <v>4</v>
      </c>
    </row>
    <row r="4531" spans="1:2" ht="15" customHeight="1" x14ac:dyDescent="0.3">
      <c r="A4531" s="33" t="s">
        <v>3876</v>
      </c>
      <c r="B4531">
        <f>F1409</f>
        <v>3</v>
      </c>
    </row>
    <row r="4532" spans="1:2" ht="15" customHeight="1" x14ac:dyDescent="0.3">
      <c r="A4532" s="33" t="s">
        <v>3877</v>
      </c>
      <c r="B4532">
        <f>F1410</f>
        <v>4</v>
      </c>
    </row>
    <row r="4533" spans="1:2" ht="15" customHeight="1" x14ac:dyDescent="0.3">
      <c r="A4533" s="33" t="s">
        <v>3878</v>
      </c>
      <c r="B4533">
        <f t="shared" ref="B4533:B4553" si="1166">B4372</f>
        <v>4</v>
      </c>
    </row>
    <row r="4534" spans="1:2" ht="15" customHeight="1" x14ac:dyDescent="0.3">
      <c r="A4534" s="33" t="s">
        <v>3879</v>
      </c>
      <c r="B4534">
        <f t="shared" si="1166"/>
        <v>7</v>
      </c>
    </row>
    <row r="4535" spans="1:2" ht="15" customHeight="1" x14ac:dyDescent="0.3">
      <c r="A4535" s="33" t="s">
        <v>3880</v>
      </c>
      <c r="B4535">
        <f t="shared" si="1166"/>
        <v>4</v>
      </c>
    </row>
    <row r="4536" spans="1:2" ht="15" customHeight="1" x14ac:dyDescent="0.3">
      <c r="A4536" s="33" t="s">
        <v>3881</v>
      </c>
      <c r="B4536">
        <f t="shared" si="1166"/>
        <v>4</v>
      </c>
    </row>
    <row r="4537" spans="1:2" ht="15" customHeight="1" x14ac:dyDescent="0.3">
      <c r="A4537" s="33" t="s">
        <v>3882</v>
      </c>
      <c r="B4537">
        <f t="shared" si="1166"/>
        <v>4</v>
      </c>
    </row>
    <row r="4538" spans="1:2" ht="15" customHeight="1" x14ac:dyDescent="0.3">
      <c r="A4538" s="33" t="s">
        <v>4005</v>
      </c>
      <c r="B4538">
        <f t="shared" si="1166"/>
        <v>4</v>
      </c>
    </row>
    <row r="4539" spans="1:2" ht="15" customHeight="1" x14ac:dyDescent="0.3">
      <c r="A4539" s="33" t="s">
        <v>4006</v>
      </c>
      <c r="B4539">
        <f t="shared" si="1166"/>
        <v>4</v>
      </c>
    </row>
    <row r="4540" spans="1:2" ht="15" customHeight="1" x14ac:dyDescent="0.3">
      <c r="A4540" s="33" t="s">
        <v>4007</v>
      </c>
      <c r="B4540">
        <f t="shared" si="1166"/>
        <v>4</v>
      </c>
    </row>
    <row r="4541" spans="1:2" ht="15" customHeight="1" x14ac:dyDescent="0.3">
      <c r="A4541" s="33" t="s">
        <v>4008</v>
      </c>
      <c r="B4541">
        <f t="shared" si="1166"/>
        <v>4</v>
      </c>
    </row>
    <row r="4542" spans="1:2" ht="15" customHeight="1" x14ac:dyDescent="0.3">
      <c r="A4542" s="33" t="s">
        <v>4009</v>
      </c>
      <c r="B4542">
        <f t="shared" si="1166"/>
        <v>4</v>
      </c>
    </row>
    <row r="4543" spans="1:2" ht="15" customHeight="1" x14ac:dyDescent="0.3">
      <c r="A4543" s="33" t="s">
        <v>4010</v>
      </c>
      <c r="B4543">
        <f t="shared" si="1166"/>
        <v>4</v>
      </c>
    </row>
    <row r="4544" spans="1:2" ht="15" customHeight="1" x14ac:dyDescent="0.3">
      <c r="A4544" s="33" t="s">
        <v>4011</v>
      </c>
      <c r="B4544">
        <f t="shared" si="1166"/>
        <v>4</v>
      </c>
    </row>
    <row r="4545" spans="1:2" ht="15" customHeight="1" x14ac:dyDescent="0.3">
      <c r="A4545" s="33" t="s">
        <v>4012</v>
      </c>
      <c r="B4545">
        <f t="shared" si="1166"/>
        <v>4</v>
      </c>
    </row>
    <row r="4546" spans="1:2" ht="15" customHeight="1" x14ac:dyDescent="0.3">
      <c r="A4546" s="33" t="s">
        <v>4013</v>
      </c>
      <c r="B4546">
        <f t="shared" si="1166"/>
        <v>4</v>
      </c>
    </row>
    <row r="4547" spans="1:2" ht="15" customHeight="1" x14ac:dyDescent="0.3">
      <c r="A4547" s="33" t="s">
        <v>4014</v>
      </c>
      <c r="B4547">
        <f t="shared" si="1166"/>
        <v>4</v>
      </c>
    </row>
    <row r="4548" spans="1:2" ht="15" customHeight="1" x14ac:dyDescent="0.3">
      <c r="A4548" s="33" t="s">
        <v>4015</v>
      </c>
      <c r="B4548">
        <f t="shared" si="1166"/>
        <v>4</v>
      </c>
    </row>
    <row r="4549" spans="1:2" ht="15" customHeight="1" x14ac:dyDescent="0.3">
      <c r="A4549" s="33" t="s">
        <v>4016</v>
      </c>
      <c r="B4549">
        <f t="shared" si="1166"/>
        <v>4</v>
      </c>
    </row>
    <row r="4550" spans="1:2" ht="15" customHeight="1" x14ac:dyDescent="0.3">
      <c r="A4550" s="33" t="s">
        <v>4017</v>
      </c>
      <c r="B4550">
        <f t="shared" si="1166"/>
        <v>4</v>
      </c>
    </row>
    <row r="4551" spans="1:2" ht="15" customHeight="1" x14ac:dyDescent="0.3">
      <c r="A4551" s="33" t="s">
        <v>3935</v>
      </c>
      <c r="B4551">
        <f t="shared" si="1166"/>
        <v>4</v>
      </c>
    </row>
    <row r="4552" spans="1:2" ht="15" customHeight="1" x14ac:dyDescent="0.3">
      <c r="A4552" s="33" t="s">
        <v>3936</v>
      </c>
      <c r="B4552">
        <f t="shared" si="1166"/>
        <v>4</v>
      </c>
    </row>
    <row r="4553" spans="1:2" ht="15" customHeight="1" x14ac:dyDescent="0.3">
      <c r="A4553" s="33" t="s">
        <v>3937</v>
      </c>
      <c r="B4553">
        <f t="shared" si="1166"/>
        <v>4</v>
      </c>
    </row>
    <row r="4554" spans="1:2" ht="15" customHeight="1" x14ac:dyDescent="0.3">
      <c r="A4554" s="33" t="s">
        <v>4018</v>
      </c>
      <c r="B4554">
        <f t="shared" ref="B4554:B4564" si="1167">B4394</f>
        <v>4</v>
      </c>
    </row>
    <row r="4555" spans="1:2" ht="15" customHeight="1" x14ac:dyDescent="0.3">
      <c r="A4555" s="33" t="s">
        <v>4019</v>
      </c>
      <c r="B4555">
        <f t="shared" si="1167"/>
        <v>4</v>
      </c>
    </row>
    <row r="4556" spans="1:2" ht="15" customHeight="1" x14ac:dyDescent="0.3">
      <c r="A4556" s="33" t="s">
        <v>4020</v>
      </c>
      <c r="B4556">
        <f t="shared" si="1167"/>
        <v>4</v>
      </c>
    </row>
    <row r="4557" spans="1:2" ht="15" customHeight="1" x14ac:dyDescent="0.3">
      <c r="A4557" s="33" t="s">
        <v>4021</v>
      </c>
      <c r="B4557">
        <f t="shared" si="1167"/>
        <v>4</v>
      </c>
    </row>
    <row r="4558" spans="1:2" ht="15" customHeight="1" x14ac:dyDescent="0.3">
      <c r="A4558" s="33" t="s">
        <v>4034</v>
      </c>
      <c r="B4558">
        <f t="shared" si="1167"/>
        <v>4</v>
      </c>
    </row>
    <row r="4559" spans="1:2" ht="15" customHeight="1" x14ac:dyDescent="0.3">
      <c r="A4559" s="33" t="s">
        <v>4022</v>
      </c>
      <c r="B4559">
        <f t="shared" si="1167"/>
        <v>4</v>
      </c>
    </row>
    <row r="4560" spans="1:2" ht="15" customHeight="1" x14ac:dyDescent="0.3">
      <c r="A4560" s="33" t="s">
        <v>4023</v>
      </c>
      <c r="B4560">
        <f t="shared" si="1167"/>
        <v>4</v>
      </c>
    </row>
    <row r="4561" spans="1:2" ht="15" customHeight="1" x14ac:dyDescent="0.3">
      <c r="A4561" s="33" t="s">
        <v>4035</v>
      </c>
      <c r="B4561">
        <f t="shared" si="1167"/>
        <v>4</v>
      </c>
    </row>
    <row r="4562" spans="1:2" ht="15" customHeight="1" x14ac:dyDescent="0.3">
      <c r="A4562" s="33" t="s">
        <v>4024</v>
      </c>
      <c r="B4562">
        <f t="shared" si="1167"/>
        <v>5</v>
      </c>
    </row>
    <row r="4563" spans="1:2" ht="15" customHeight="1" x14ac:dyDescent="0.3">
      <c r="A4563" s="33" t="s">
        <v>4025</v>
      </c>
      <c r="B4563">
        <f t="shared" si="1167"/>
        <v>5</v>
      </c>
    </row>
    <row r="4564" spans="1:2" ht="15" customHeight="1" x14ac:dyDescent="0.3">
      <c r="A4564" s="33" t="s">
        <v>4026</v>
      </c>
      <c r="B4564">
        <f t="shared" si="1167"/>
        <v>4</v>
      </c>
    </row>
    <row r="4565" spans="1:2" ht="15" customHeight="1" x14ac:dyDescent="0.3">
      <c r="A4565" s="33" t="s">
        <v>3883</v>
      </c>
      <c r="B4565">
        <f t="shared" ref="B4565:B4596" si="1168">B4407</f>
        <v>4</v>
      </c>
    </row>
    <row r="4566" spans="1:2" ht="15" customHeight="1" x14ac:dyDescent="0.3">
      <c r="A4566" s="33" t="s">
        <v>3884</v>
      </c>
      <c r="B4566">
        <f t="shared" si="1168"/>
        <v>4</v>
      </c>
    </row>
    <row r="4567" spans="1:2" ht="15" customHeight="1" x14ac:dyDescent="0.3">
      <c r="A4567" s="33" t="s">
        <v>3885</v>
      </c>
      <c r="B4567">
        <f t="shared" si="1168"/>
        <v>4</v>
      </c>
    </row>
    <row r="4568" spans="1:2" ht="15" customHeight="1" x14ac:dyDescent="0.3">
      <c r="A4568" s="33" t="s">
        <v>3886</v>
      </c>
      <c r="B4568">
        <f t="shared" si="1168"/>
        <v>4</v>
      </c>
    </row>
    <row r="4569" spans="1:2" ht="15" customHeight="1" x14ac:dyDescent="0.3">
      <c r="A4569" s="33" t="s">
        <v>3887</v>
      </c>
      <c r="B4569">
        <f t="shared" si="1168"/>
        <v>4</v>
      </c>
    </row>
    <row r="4570" spans="1:2" ht="15" customHeight="1" x14ac:dyDescent="0.3">
      <c r="A4570" s="33" t="s">
        <v>3888</v>
      </c>
      <c r="B4570">
        <f t="shared" si="1168"/>
        <v>4</v>
      </c>
    </row>
    <row r="4571" spans="1:2" ht="15" customHeight="1" x14ac:dyDescent="0.3">
      <c r="A4571" s="33" t="s">
        <v>3889</v>
      </c>
      <c r="B4571">
        <f t="shared" si="1168"/>
        <v>4</v>
      </c>
    </row>
    <row r="4572" spans="1:2" ht="15" customHeight="1" x14ac:dyDescent="0.3">
      <c r="A4572" s="33" t="s">
        <v>3938</v>
      </c>
      <c r="B4572">
        <f t="shared" si="1168"/>
        <v>4</v>
      </c>
    </row>
    <row r="4573" spans="1:2" ht="15" customHeight="1" x14ac:dyDescent="0.3">
      <c r="A4573" s="33" t="s">
        <v>3939</v>
      </c>
      <c r="B4573">
        <f t="shared" si="1168"/>
        <v>4</v>
      </c>
    </row>
    <row r="4574" spans="1:2" ht="15" customHeight="1" x14ac:dyDescent="0.3">
      <c r="A4574" s="33" t="s">
        <v>3940</v>
      </c>
      <c r="B4574">
        <f t="shared" si="1168"/>
        <v>4</v>
      </c>
    </row>
    <row r="4575" spans="1:2" ht="15" customHeight="1" x14ac:dyDescent="0.3">
      <c r="A4575" s="33" t="s">
        <v>4027</v>
      </c>
      <c r="B4575">
        <f t="shared" si="1168"/>
        <v>4</v>
      </c>
    </row>
    <row r="4576" spans="1:2" ht="15" customHeight="1" x14ac:dyDescent="0.3">
      <c r="A4576" s="33" t="s">
        <v>4028</v>
      </c>
      <c r="B4576">
        <f t="shared" si="1168"/>
        <v>4</v>
      </c>
    </row>
    <row r="4577" spans="1:2" ht="15" customHeight="1" x14ac:dyDescent="0.3">
      <c r="A4577" s="33" t="s">
        <v>3890</v>
      </c>
      <c r="B4577">
        <f t="shared" si="1168"/>
        <v>4</v>
      </c>
    </row>
    <row r="4578" spans="1:2" ht="15" customHeight="1" x14ac:dyDescent="0.3">
      <c r="A4578" s="33" t="s">
        <v>3891</v>
      </c>
      <c r="B4578">
        <f t="shared" si="1168"/>
        <v>4</v>
      </c>
    </row>
    <row r="4579" spans="1:2" ht="15" customHeight="1" x14ac:dyDescent="0.3">
      <c r="A4579" s="33" t="s">
        <v>3892</v>
      </c>
      <c r="B4579">
        <f t="shared" si="1168"/>
        <v>4</v>
      </c>
    </row>
    <row r="4580" spans="1:2" ht="15" customHeight="1" x14ac:dyDescent="0.3">
      <c r="A4580" s="33" t="s">
        <v>3893</v>
      </c>
      <c r="B4580">
        <f t="shared" si="1168"/>
        <v>4</v>
      </c>
    </row>
    <row r="4581" spans="1:2" ht="15" customHeight="1" x14ac:dyDescent="0.3">
      <c r="A4581" s="33" t="s">
        <v>3894</v>
      </c>
      <c r="B4581">
        <f t="shared" si="1168"/>
        <v>4</v>
      </c>
    </row>
    <row r="4582" spans="1:2" ht="15" customHeight="1" x14ac:dyDescent="0.3">
      <c r="A4582" s="33" t="s">
        <v>3895</v>
      </c>
      <c r="B4582">
        <f t="shared" si="1168"/>
        <v>4</v>
      </c>
    </row>
    <row r="4583" spans="1:2" ht="15" customHeight="1" x14ac:dyDescent="0.3">
      <c r="A4583" s="33" t="s">
        <v>3896</v>
      </c>
      <c r="B4583">
        <f t="shared" si="1168"/>
        <v>4</v>
      </c>
    </row>
    <row r="4584" spans="1:2" ht="15" customHeight="1" x14ac:dyDescent="0.3">
      <c r="A4584" s="33" t="s">
        <v>4029</v>
      </c>
      <c r="B4584">
        <f t="shared" si="1168"/>
        <v>4</v>
      </c>
    </row>
    <row r="4585" spans="1:2" ht="15" customHeight="1" x14ac:dyDescent="0.3">
      <c r="A4585" s="33" t="s">
        <v>3897</v>
      </c>
      <c r="B4585">
        <f t="shared" si="1168"/>
        <v>4</v>
      </c>
    </row>
    <row r="4586" spans="1:2" ht="15" customHeight="1" x14ac:dyDescent="0.3">
      <c r="A4586" s="33" t="s">
        <v>3898</v>
      </c>
      <c r="B4586">
        <f t="shared" si="1168"/>
        <v>4</v>
      </c>
    </row>
    <row r="4587" spans="1:2" ht="15" customHeight="1" x14ac:dyDescent="0.3">
      <c r="A4587" s="33" t="s">
        <v>3899</v>
      </c>
      <c r="B4587">
        <f t="shared" si="1168"/>
        <v>3</v>
      </c>
    </row>
    <row r="4588" spans="1:2" ht="15" customHeight="1" x14ac:dyDescent="0.3">
      <c r="A4588" t="s">
        <v>3900</v>
      </c>
      <c r="B4588">
        <f t="shared" si="1168"/>
        <v>3</v>
      </c>
    </row>
    <row r="4589" spans="1:2" ht="15" customHeight="1" x14ac:dyDescent="0.3">
      <c r="A4589" s="33" t="s">
        <v>3901</v>
      </c>
      <c r="B4589">
        <f t="shared" si="1168"/>
        <v>3</v>
      </c>
    </row>
    <row r="4590" spans="1:2" ht="15" customHeight="1" x14ac:dyDescent="0.3">
      <c r="A4590" s="33" t="s">
        <v>3902</v>
      </c>
      <c r="B4590">
        <f t="shared" si="1168"/>
        <v>4</v>
      </c>
    </row>
    <row r="4591" spans="1:2" ht="15" customHeight="1" x14ac:dyDescent="0.3">
      <c r="A4591" s="33" t="s">
        <v>3903</v>
      </c>
      <c r="B4591">
        <f t="shared" si="1168"/>
        <v>7</v>
      </c>
    </row>
    <row r="4592" spans="1:2" ht="15" customHeight="1" x14ac:dyDescent="0.3">
      <c r="A4592" s="33" t="s">
        <v>3904</v>
      </c>
      <c r="B4592">
        <f t="shared" si="1168"/>
        <v>4</v>
      </c>
    </row>
    <row r="4593" spans="1:2" ht="15" customHeight="1" x14ac:dyDescent="0.3">
      <c r="A4593" s="33" t="s">
        <v>3905</v>
      </c>
      <c r="B4593">
        <f t="shared" si="1168"/>
        <v>4</v>
      </c>
    </row>
    <row r="4594" spans="1:2" ht="15" customHeight="1" x14ac:dyDescent="0.3">
      <c r="A4594" s="33" t="s">
        <v>3906</v>
      </c>
      <c r="B4594">
        <f t="shared" si="1168"/>
        <v>7</v>
      </c>
    </row>
    <row r="4595" spans="1:2" ht="15" customHeight="1" x14ac:dyDescent="0.3">
      <c r="A4595" s="33" t="s">
        <v>3907</v>
      </c>
      <c r="B4595">
        <f t="shared" si="1168"/>
        <v>7</v>
      </c>
    </row>
    <row r="4596" spans="1:2" ht="15" customHeight="1" x14ac:dyDescent="0.3">
      <c r="A4596" s="33" t="s">
        <v>3908</v>
      </c>
      <c r="B4596">
        <f t="shared" si="1168"/>
        <v>8</v>
      </c>
    </row>
    <row r="4597" spans="1:2" ht="15" customHeight="1" x14ac:dyDescent="0.3">
      <c r="A4597" s="33" t="s">
        <v>3909</v>
      </c>
      <c r="B4597">
        <f t="shared" ref="B4597:B4616" si="1169">B4439</f>
        <v>8</v>
      </c>
    </row>
    <row r="4598" spans="1:2" ht="15" customHeight="1" x14ac:dyDescent="0.3">
      <c r="A4598" s="33" t="s">
        <v>3910</v>
      </c>
      <c r="B4598">
        <f t="shared" si="1169"/>
        <v>8</v>
      </c>
    </row>
    <row r="4599" spans="1:2" ht="15" customHeight="1" x14ac:dyDescent="0.3">
      <c r="A4599" s="33" t="s">
        <v>3911</v>
      </c>
      <c r="B4599">
        <f t="shared" si="1169"/>
        <v>8</v>
      </c>
    </row>
    <row r="4600" spans="1:2" ht="15" customHeight="1" x14ac:dyDescent="0.3">
      <c r="A4600" s="33" t="s">
        <v>3912</v>
      </c>
      <c r="B4600">
        <f t="shared" si="1169"/>
        <v>8</v>
      </c>
    </row>
    <row r="4601" spans="1:2" ht="15" customHeight="1" x14ac:dyDescent="0.3">
      <c r="A4601" s="33" t="s">
        <v>3913</v>
      </c>
      <c r="B4601">
        <f t="shared" si="1169"/>
        <v>8</v>
      </c>
    </row>
    <row r="4602" spans="1:2" ht="15" customHeight="1" x14ac:dyDescent="0.3">
      <c r="A4602" s="33" t="s">
        <v>3914</v>
      </c>
      <c r="B4602">
        <f t="shared" si="1169"/>
        <v>8</v>
      </c>
    </row>
    <row r="4603" spans="1:2" ht="15" customHeight="1" x14ac:dyDescent="0.3">
      <c r="A4603" s="33" t="s">
        <v>3915</v>
      </c>
      <c r="B4603">
        <f t="shared" si="1169"/>
        <v>8</v>
      </c>
    </row>
    <row r="4604" spans="1:2" ht="15" customHeight="1" x14ac:dyDescent="0.3">
      <c r="A4604" s="33" t="s">
        <v>3916</v>
      </c>
      <c r="B4604">
        <f t="shared" si="1169"/>
        <v>8</v>
      </c>
    </row>
    <row r="4605" spans="1:2" ht="15" customHeight="1" x14ac:dyDescent="0.3">
      <c r="A4605" s="33" t="s">
        <v>3917</v>
      </c>
      <c r="B4605">
        <f t="shared" si="1169"/>
        <v>8</v>
      </c>
    </row>
    <row r="4606" spans="1:2" ht="15" customHeight="1" x14ac:dyDescent="0.3">
      <c r="A4606" s="33" t="s">
        <v>3918</v>
      </c>
      <c r="B4606">
        <f t="shared" si="1169"/>
        <v>8</v>
      </c>
    </row>
    <row r="4607" spans="1:2" ht="15" customHeight="1" x14ac:dyDescent="0.3">
      <c r="A4607" s="33" t="s">
        <v>3919</v>
      </c>
      <c r="B4607">
        <f t="shared" si="1169"/>
        <v>8</v>
      </c>
    </row>
    <row r="4608" spans="1:2" ht="15" customHeight="1" x14ac:dyDescent="0.3">
      <c r="A4608" s="33" t="s">
        <v>3920</v>
      </c>
      <c r="B4608">
        <f t="shared" si="1169"/>
        <v>8</v>
      </c>
    </row>
    <row r="4609" spans="1:2" ht="15" customHeight="1" x14ac:dyDescent="0.3">
      <c r="A4609" s="33" t="s">
        <v>3921</v>
      </c>
      <c r="B4609">
        <f t="shared" si="1169"/>
        <v>8</v>
      </c>
    </row>
    <row r="4610" spans="1:2" ht="15" customHeight="1" x14ac:dyDescent="0.3">
      <c r="A4610" s="33" t="s">
        <v>3922</v>
      </c>
      <c r="B4610">
        <f t="shared" si="1169"/>
        <v>8</v>
      </c>
    </row>
    <row r="4611" spans="1:2" ht="15" customHeight="1" x14ac:dyDescent="0.3">
      <c r="A4611" s="33" t="s">
        <v>3923</v>
      </c>
      <c r="B4611">
        <f t="shared" si="1169"/>
        <v>8</v>
      </c>
    </row>
    <row r="4612" spans="1:2" ht="15" customHeight="1" x14ac:dyDescent="0.3">
      <c r="A4612" s="33" t="s">
        <v>3924</v>
      </c>
      <c r="B4612">
        <f t="shared" si="1169"/>
        <v>8</v>
      </c>
    </row>
    <row r="4613" spans="1:2" ht="15" customHeight="1" x14ac:dyDescent="0.3">
      <c r="A4613" s="33" t="s">
        <v>3925</v>
      </c>
      <c r="B4613">
        <f t="shared" si="1169"/>
        <v>8</v>
      </c>
    </row>
    <row r="4614" spans="1:2" ht="15" customHeight="1" x14ac:dyDescent="0.3">
      <c r="A4614" s="33" t="s">
        <v>3926</v>
      </c>
      <c r="B4614">
        <f t="shared" si="1169"/>
        <v>8</v>
      </c>
    </row>
    <row r="4615" spans="1:2" ht="15" customHeight="1" x14ac:dyDescent="0.3">
      <c r="A4615" s="33" t="s">
        <v>3927</v>
      </c>
      <c r="B4615">
        <f t="shared" si="1169"/>
        <v>8</v>
      </c>
    </row>
    <row r="4616" spans="1:2" ht="15" customHeight="1" x14ac:dyDescent="0.3">
      <c r="A4616" s="33" t="s">
        <v>3928</v>
      </c>
      <c r="B4616">
        <f t="shared" si="1169"/>
        <v>8</v>
      </c>
    </row>
    <row r="4617" spans="1:2" ht="15" customHeight="1" x14ac:dyDescent="0.3">
      <c r="A4617" s="33" t="s">
        <v>9318</v>
      </c>
      <c r="B4617">
        <f>B4446</f>
        <v>8</v>
      </c>
    </row>
    <row r="4618" spans="1:2" ht="15" customHeight="1" x14ac:dyDescent="0.3">
      <c r="A4618" s="33" t="s">
        <v>3929</v>
      </c>
      <c r="B4618">
        <f t="shared" ref="B4618:B4630" si="1170">B4459</f>
        <v>8</v>
      </c>
    </row>
    <row r="4619" spans="1:2" ht="15" customHeight="1" x14ac:dyDescent="0.3">
      <c r="A4619" s="33" t="s">
        <v>4030</v>
      </c>
      <c r="B4619">
        <f t="shared" si="1170"/>
        <v>8</v>
      </c>
    </row>
    <row r="4620" spans="1:2" ht="15" customHeight="1" x14ac:dyDescent="0.3">
      <c r="A4620" s="33" t="s">
        <v>4031</v>
      </c>
      <c r="B4620">
        <f t="shared" si="1170"/>
        <v>8</v>
      </c>
    </row>
    <row r="4621" spans="1:2" ht="15" customHeight="1" x14ac:dyDescent="0.3">
      <c r="A4621" s="33" t="s">
        <v>4032</v>
      </c>
      <c r="B4621">
        <f t="shared" si="1170"/>
        <v>8</v>
      </c>
    </row>
    <row r="4622" spans="1:2" ht="15" customHeight="1" x14ac:dyDescent="0.3">
      <c r="A4622" s="33" t="s">
        <v>4033</v>
      </c>
      <c r="B4622">
        <f t="shared" si="1170"/>
        <v>8</v>
      </c>
    </row>
    <row r="4623" spans="1:2" ht="15" customHeight="1" x14ac:dyDescent="0.3">
      <c r="A4623" s="33" t="s">
        <v>3930</v>
      </c>
      <c r="B4623">
        <f t="shared" si="1170"/>
        <v>7</v>
      </c>
    </row>
    <row r="4624" spans="1:2" ht="15" customHeight="1" x14ac:dyDescent="0.3">
      <c r="A4624" s="33" t="s">
        <v>3931</v>
      </c>
      <c r="B4624">
        <f t="shared" si="1170"/>
        <v>7</v>
      </c>
    </row>
    <row r="4625" spans="1:2" ht="15" customHeight="1" x14ac:dyDescent="0.3">
      <c r="A4625" s="33" t="s">
        <v>3932</v>
      </c>
      <c r="B4625">
        <f t="shared" si="1170"/>
        <v>7</v>
      </c>
    </row>
    <row r="4626" spans="1:2" ht="15" customHeight="1" x14ac:dyDescent="0.3">
      <c r="A4626" s="33" t="s">
        <v>3941</v>
      </c>
      <c r="B4626">
        <f t="shared" si="1170"/>
        <v>7</v>
      </c>
    </row>
    <row r="4627" spans="1:2" ht="15" customHeight="1" x14ac:dyDescent="0.3">
      <c r="A4627" s="33" t="s">
        <v>3942</v>
      </c>
      <c r="B4627">
        <f t="shared" si="1170"/>
        <v>7</v>
      </c>
    </row>
    <row r="4628" spans="1:2" ht="15" customHeight="1" x14ac:dyDescent="0.3">
      <c r="A4628" s="33" t="s">
        <v>3943</v>
      </c>
      <c r="B4628">
        <f t="shared" si="1170"/>
        <v>7</v>
      </c>
    </row>
    <row r="4629" spans="1:2" ht="15" customHeight="1" x14ac:dyDescent="0.3">
      <c r="A4629" t="s">
        <v>3933</v>
      </c>
      <c r="B4629">
        <f t="shared" si="1170"/>
        <v>4</v>
      </c>
    </row>
    <row r="4630" spans="1:2" ht="15" customHeight="1" x14ac:dyDescent="0.3">
      <c r="A4630" t="s">
        <v>3934</v>
      </c>
      <c r="B4630">
        <f t="shared" si="1170"/>
        <v>8</v>
      </c>
    </row>
    <row r="4631" spans="1:2" ht="15" customHeight="1" x14ac:dyDescent="0.3">
      <c r="A4631" s="33" t="s">
        <v>9244</v>
      </c>
      <c r="B4631">
        <f t="shared" ref="B4631:B4662" si="1171">B4372</f>
        <v>4</v>
      </c>
    </row>
    <row r="4632" spans="1:2" ht="15" customHeight="1" x14ac:dyDescent="0.3">
      <c r="A4632" s="33" t="s">
        <v>9245</v>
      </c>
      <c r="B4632">
        <f t="shared" si="1171"/>
        <v>7</v>
      </c>
    </row>
    <row r="4633" spans="1:2" ht="15" customHeight="1" x14ac:dyDescent="0.3">
      <c r="A4633" s="33" t="s">
        <v>9246</v>
      </c>
      <c r="B4633">
        <f t="shared" si="1171"/>
        <v>4</v>
      </c>
    </row>
    <row r="4634" spans="1:2" ht="15" customHeight="1" x14ac:dyDescent="0.3">
      <c r="A4634" s="33" t="s">
        <v>9247</v>
      </c>
      <c r="B4634">
        <f t="shared" si="1171"/>
        <v>4</v>
      </c>
    </row>
    <row r="4635" spans="1:2" ht="15" customHeight="1" x14ac:dyDescent="0.3">
      <c r="A4635" s="33" t="s">
        <v>9248</v>
      </c>
      <c r="B4635">
        <f t="shared" si="1171"/>
        <v>4</v>
      </c>
    </row>
    <row r="4636" spans="1:2" ht="15" customHeight="1" x14ac:dyDescent="0.3">
      <c r="A4636" s="33" t="s">
        <v>9249</v>
      </c>
      <c r="B4636">
        <f t="shared" si="1171"/>
        <v>4</v>
      </c>
    </row>
    <row r="4637" spans="1:2" ht="15" customHeight="1" x14ac:dyDescent="0.3">
      <c r="A4637" s="33" t="s">
        <v>9250</v>
      </c>
      <c r="B4637">
        <f t="shared" si="1171"/>
        <v>4</v>
      </c>
    </row>
    <row r="4638" spans="1:2" ht="15" customHeight="1" x14ac:dyDescent="0.3">
      <c r="A4638" s="33" t="s">
        <v>9251</v>
      </c>
      <c r="B4638">
        <f t="shared" si="1171"/>
        <v>4</v>
      </c>
    </row>
    <row r="4639" spans="1:2" ht="15" customHeight="1" x14ac:dyDescent="0.3">
      <c r="A4639" s="33" t="s">
        <v>9252</v>
      </c>
      <c r="B4639">
        <f t="shared" si="1171"/>
        <v>4</v>
      </c>
    </row>
    <row r="4640" spans="1:2" ht="15" customHeight="1" x14ac:dyDescent="0.3">
      <c r="A4640" s="33" t="s">
        <v>9253</v>
      </c>
      <c r="B4640">
        <f t="shared" si="1171"/>
        <v>4</v>
      </c>
    </row>
    <row r="4641" spans="1:2" ht="15" customHeight="1" x14ac:dyDescent="0.3">
      <c r="A4641" s="33" t="s">
        <v>9254</v>
      </c>
      <c r="B4641">
        <f t="shared" si="1171"/>
        <v>4</v>
      </c>
    </row>
    <row r="4642" spans="1:2" ht="15" customHeight="1" x14ac:dyDescent="0.3">
      <c r="A4642" s="33" t="s">
        <v>9255</v>
      </c>
      <c r="B4642">
        <f t="shared" si="1171"/>
        <v>4</v>
      </c>
    </row>
    <row r="4643" spans="1:2" ht="15" customHeight="1" x14ac:dyDescent="0.3">
      <c r="A4643" s="33" t="s">
        <v>9256</v>
      </c>
      <c r="B4643">
        <f t="shared" si="1171"/>
        <v>4</v>
      </c>
    </row>
    <row r="4644" spans="1:2" ht="15" customHeight="1" x14ac:dyDescent="0.3">
      <c r="A4644" s="33" t="s">
        <v>9257</v>
      </c>
      <c r="B4644">
        <f t="shared" si="1171"/>
        <v>4</v>
      </c>
    </row>
    <row r="4645" spans="1:2" ht="15" customHeight="1" x14ac:dyDescent="0.3">
      <c r="A4645" s="33" t="s">
        <v>9258</v>
      </c>
      <c r="B4645">
        <f t="shared" si="1171"/>
        <v>4</v>
      </c>
    </row>
    <row r="4646" spans="1:2" ht="15" customHeight="1" x14ac:dyDescent="0.3">
      <c r="A4646" s="33" t="s">
        <v>9259</v>
      </c>
      <c r="B4646">
        <f t="shared" si="1171"/>
        <v>4</v>
      </c>
    </row>
    <row r="4647" spans="1:2" ht="15" customHeight="1" x14ac:dyDescent="0.3">
      <c r="A4647" s="33" t="s">
        <v>9260</v>
      </c>
      <c r="B4647">
        <f t="shared" si="1171"/>
        <v>4</v>
      </c>
    </row>
    <row r="4648" spans="1:2" ht="15" customHeight="1" x14ac:dyDescent="0.3">
      <c r="A4648" s="33" t="s">
        <v>9261</v>
      </c>
      <c r="B4648">
        <f t="shared" si="1171"/>
        <v>4</v>
      </c>
    </row>
    <row r="4649" spans="1:2" ht="15" customHeight="1" x14ac:dyDescent="0.3">
      <c r="A4649" s="33" t="s">
        <v>9262</v>
      </c>
      <c r="B4649">
        <f t="shared" si="1171"/>
        <v>4</v>
      </c>
    </row>
    <row r="4650" spans="1:2" ht="15" customHeight="1" x14ac:dyDescent="0.3">
      <c r="A4650" s="33" t="s">
        <v>9263</v>
      </c>
      <c r="B4650">
        <f t="shared" si="1171"/>
        <v>4</v>
      </c>
    </row>
    <row r="4651" spans="1:2" ht="15" customHeight="1" x14ac:dyDescent="0.3">
      <c r="A4651" s="33" t="s">
        <v>9264</v>
      </c>
      <c r="B4651">
        <f t="shared" si="1171"/>
        <v>4</v>
      </c>
    </row>
    <row r="4652" spans="1:2" ht="15" customHeight="1" x14ac:dyDescent="0.3">
      <c r="A4652" s="33" t="s">
        <v>9265</v>
      </c>
      <c r="B4652">
        <f t="shared" si="1171"/>
        <v>4</v>
      </c>
    </row>
    <row r="4653" spans="1:2" ht="15" customHeight="1" x14ac:dyDescent="0.3">
      <c r="A4653" s="33" t="s">
        <v>9266</v>
      </c>
      <c r="B4653">
        <f t="shared" si="1171"/>
        <v>4</v>
      </c>
    </row>
    <row r="4654" spans="1:2" ht="15" customHeight="1" x14ac:dyDescent="0.3">
      <c r="A4654" s="33" t="s">
        <v>9267</v>
      </c>
      <c r="B4654">
        <f t="shared" si="1171"/>
        <v>4</v>
      </c>
    </row>
    <row r="4655" spans="1:2" ht="15" customHeight="1" x14ac:dyDescent="0.3">
      <c r="A4655" s="33" t="s">
        <v>9268</v>
      </c>
      <c r="B4655">
        <f t="shared" si="1171"/>
        <v>4</v>
      </c>
    </row>
    <row r="4656" spans="1:2" ht="15" customHeight="1" x14ac:dyDescent="0.3">
      <c r="A4656" s="33" t="s">
        <v>9269</v>
      </c>
      <c r="B4656">
        <f t="shared" si="1171"/>
        <v>4</v>
      </c>
    </row>
    <row r="4657" spans="1:2" ht="15" customHeight="1" x14ac:dyDescent="0.3">
      <c r="A4657" s="33" t="s">
        <v>9270</v>
      </c>
      <c r="B4657">
        <f t="shared" si="1171"/>
        <v>4</v>
      </c>
    </row>
    <row r="4658" spans="1:2" ht="15" customHeight="1" x14ac:dyDescent="0.3">
      <c r="A4658" s="33" t="s">
        <v>9271</v>
      </c>
      <c r="B4658">
        <f t="shared" si="1171"/>
        <v>4</v>
      </c>
    </row>
    <row r="4659" spans="1:2" ht="15" customHeight="1" x14ac:dyDescent="0.3">
      <c r="A4659" s="33" t="s">
        <v>9272</v>
      </c>
      <c r="B4659">
        <f t="shared" si="1171"/>
        <v>4</v>
      </c>
    </row>
    <row r="4660" spans="1:2" ht="15" customHeight="1" x14ac:dyDescent="0.3">
      <c r="A4660" s="33" t="s">
        <v>9273</v>
      </c>
      <c r="B4660">
        <f t="shared" si="1171"/>
        <v>4</v>
      </c>
    </row>
    <row r="4661" spans="1:2" ht="15" customHeight="1" x14ac:dyDescent="0.3">
      <c r="A4661" s="33" t="s">
        <v>9274</v>
      </c>
      <c r="B4661">
        <f t="shared" si="1171"/>
        <v>5</v>
      </c>
    </row>
    <row r="4662" spans="1:2" ht="15" customHeight="1" x14ac:dyDescent="0.3">
      <c r="A4662" s="33" t="s">
        <v>9275</v>
      </c>
      <c r="B4662">
        <f t="shared" si="1171"/>
        <v>5</v>
      </c>
    </row>
    <row r="4663" spans="1:2" ht="15" customHeight="1" x14ac:dyDescent="0.3">
      <c r="A4663" s="33" t="s">
        <v>9276</v>
      </c>
      <c r="B4663">
        <f t="shared" ref="B4663:B4694" si="1172">B4404</f>
        <v>4</v>
      </c>
    </row>
    <row r="4664" spans="1:2" ht="15" customHeight="1" x14ac:dyDescent="0.3">
      <c r="A4664" s="33" t="s">
        <v>9277</v>
      </c>
      <c r="B4664">
        <f t="shared" si="1172"/>
        <v>4</v>
      </c>
    </row>
    <row r="4665" spans="1:2" ht="15" customHeight="1" x14ac:dyDescent="0.3">
      <c r="A4665" s="33" t="s">
        <v>9278</v>
      </c>
      <c r="B4665">
        <f t="shared" si="1172"/>
        <v>4</v>
      </c>
    </row>
    <row r="4666" spans="1:2" ht="15" customHeight="1" x14ac:dyDescent="0.3">
      <c r="A4666" s="33" t="s">
        <v>9279</v>
      </c>
      <c r="B4666">
        <f t="shared" si="1172"/>
        <v>4</v>
      </c>
    </row>
    <row r="4667" spans="1:2" ht="15" customHeight="1" x14ac:dyDescent="0.3">
      <c r="A4667" s="33" t="s">
        <v>9280</v>
      </c>
      <c r="B4667">
        <f t="shared" si="1172"/>
        <v>4</v>
      </c>
    </row>
    <row r="4668" spans="1:2" ht="15" customHeight="1" x14ac:dyDescent="0.3">
      <c r="A4668" s="33" t="s">
        <v>9281</v>
      </c>
      <c r="B4668">
        <f t="shared" si="1172"/>
        <v>4</v>
      </c>
    </row>
    <row r="4669" spans="1:2" ht="15" customHeight="1" x14ac:dyDescent="0.3">
      <c r="A4669" s="33" t="s">
        <v>9282</v>
      </c>
      <c r="B4669">
        <f t="shared" si="1172"/>
        <v>4</v>
      </c>
    </row>
    <row r="4670" spans="1:2" ht="15" customHeight="1" x14ac:dyDescent="0.3">
      <c r="A4670" s="33" t="s">
        <v>9283</v>
      </c>
      <c r="B4670">
        <f t="shared" si="1172"/>
        <v>4</v>
      </c>
    </row>
    <row r="4671" spans="1:2" ht="15" customHeight="1" x14ac:dyDescent="0.3">
      <c r="A4671" s="33" t="s">
        <v>9284</v>
      </c>
      <c r="B4671">
        <f t="shared" si="1172"/>
        <v>4</v>
      </c>
    </row>
    <row r="4672" spans="1:2" ht="15" customHeight="1" x14ac:dyDescent="0.3">
      <c r="A4672" s="33" t="s">
        <v>9285</v>
      </c>
      <c r="B4672">
        <f t="shared" si="1172"/>
        <v>4</v>
      </c>
    </row>
    <row r="4673" spans="1:2" ht="15" customHeight="1" x14ac:dyDescent="0.3">
      <c r="A4673" s="33" t="s">
        <v>9286</v>
      </c>
      <c r="B4673">
        <f t="shared" si="1172"/>
        <v>4</v>
      </c>
    </row>
    <row r="4674" spans="1:2" ht="15" customHeight="1" x14ac:dyDescent="0.3">
      <c r="A4674" s="33" t="s">
        <v>9287</v>
      </c>
      <c r="B4674">
        <f t="shared" si="1172"/>
        <v>4</v>
      </c>
    </row>
    <row r="4675" spans="1:2" ht="15" customHeight="1" x14ac:dyDescent="0.3">
      <c r="A4675" s="33" t="s">
        <v>9288</v>
      </c>
      <c r="B4675">
        <f t="shared" si="1172"/>
        <v>4</v>
      </c>
    </row>
    <row r="4676" spans="1:2" ht="15" customHeight="1" x14ac:dyDescent="0.3">
      <c r="A4676" s="33" t="s">
        <v>9289</v>
      </c>
      <c r="B4676">
        <f t="shared" si="1172"/>
        <v>4</v>
      </c>
    </row>
    <row r="4677" spans="1:2" ht="15" customHeight="1" x14ac:dyDescent="0.3">
      <c r="A4677" s="33" t="s">
        <v>9290</v>
      </c>
      <c r="B4677">
        <f t="shared" si="1172"/>
        <v>4</v>
      </c>
    </row>
    <row r="4678" spans="1:2" ht="15" customHeight="1" x14ac:dyDescent="0.3">
      <c r="A4678" s="33" t="s">
        <v>9291</v>
      </c>
      <c r="B4678">
        <f t="shared" si="1172"/>
        <v>4</v>
      </c>
    </row>
    <row r="4679" spans="1:2" ht="15" customHeight="1" x14ac:dyDescent="0.3">
      <c r="A4679" s="33" t="s">
        <v>9292</v>
      </c>
      <c r="B4679">
        <f t="shared" si="1172"/>
        <v>4</v>
      </c>
    </row>
    <row r="4680" spans="1:2" ht="15" customHeight="1" x14ac:dyDescent="0.3">
      <c r="A4680" s="33" t="s">
        <v>9293</v>
      </c>
      <c r="B4680">
        <f t="shared" si="1172"/>
        <v>4</v>
      </c>
    </row>
    <row r="4681" spans="1:2" ht="15" customHeight="1" x14ac:dyDescent="0.3">
      <c r="A4681" s="33" t="s">
        <v>9294</v>
      </c>
      <c r="B4681">
        <f t="shared" si="1172"/>
        <v>4</v>
      </c>
    </row>
    <row r="4682" spans="1:2" ht="15" customHeight="1" x14ac:dyDescent="0.3">
      <c r="A4682" s="33" t="s">
        <v>9295</v>
      </c>
      <c r="B4682">
        <f t="shared" si="1172"/>
        <v>4</v>
      </c>
    </row>
    <row r="4683" spans="1:2" ht="15" customHeight="1" x14ac:dyDescent="0.3">
      <c r="A4683" s="33" t="s">
        <v>9296</v>
      </c>
      <c r="B4683">
        <f t="shared" si="1172"/>
        <v>4</v>
      </c>
    </row>
    <row r="4684" spans="1:2" ht="15" customHeight="1" x14ac:dyDescent="0.3">
      <c r="A4684" s="33" t="s">
        <v>9297</v>
      </c>
      <c r="B4684">
        <f t="shared" si="1172"/>
        <v>4</v>
      </c>
    </row>
    <row r="4685" spans="1:2" ht="15" customHeight="1" x14ac:dyDescent="0.3">
      <c r="A4685" s="33" t="s">
        <v>9298</v>
      </c>
      <c r="B4685">
        <f t="shared" si="1172"/>
        <v>4</v>
      </c>
    </row>
    <row r="4686" spans="1:2" ht="15" customHeight="1" x14ac:dyDescent="0.3">
      <c r="A4686" s="33" t="s">
        <v>9299</v>
      </c>
      <c r="B4686">
        <f t="shared" si="1172"/>
        <v>4</v>
      </c>
    </row>
    <row r="4687" spans="1:2" ht="15" customHeight="1" x14ac:dyDescent="0.3">
      <c r="A4687" s="33" t="s">
        <v>9300</v>
      </c>
      <c r="B4687">
        <f t="shared" si="1172"/>
        <v>4</v>
      </c>
    </row>
    <row r="4688" spans="1:2" ht="15" customHeight="1" x14ac:dyDescent="0.3">
      <c r="A4688" s="33" t="s">
        <v>9301</v>
      </c>
      <c r="B4688">
        <f t="shared" si="1172"/>
        <v>3</v>
      </c>
    </row>
    <row r="4689" spans="1:2" ht="15" customHeight="1" x14ac:dyDescent="0.3">
      <c r="A4689" t="s">
        <v>9302</v>
      </c>
      <c r="B4689">
        <f t="shared" si="1172"/>
        <v>3</v>
      </c>
    </row>
    <row r="4690" spans="1:2" ht="15" customHeight="1" x14ac:dyDescent="0.3">
      <c r="A4690" s="33" t="s">
        <v>9303</v>
      </c>
      <c r="B4690">
        <f t="shared" si="1172"/>
        <v>3</v>
      </c>
    </row>
    <row r="4691" spans="1:2" ht="15" customHeight="1" x14ac:dyDescent="0.3">
      <c r="A4691" s="33" t="s">
        <v>9304</v>
      </c>
      <c r="B4691">
        <f t="shared" si="1172"/>
        <v>4</v>
      </c>
    </row>
    <row r="4692" spans="1:2" ht="15" customHeight="1" x14ac:dyDescent="0.3">
      <c r="A4692" s="33" t="s">
        <v>9305</v>
      </c>
      <c r="B4692">
        <f t="shared" si="1172"/>
        <v>7</v>
      </c>
    </row>
    <row r="4693" spans="1:2" ht="15" customHeight="1" x14ac:dyDescent="0.3">
      <c r="A4693" s="33" t="s">
        <v>9306</v>
      </c>
      <c r="B4693">
        <f t="shared" si="1172"/>
        <v>4</v>
      </c>
    </row>
    <row r="4694" spans="1:2" ht="15" customHeight="1" x14ac:dyDescent="0.3">
      <c r="A4694" s="33" t="s">
        <v>9307</v>
      </c>
      <c r="B4694">
        <f t="shared" si="1172"/>
        <v>4</v>
      </c>
    </row>
    <row r="4695" spans="1:2" ht="15" customHeight="1" x14ac:dyDescent="0.3">
      <c r="A4695" s="33" t="s">
        <v>9308</v>
      </c>
      <c r="B4695">
        <f t="shared" ref="B4695:B4704" si="1173">B4436</f>
        <v>7</v>
      </c>
    </row>
    <row r="4696" spans="1:2" ht="15" customHeight="1" x14ac:dyDescent="0.3">
      <c r="A4696" s="33" t="s">
        <v>9309</v>
      </c>
      <c r="B4696">
        <f t="shared" si="1173"/>
        <v>7</v>
      </c>
    </row>
    <row r="4697" spans="1:2" ht="15" customHeight="1" x14ac:dyDescent="0.3">
      <c r="A4697" s="33" t="s">
        <v>9310</v>
      </c>
      <c r="B4697">
        <f t="shared" si="1173"/>
        <v>8</v>
      </c>
    </row>
    <row r="4698" spans="1:2" ht="15" customHeight="1" x14ac:dyDescent="0.3">
      <c r="A4698" s="33" t="s">
        <v>9311</v>
      </c>
      <c r="B4698">
        <f t="shared" si="1173"/>
        <v>8</v>
      </c>
    </row>
    <row r="4699" spans="1:2" ht="15" customHeight="1" x14ac:dyDescent="0.3">
      <c r="A4699" s="33" t="s">
        <v>9312</v>
      </c>
      <c r="B4699">
        <f t="shared" si="1173"/>
        <v>8</v>
      </c>
    </row>
    <row r="4700" spans="1:2" ht="15" customHeight="1" x14ac:dyDescent="0.3">
      <c r="A4700" s="33" t="s">
        <v>9313</v>
      </c>
      <c r="B4700">
        <f t="shared" si="1173"/>
        <v>8</v>
      </c>
    </row>
    <row r="4701" spans="1:2" ht="15" customHeight="1" x14ac:dyDescent="0.3">
      <c r="A4701" s="33" t="s">
        <v>9314</v>
      </c>
      <c r="B4701">
        <f t="shared" si="1173"/>
        <v>8</v>
      </c>
    </row>
    <row r="4702" spans="1:2" ht="15" customHeight="1" x14ac:dyDescent="0.3">
      <c r="A4702" s="33" t="s">
        <v>9315</v>
      </c>
      <c r="B4702">
        <f t="shared" si="1173"/>
        <v>8</v>
      </c>
    </row>
    <row r="4703" spans="1:2" ht="15" customHeight="1" x14ac:dyDescent="0.3">
      <c r="A4703" s="33" t="s">
        <v>9316</v>
      </c>
      <c r="B4703">
        <f t="shared" si="1173"/>
        <v>8</v>
      </c>
    </row>
    <row r="4704" spans="1:2" ht="15" customHeight="1" x14ac:dyDescent="0.3">
      <c r="A4704" s="33" t="s">
        <v>9317</v>
      </c>
      <c r="B4704">
        <f t="shared" si="1173"/>
        <v>8</v>
      </c>
    </row>
    <row r="4705" spans="1:2" ht="15" customHeight="1" x14ac:dyDescent="0.3">
      <c r="A4705" s="33" t="s">
        <v>9319</v>
      </c>
      <c r="B4705">
        <f t="shared" ref="B4705:B4736" si="1174">B4447</f>
        <v>8</v>
      </c>
    </row>
    <row r="4706" spans="1:2" ht="15" customHeight="1" x14ac:dyDescent="0.3">
      <c r="A4706" s="33" t="s">
        <v>9320</v>
      </c>
      <c r="B4706">
        <f t="shared" si="1174"/>
        <v>8</v>
      </c>
    </row>
    <row r="4707" spans="1:2" ht="15" customHeight="1" x14ac:dyDescent="0.3">
      <c r="A4707" s="33" t="s">
        <v>9321</v>
      </c>
      <c r="B4707">
        <f t="shared" si="1174"/>
        <v>8</v>
      </c>
    </row>
    <row r="4708" spans="1:2" ht="15" customHeight="1" x14ac:dyDescent="0.3">
      <c r="A4708" s="33" t="s">
        <v>9322</v>
      </c>
      <c r="B4708">
        <f t="shared" si="1174"/>
        <v>8</v>
      </c>
    </row>
    <row r="4709" spans="1:2" ht="15" customHeight="1" x14ac:dyDescent="0.3">
      <c r="A4709" s="33" t="s">
        <v>9323</v>
      </c>
      <c r="B4709">
        <f t="shared" si="1174"/>
        <v>8</v>
      </c>
    </row>
    <row r="4710" spans="1:2" ht="15" customHeight="1" x14ac:dyDescent="0.3">
      <c r="A4710" s="33" t="s">
        <v>9324</v>
      </c>
      <c r="B4710">
        <f t="shared" si="1174"/>
        <v>8</v>
      </c>
    </row>
    <row r="4711" spans="1:2" ht="15" customHeight="1" x14ac:dyDescent="0.3">
      <c r="A4711" s="33" t="s">
        <v>9325</v>
      </c>
      <c r="B4711">
        <f t="shared" si="1174"/>
        <v>8</v>
      </c>
    </row>
    <row r="4712" spans="1:2" ht="15" customHeight="1" x14ac:dyDescent="0.3">
      <c r="A4712" s="33" t="s">
        <v>9326</v>
      </c>
      <c r="B4712">
        <f t="shared" si="1174"/>
        <v>8</v>
      </c>
    </row>
    <row r="4713" spans="1:2" ht="15" customHeight="1" x14ac:dyDescent="0.3">
      <c r="A4713" s="33" t="s">
        <v>9327</v>
      </c>
      <c r="B4713">
        <f t="shared" si="1174"/>
        <v>8</v>
      </c>
    </row>
    <row r="4714" spans="1:2" ht="15" customHeight="1" x14ac:dyDescent="0.3">
      <c r="A4714" s="33" t="s">
        <v>9328</v>
      </c>
      <c r="B4714">
        <f t="shared" si="1174"/>
        <v>8</v>
      </c>
    </row>
    <row r="4715" spans="1:2" ht="15" customHeight="1" x14ac:dyDescent="0.3">
      <c r="A4715" s="33" t="s">
        <v>9329</v>
      </c>
      <c r="B4715">
        <f t="shared" si="1174"/>
        <v>8</v>
      </c>
    </row>
    <row r="4716" spans="1:2" ht="15" customHeight="1" x14ac:dyDescent="0.3">
      <c r="A4716" s="33" t="s">
        <v>9330</v>
      </c>
      <c r="B4716">
        <f t="shared" si="1174"/>
        <v>8</v>
      </c>
    </row>
    <row r="4717" spans="1:2" ht="15" customHeight="1" x14ac:dyDescent="0.3">
      <c r="A4717" s="33" t="s">
        <v>9331</v>
      </c>
      <c r="B4717">
        <f t="shared" si="1174"/>
        <v>8</v>
      </c>
    </row>
    <row r="4718" spans="1:2" ht="15" customHeight="1" x14ac:dyDescent="0.3">
      <c r="A4718" s="33" t="s">
        <v>9332</v>
      </c>
      <c r="B4718">
        <f t="shared" si="1174"/>
        <v>8</v>
      </c>
    </row>
    <row r="4719" spans="1:2" ht="15" customHeight="1" x14ac:dyDescent="0.3">
      <c r="A4719" s="33" t="s">
        <v>9333</v>
      </c>
      <c r="B4719">
        <f t="shared" si="1174"/>
        <v>8</v>
      </c>
    </row>
    <row r="4720" spans="1:2" ht="15" customHeight="1" x14ac:dyDescent="0.3">
      <c r="A4720" s="33" t="s">
        <v>9334</v>
      </c>
      <c r="B4720">
        <f t="shared" si="1174"/>
        <v>8</v>
      </c>
    </row>
    <row r="4721" spans="1:2" ht="15" customHeight="1" x14ac:dyDescent="0.3">
      <c r="A4721" s="33" t="s">
        <v>9335</v>
      </c>
      <c r="B4721">
        <f t="shared" si="1174"/>
        <v>8</v>
      </c>
    </row>
    <row r="4722" spans="1:2" ht="15" customHeight="1" x14ac:dyDescent="0.3">
      <c r="A4722" s="33" t="s">
        <v>9336</v>
      </c>
      <c r="B4722">
        <f t="shared" si="1174"/>
        <v>7</v>
      </c>
    </row>
    <row r="4723" spans="1:2" ht="15" customHeight="1" x14ac:dyDescent="0.3">
      <c r="A4723" s="33" t="s">
        <v>9337</v>
      </c>
      <c r="B4723">
        <f t="shared" si="1174"/>
        <v>7</v>
      </c>
    </row>
    <row r="4724" spans="1:2" ht="15" customHeight="1" x14ac:dyDescent="0.3">
      <c r="A4724" s="33" t="s">
        <v>9338</v>
      </c>
      <c r="B4724">
        <f t="shared" si="1174"/>
        <v>7</v>
      </c>
    </row>
    <row r="4725" spans="1:2" ht="15" customHeight="1" x14ac:dyDescent="0.3">
      <c r="A4725" s="33" t="s">
        <v>9339</v>
      </c>
      <c r="B4725">
        <f t="shared" si="1174"/>
        <v>7</v>
      </c>
    </row>
    <row r="4726" spans="1:2" ht="15" customHeight="1" x14ac:dyDescent="0.3">
      <c r="A4726" s="33" t="s">
        <v>9340</v>
      </c>
      <c r="B4726">
        <f t="shared" si="1174"/>
        <v>7</v>
      </c>
    </row>
    <row r="4727" spans="1:2" ht="15" customHeight="1" x14ac:dyDescent="0.3">
      <c r="A4727" s="33" t="s">
        <v>9341</v>
      </c>
      <c r="B4727">
        <f t="shared" si="1174"/>
        <v>7</v>
      </c>
    </row>
    <row r="4728" spans="1:2" ht="15" customHeight="1" x14ac:dyDescent="0.3">
      <c r="A4728" t="s">
        <v>9342</v>
      </c>
      <c r="B4728">
        <f t="shared" si="1174"/>
        <v>4</v>
      </c>
    </row>
    <row r="4729" spans="1:2" ht="15" customHeight="1" x14ac:dyDescent="0.3">
      <c r="A4729" t="s">
        <v>9343</v>
      </c>
      <c r="B4729">
        <f t="shared" si="1174"/>
        <v>8</v>
      </c>
    </row>
    <row r="4730" spans="1:2" ht="15" customHeight="1" x14ac:dyDescent="0.3">
      <c r="A4730" t="s">
        <v>9344</v>
      </c>
      <c r="B4730">
        <f t="shared" si="1174"/>
        <v>0</v>
      </c>
    </row>
    <row r="4731" spans="1:2" ht="15" customHeight="1" x14ac:dyDescent="0.3">
      <c r="A4731" s="33" t="s">
        <v>9345</v>
      </c>
      <c r="B4731">
        <f t="shared" si="1174"/>
        <v>4</v>
      </c>
    </row>
    <row r="4732" spans="1:2" ht="15" customHeight="1" x14ac:dyDescent="0.3">
      <c r="A4732" t="s">
        <v>9346</v>
      </c>
      <c r="B4732">
        <f t="shared" si="1174"/>
        <v>0</v>
      </c>
    </row>
    <row r="4733" spans="1:2" ht="15" customHeight="1" x14ac:dyDescent="0.3">
      <c r="A4733" s="33" t="s">
        <v>9347</v>
      </c>
      <c r="B4733">
        <f t="shared" si="1174"/>
        <v>4</v>
      </c>
    </row>
    <row r="4734" spans="1:2" ht="15" customHeight="1" x14ac:dyDescent="0.3">
      <c r="A4734" s="33" t="s">
        <v>9348</v>
      </c>
      <c r="B4734">
        <f t="shared" si="1174"/>
        <v>4</v>
      </c>
    </row>
    <row r="4735" spans="1:2" ht="15" customHeight="1" x14ac:dyDescent="0.3">
      <c r="A4735" s="33" t="s">
        <v>9349</v>
      </c>
      <c r="B4735">
        <f t="shared" si="1174"/>
        <v>4</v>
      </c>
    </row>
    <row r="4736" spans="1:2" ht="15" customHeight="1" x14ac:dyDescent="0.3">
      <c r="A4736" s="33" t="s">
        <v>9350</v>
      </c>
      <c r="B4736">
        <f t="shared" si="1174"/>
        <v>4</v>
      </c>
    </row>
    <row r="4737" spans="1:2" ht="15" customHeight="1" x14ac:dyDescent="0.3">
      <c r="A4737" s="33" t="s">
        <v>9351</v>
      </c>
      <c r="B4737">
        <f t="shared" ref="B4737:B4768" si="1175">B4479</f>
        <v>4</v>
      </c>
    </row>
    <row r="4738" spans="1:2" ht="15" customHeight="1" x14ac:dyDescent="0.3">
      <c r="A4738" s="33" t="s">
        <v>9352</v>
      </c>
      <c r="B4738">
        <f t="shared" si="1175"/>
        <v>4</v>
      </c>
    </row>
    <row r="4739" spans="1:2" ht="15" customHeight="1" x14ac:dyDescent="0.3">
      <c r="A4739" s="33" t="s">
        <v>9353</v>
      </c>
      <c r="B4739">
        <f t="shared" si="1175"/>
        <v>4</v>
      </c>
    </row>
    <row r="4740" spans="1:2" ht="15" customHeight="1" x14ac:dyDescent="0.3">
      <c r="A4740" s="33" t="s">
        <v>9354</v>
      </c>
      <c r="B4740">
        <f t="shared" si="1175"/>
        <v>4</v>
      </c>
    </row>
    <row r="4741" spans="1:2" ht="15" customHeight="1" x14ac:dyDescent="0.3">
      <c r="A4741" s="33" t="s">
        <v>9355</v>
      </c>
      <c r="B4741">
        <f t="shared" si="1175"/>
        <v>0</v>
      </c>
    </row>
    <row r="4742" spans="1:2" ht="15" customHeight="1" x14ac:dyDescent="0.3">
      <c r="A4742" s="33" t="s">
        <v>9356</v>
      </c>
      <c r="B4742">
        <f t="shared" si="1175"/>
        <v>4</v>
      </c>
    </row>
    <row r="4743" spans="1:2" ht="15" customHeight="1" x14ac:dyDescent="0.3">
      <c r="A4743" s="33" t="s">
        <v>9357</v>
      </c>
      <c r="B4743">
        <f t="shared" si="1175"/>
        <v>4</v>
      </c>
    </row>
    <row r="4744" spans="1:2" ht="15" customHeight="1" x14ac:dyDescent="0.3">
      <c r="A4744" s="33" t="s">
        <v>9358</v>
      </c>
      <c r="B4744">
        <f t="shared" si="1175"/>
        <v>4</v>
      </c>
    </row>
    <row r="4745" spans="1:2" ht="15" customHeight="1" x14ac:dyDescent="0.3">
      <c r="A4745" s="33" t="s">
        <v>9359</v>
      </c>
      <c r="B4745">
        <f t="shared" si="1175"/>
        <v>4</v>
      </c>
    </row>
    <row r="4746" spans="1:2" ht="15" customHeight="1" x14ac:dyDescent="0.3">
      <c r="A4746" s="33" t="s">
        <v>9360</v>
      </c>
      <c r="B4746">
        <f t="shared" si="1175"/>
        <v>4</v>
      </c>
    </row>
    <row r="4747" spans="1:2" ht="15" customHeight="1" x14ac:dyDescent="0.3">
      <c r="A4747" s="33" t="s">
        <v>9361</v>
      </c>
      <c r="B4747">
        <f t="shared" si="1175"/>
        <v>4</v>
      </c>
    </row>
    <row r="4748" spans="1:2" ht="15" customHeight="1" x14ac:dyDescent="0.3">
      <c r="A4748" s="33" t="s">
        <v>9362</v>
      </c>
      <c r="B4748">
        <f t="shared" si="1175"/>
        <v>4</v>
      </c>
    </row>
    <row r="4749" spans="1:2" ht="15" customHeight="1" x14ac:dyDescent="0.3">
      <c r="A4749" s="33" t="s">
        <v>9363</v>
      </c>
      <c r="B4749">
        <f t="shared" si="1175"/>
        <v>4</v>
      </c>
    </row>
    <row r="4750" spans="1:2" ht="15" customHeight="1" x14ac:dyDescent="0.3">
      <c r="A4750" s="33" t="s">
        <v>9364</v>
      </c>
      <c r="B4750">
        <f t="shared" si="1175"/>
        <v>4</v>
      </c>
    </row>
    <row r="4751" spans="1:2" ht="15" customHeight="1" x14ac:dyDescent="0.3">
      <c r="A4751" s="33" t="s">
        <v>9365</v>
      </c>
      <c r="B4751">
        <f t="shared" si="1175"/>
        <v>4</v>
      </c>
    </row>
    <row r="4752" spans="1:2" ht="15" customHeight="1" x14ac:dyDescent="0.3">
      <c r="A4752" s="33" t="s">
        <v>9366</v>
      </c>
      <c r="B4752">
        <f t="shared" si="1175"/>
        <v>4</v>
      </c>
    </row>
    <row r="4753" spans="1:2" ht="15" customHeight="1" x14ac:dyDescent="0.3">
      <c r="A4753" s="33" t="s">
        <v>9367</v>
      </c>
      <c r="B4753">
        <f t="shared" si="1175"/>
        <v>0</v>
      </c>
    </row>
    <row r="4754" spans="1:2" ht="15" customHeight="1" x14ac:dyDescent="0.3">
      <c r="A4754" s="33" t="s">
        <v>9368</v>
      </c>
      <c r="B4754">
        <f t="shared" si="1175"/>
        <v>0</v>
      </c>
    </row>
    <row r="4755" spans="1:2" ht="15" customHeight="1" x14ac:dyDescent="0.3">
      <c r="A4755" t="s">
        <v>9369</v>
      </c>
      <c r="B4755">
        <f t="shared" si="1175"/>
        <v>8</v>
      </c>
    </row>
    <row r="4756" spans="1:2" ht="15" customHeight="1" x14ac:dyDescent="0.3">
      <c r="A4756" s="33" t="s">
        <v>9370</v>
      </c>
      <c r="B4756">
        <f t="shared" si="1175"/>
        <v>3</v>
      </c>
    </row>
    <row r="4757" spans="1:2" ht="15" customHeight="1" x14ac:dyDescent="0.3">
      <c r="A4757" s="33" t="s">
        <v>9371</v>
      </c>
      <c r="B4757">
        <f t="shared" si="1175"/>
        <v>3</v>
      </c>
    </row>
    <row r="4758" spans="1:2" ht="15" customHeight="1" x14ac:dyDescent="0.3">
      <c r="A4758" s="33" t="s">
        <v>9372</v>
      </c>
      <c r="B4758">
        <f t="shared" si="1175"/>
        <v>3</v>
      </c>
    </row>
    <row r="4759" spans="1:2" ht="15" customHeight="1" x14ac:dyDescent="0.3">
      <c r="A4759" s="33" t="s">
        <v>9373</v>
      </c>
      <c r="B4759">
        <f t="shared" si="1175"/>
        <v>3</v>
      </c>
    </row>
    <row r="4760" spans="1:2" ht="15" customHeight="1" x14ac:dyDescent="0.3">
      <c r="A4760" s="33" t="s">
        <v>9374</v>
      </c>
      <c r="B4760">
        <f t="shared" si="1175"/>
        <v>3</v>
      </c>
    </row>
    <row r="4761" spans="1:2" ht="15" customHeight="1" x14ac:dyDescent="0.3">
      <c r="A4761" s="33" t="s">
        <v>9375</v>
      </c>
      <c r="B4761">
        <f t="shared" si="1175"/>
        <v>3</v>
      </c>
    </row>
    <row r="4762" spans="1:2" ht="15" customHeight="1" x14ac:dyDescent="0.3">
      <c r="A4762" s="33" t="s">
        <v>9376</v>
      </c>
      <c r="B4762">
        <f t="shared" si="1175"/>
        <v>3</v>
      </c>
    </row>
    <row r="4763" spans="1:2" ht="15" customHeight="1" x14ac:dyDescent="0.3">
      <c r="A4763" s="33" t="s">
        <v>9377</v>
      </c>
      <c r="B4763">
        <f t="shared" si="1175"/>
        <v>3</v>
      </c>
    </row>
    <row r="4764" spans="1:2" ht="15" customHeight="1" x14ac:dyDescent="0.3">
      <c r="A4764" s="33" t="s">
        <v>9378</v>
      </c>
      <c r="B4764">
        <f t="shared" si="1175"/>
        <v>3</v>
      </c>
    </row>
    <row r="4765" spans="1:2" ht="15" customHeight="1" x14ac:dyDescent="0.3">
      <c r="A4765" s="33" t="s">
        <v>9379</v>
      </c>
      <c r="B4765">
        <f t="shared" si="1175"/>
        <v>3</v>
      </c>
    </row>
    <row r="4766" spans="1:2" ht="15" customHeight="1" x14ac:dyDescent="0.3">
      <c r="A4766" s="33" t="s">
        <v>9380</v>
      </c>
      <c r="B4766">
        <f t="shared" si="1175"/>
        <v>3</v>
      </c>
    </row>
    <row r="4767" spans="1:2" ht="15" customHeight="1" x14ac:dyDescent="0.3">
      <c r="A4767" s="33" t="s">
        <v>9381</v>
      </c>
      <c r="B4767">
        <f t="shared" si="1175"/>
        <v>3</v>
      </c>
    </row>
    <row r="4768" spans="1:2" ht="15" customHeight="1" x14ac:dyDescent="0.3">
      <c r="A4768" s="33" t="s">
        <v>9382</v>
      </c>
      <c r="B4768">
        <f t="shared" si="1175"/>
        <v>3</v>
      </c>
    </row>
    <row r="4769" spans="1:2" ht="15" customHeight="1" x14ac:dyDescent="0.3">
      <c r="A4769" s="33" t="s">
        <v>9383</v>
      </c>
      <c r="B4769">
        <f t="shared" ref="B4769:B4800" si="1176">B4511</f>
        <v>3</v>
      </c>
    </row>
    <row r="4770" spans="1:2" ht="15" customHeight="1" x14ac:dyDescent="0.3">
      <c r="A4770" s="33" t="s">
        <v>9384</v>
      </c>
      <c r="B4770">
        <f t="shared" si="1176"/>
        <v>3</v>
      </c>
    </row>
    <row r="4771" spans="1:2" ht="15" customHeight="1" x14ac:dyDescent="0.3">
      <c r="A4771" s="33" t="s">
        <v>9385</v>
      </c>
      <c r="B4771">
        <f t="shared" si="1176"/>
        <v>3</v>
      </c>
    </row>
    <row r="4772" spans="1:2" ht="15" customHeight="1" x14ac:dyDescent="0.3">
      <c r="A4772" s="33" t="s">
        <v>9386</v>
      </c>
      <c r="B4772">
        <f t="shared" si="1176"/>
        <v>3</v>
      </c>
    </row>
    <row r="4773" spans="1:2" ht="15" customHeight="1" x14ac:dyDescent="0.3">
      <c r="A4773" s="33" t="s">
        <v>9387</v>
      </c>
      <c r="B4773">
        <f t="shared" si="1176"/>
        <v>3</v>
      </c>
    </row>
    <row r="4774" spans="1:2" ht="15" customHeight="1" x14ac:dyDescent="0.3">
      <c r="A4774" s="33" t="s">
        <v>9388</v>
      </c>
      <c r="B4774">
        <f t="shared" si="1176"/>
        <v>3</v>
      </c>
    </row>
    <row r="4775" spans="1:2" ht="15" customHeight="1" x14ac:dyDescent="0.3">
      <c r="A4775" s="33" t="s">
        <v>9389</v>
      </c>
      <c r="B4775">
        <f t="shared" si="1176"/>
        <v>3</v>
      </c>
    </row>
    <row r="4776" spans="1:2" ht="15" customHeight="1" x14ac:dyDescent="0.3">
      <c r="A4776" s="33" t="s">
        <v>9390</v>
      </c>
      <c r="B4776">
        <f t="shared" si="1176"/>
        <v>3</v>
      </c>
    </row>
    <row r="4777" spans="1:2" ht="15" customHeight="1" x14ac:dyDescent="0.3">
      <c r="A4777" s="33" t="s">
        <v>9391</v>
      </c>
      <c r="B4777">
        <f t="shared" si="1176"/>
        <v>3</v>
      </c>
    </row>
    <row r="4778" spans="1:2" ht="15" customHeight="1" x14ac:dyDescent="0.3">
      <c r="A4778" s="33" t="s">
        <v>9392</v>
      </c>
      <c r="B4778">
        <f t="shared" si="1176"/>
        <v>3</v>
      </c>
    </row>
    <row r="4779" spans="1:2" ht="15" customHeight="1" x14ac:dyDescent="0.3">
      <c r="A4779" s="33" t="s">
        <v>9393</v>
      </c>
      <c r="B4779">
        <f t="shared" si="1176"/>
        <v>3</v>
      </c>
    </row>
    <row r="4780" spans="1:2" ht="15" customHeight="1" x14ac:dyDescent="0.3">
      <c r="A4780" s="33" t="s">
        <v>9394</v>
      </c>
      <c r="B4780">
        <f t="shared" si="1176"/>
        <v>3</v>
      </c>
    </row>
    <row r="4781" spans="1:2" ht="15" customHeight="1" x14ac:dyDescent="0.3">
      <c r="A4781" s="33" t="s">
        <v>9395</v>
      </c>
      <c r="B4781">
        <f t="shared" si="1176"/>
        <v>3</v>
      </c>
    </row>
    <row r="4782" spans="1:2" ht="15" customHeight="1" x14ac:dyDescent="0.3">
      <c r="A4782" s="33" t="s">
        <v>9396</v>
      </c>
      <c r="B4782">
        <f t="shared" si="1176"/>
        <v>4</v>
      </c>
    </row>
    <row r="4783" spans="1:2" ht="15" customHeight="1" x14ac:dyDescent="0.3">
      <c r="A4783" s="33" t="s">
        <v>9397</v>
      </c>
      <c r="B4783">
        <f t="shared" si="1176"/>
        <v>4</v>
      </c>
    </row>
    <row r="4784" spans="1:2" ht="15" customHeight="1" x14ac:dyDescent="0.3">
      <c r="A4784" s="33" t="s">
        <v>9398</v>
      </c>
      <c r="B4784">
        <f t="shared" si="1176"/>
        <v>4</v>
      </c>
    </row>
    <row r="4785" spans="1:2" ht="15" customHeight="1" x14ac:dyDescent="0.3">
      <c r="A4785" s="33" t="s">
        <v>9399</v>
      </c>
      <c r="B4785">
        <f t="shared" si="1176"/>
        <v>4</v>
      </c>
    </row>
    <row r="4786" spans="1:2" ht="15" customHeight="1" x14ac:dyDescent="0.3">
      <c r="A4786" s="33" t="s">
        <v>9400</v>
      </c>
      <c r="B4786">
        <f t="shared" si="1176"/>
        <v>4</v>
      </c>
    </row>
    <row r="4787" spans="1:2" ht="15" customHeight="1" x14ac:dyDescent="0.3">
      <c r="A4787" s="33" t="s">
        <v>9401</v>
      </c>
      <c r="B4787">
        <f t="shared" si="1176"/>
        <v>4</v>
      </c>
    </row>
    <row r="4788" spans="1:2" ht="15" customHeight="1" x14ac:dyDescent="0.3">
      <c r="A4788" s="33" t="s">
        <v>9402</v>
      </c>
      <c r="B4788">
        <f t="shared" si="1176"/>
        <v>4</v>
      </c>
    </row>
    <row r="4789" spans="1:2" ht="15" customHeight="1" x14ac:dyDescent="0.3">
      <c r="A4789" s="33" t="s">
        <v>9403</v>
      </c>
      <c r="B4789">
        <f t="shared" si="1176"/>
        <v>3</v>
      </c>
    </row>
    <row r="4790" spans="1:2" ht="15" customHeight="1" x14ac:dyDescent="0.3">
      <c r="A4790" s="33" t="s">
        <v>9404</v>
      </c>
      <c r="B4790">
        <f t="shared" si="1176"/>
        <v>4</v>
      </c>
    </row>
    <row r="4791" spans="1:2" ht="15" customHeight="1" x14ac:dyDescent="0.3">
      <c r="A4791" s="33" t="s">
        <v>9405</v>
      </c>
      <c r="B4791">
        <f t="shared" si="1176"/>
        <v>4</v>
      </c>
    </row>
    <row r="4792" spans="1:2" ht="15" customHeight="1" x14ac:dyDescent="0.3">
      <c r="A4792" s="33" t="s">
        <v>9406</v>
      </c>
      <c r="B4792">
        <f t="shared" si="1176"/>
        <v>7</v>
      </c>
    </row>
    <row r="4793" spans="1:2" ht="15" customHeight="1" x14ac:dyDescent="0.3">
      <c r="A4793" s="33" t="s">
        <v>9407</v>
      </c>
      <c r="B4793">
        <f t="shared" si="1176"/>
        <v>4</v>
      </c>
    </row>
    <row r="4794" spans="1:2" ht="15" customHeight="1" x14ac:dyDescent="0.3">
      <c r="A4794" s="33" t="s">
        <v>9408</v>
      </c>
      <c r="B4794">
        <f t="shared" si="1176"/>
        <v>4</v>
      </c>
    </row>
    <row r="4795" spans="1:2" ht="15" customHeight="1" x14ac:dyDescent="0.3">
      <c r="A4795" s="33" t="s">
        <v>9409</v>
      </c>
      <c r="B4795">
        <f t="shared" si="1176"/>
        <v>4</v>
      </c>
    </row>
    <row r="4796" spans="1:2" ht="15" customHeight="1" x14ac:dyDescent="0.3">
      <c r="A4796" s="33" t="s">
        <v>9410</v>
      </c>
      <c r="B4796">
        <f t="shared" si="1176"/>
        <v>4</v>
      </c>
    </row>
    <row r="4797" spans="1:2" ht="15" customHeight="1" x14ac:dyDescent="0.3">
      <c r="A4797" s="33" t="s">
        <v>9411</v>
      </c>
      <c r="B4797">
        <f t="shared" si="1176"/>
        <v>4</v>
      </c>
    </row>
    <row r="4798" spans="1:2" ht="15" customHeight="1" x14ac:dyDescent="0.3">
      <c r="A4798" s="33" t="s">
        <v>9412</v>
      </c>
      <c r="B4798">
        <f t="shared" si="1176"/>
        <v>4</v>
      </c>
    </row>
    <row r="4799" spans="1:2" ht="15" customHeight="1" x14ac:dyDescent="0.3">
      <c r="A4799" s="33" t="s">
        <v>9413</v>
      </c>
      <c r="B4799">
        <f t="shared" si="1176"/>
        <v>4</v>
      </c>
    </row>
    <row r="4800" spans="1:2" ht="15" customHeight="1" x14ac:dyDescent="0.3">
      <c r="A4800" s="33" t="s">
        <v>9414</v>
      </c>
      <c r="B4800">
        <f t="shared" si="1176"/>
        <v>4</v>
      </c>
    </row>
    <row r="4801" spans="1:2" ht="15" customHeight="1" x14ac:dyDescent="0.3">
      <c r="A4801" s="33" t="s">
        <v>9415</v>
      </c>
      <c r="B4801">
        <f t="shared" ref="B4801:B4832" si="1177">B4543</f>
        <v>4</v>
      </c>
    </row>
    <row r="4802" spans="1:2" ht="15" customHeight="1" x14ac:dyDescent="0.3">
      <c r="A4802" s="33" t="s">
        <v>9416</v>
      </c>
      <c r="B4802">
        <f t="shared" si="1177"/>
        <v>4</v>
      </c>
    </row>
    <row r="4803" spans="1:2" ht="15" customHeight="1" x14ac:dyDescent="0.3">
      <c r="A4803" s="33" t="s">
        <v>9417</v>
      </c>
      <c r="B4803">
        <f t="shared" si="1177"/>
        <v>4</v>
      </c>
    </row>
    <row r="4804" spans="1:2" ht="15" customHeight="1" x14ac:dyDescent="0.3">
      <c r="A4804" s="33" t="s">
        <v>9418</v>
      </c>
      <c r="B4804">
        <f t="shared" si="1177"/>
        <v>4</v>
      </c>
    </row>
    <row r="4805" spans="1:2" ht="15" customHeight="1" x14ac:dyDescent="0.3">
      <c r="A4805" s="33" t="s">
        <v>9419</v>
      </c>
      <c r="B4805">
        <f t="shared" si="1177"/>
        <v>4</v>
      </c>
    </row>
    <row r="4806" spans="1:2" ht="15" customHeight="1" x14ac:dyDescent="0.3">
      <c r="A4806" s="33" t="s">
        <v>9420</v>
      </c>
      <c r="B4806">
        <f t="shared" si="1177"/>
        <v>4</v>
      </c>
    </row>
    <row r="4807" spans="1:2" ht="15" customHeight="1" x14ac:dyDescent="0.3">
      <c r="A4807" s="33" t="s">
        <v>9421</v>
      </c>
      <c r="B4807">
        <f t="shared" si="1177"/>
        <v>4</v>
      </c>
    </row>
    <row r="4808" spans="1:2" ht="15" customHeight="1" x14ac:dyDescent="0.3">
      <c r="A4808" s="33" t="s">
        <v>9422</v>
      </c>
      <c r="B4808">
        <f t="shared" si="1177"/>
        <v>4</v>
      </c>
    </row>
    <row r="4809" spans="1:2" ht="15" customHeight="1" x14ac:dyDescent="0.3">
      <c r="A4809" s="33" t="s">
        <v>9423</v>
      </c>
      <c r="B4809">
        <f t="shared" si="1177"/>
        <v>4</v>
      </c>
    </row>
    <row r="4810" spans="1:2" ht="15" customHeight="1" x14ac:dyDescent="0.3">
      <c r="A4810" s="33" t="s">
        <v>9424</v>
      </c>
      <c r="B4810">
        <f t="shared" si="1177"/>
        <v>4</v>
      </c>
    </row>
    <row r="4811" spans="1:2" ht="15" customHeight="1" x14ac:dyDescent="0.3">
      <c r="A4811" s="33" t="s">
        <v>9425</v>
      </c>
      <c r="B4811">
        <f t="shared" si="1177"/>
        <v>4</v>
      </c>
    </row>
    <row r="4812" spans="1:2" ht="15" customHeight="1" x14ac:dyDescent="0.3">
      <c r="A4812" s="33" t="s">
        <v>9426</v>
      </c>
      <c r="B4812">
        <f t="shared" si="1177"/>
        <v>4</v>
      </c>
    </row>
    <row r="4813" spans="1:2" ht="15" customHeight="1" x14ac:dyDescent="0.3">
      <c r="A4813" s="33" t="s">
        <v>9427</v>
      </c>
      <c r="B4813">
        <f t="shared" si="1177"/>
        <v>4</v>
      </c>
    </row>
    <row r="4814" spans="1:2" ht="15" customHeight="1" x14ac:dyDescent="0.3">
      <c r="A4814" s="33" t="s">
        <v>9428</v>
      </c>
      <c r="B4814">
        <f t="shared" si="1177"/>
        <v>4</v>
      </c>
    </row>
    <row r="4815" spans="1:2" ht="15" customHeight="1" x14ac:dyDescent="0.3">
      <c r="A4815" s="33" t="s">
        <v>9429</v>
      </c>
      <c r="B4815">
        <f t="shared" si="1177"/>
        <v>4</v>
      </c>
    </row>
    <row r="4816" spans="1:2" ht="15" customHeight="1" x14ac:dyDescent="0.3">
      <c r="A4816" s="33" t="s">
        <v>9430</v>
      </c>
      <c r="B4816">
        <f t="shared" si="1177"/>
        <v>4</v>
      </c>
    </row>
    <row r="4817" spans="1:2" ht="15" customHeight="1" x14ac:dyDescent="0.3">
      <c r="A4817" s="33" t="s">
        <v>9431</v>
      </c>
      <c r="B4817">
        <f t="shared" si="1177"/>
        <v>4</v>
      </c>
    </row>
    <row r="4818" spans="1:2" ht="15" customHeight="1" x14ac:dyDescent="0.3">
      <c r="A4818" s="33" t="s">
        <v>9432</v>
      </c>
      <c r="B4818">
        <f t="shared" si="1177"/>
        <v>4</v>
      </c>
    </row>
    <row r="4819" spans="1:2" ht="15" customHeight="1" x14ac:dyDescent="0.3">
      <c r="A4819" s="33" t="s">
        <v>9433</v>
      </c>
      <c r="B4819">
        <f t="shared" si="1177"/>
        <v>4</v>
      </c>
    </row>
    <row r="4820" spans="1:2" ht="15" customHeight="1" x14ac:dyDescent="0.3">
      <c r="A4820" s="33" t="s">
        <v>9434</v>
      </c>
      <c r="B4820">
        <f t="shared" si="1177"/>
        <v>5</v>
      </c>
    </row>
    <row r="4821" spans="1:2" ht="15" customHeight="1" x14ac:dyDescent="0.3">
      <c r="A4821" s="33" t="s">
        <v>9435</v>
      </c>
      <c r="B4821">
        <f t="shared" si="1177"/>
        <v>5</v>
      </c>
    </row>
    <row r="4822" spans="1:2" ht="15" customHeight="1" x14ac:dyDescent="0.3">
      <c r="A4822" s="33" t="s">
        <v>9436</v>
      </c>
      <c r="B4822">
        <f t="shared" si="1177"/>
        <v>4</v>
      </c>
    </row>
    <row r="4823" spans="1:2" ht="15" customHeight="1" x14ac:dyDescent="0.3">
      <c r="A4823" s="33" t="s">
        <v>9437</v>
      </c>
      <c r="B4823">
        <f t="shared" si="1177"/>
        <v>4</v>
      </c>
    </row>
    <row r="4824" spans="1:2" ht="15" customHeight="1" x14ac:dyDescent="0.3">
      <c r="A4824" s="33" t="s">
        <v>9438</v>
      </c>
      <c r="B4824">
        <f t="shared" si="1177"/>
        <v>4</v>
      </c>
    </row>
    <row r="4825" spans="1:2" ht="15" customHeight="1" x14ac:dyDescent="0.3">
      <c r="A4825" s="33" t="s">
        <v>9439</v>
      </c>
      <c r="B4825">
        <f t="shared" si="1177"/>
        <v>4</v>
      </c>
    </row>
    <row r="4826" spans="1:2" ht="15" customHeight="1" x14ac:dyDescent="0.3">
      <c r="A4826" s="33" t="s">
        <v>9440</v>
      </c>
      <c r="B4826">
        <f t="shared" si="1177"/>
        <v>4</v>
      </c>
    </row>
    <row r="4827" spans="1:2" ht="15" customHeight="1" x14ac:dyDescent="0.3">
      <c r="A4827" s="33" t="s">
        <v>9441</v>
      </c>
      <c r="B4827">
        <f t="shared" si="1177"/>
        <v>4</v>
      </c>
    </row>
    <row r="4828" spans="1:2" ht="15" customHeight="1" x14ac:dyDescent="0.3">
      <c r="A4828" s="33" t="s">
        <v>9442</v>
      </c>
      <c r="B4828">
        <f t="shared" si="1177"/>
        <v>4</v>
      </c>
    </row>
    <row r="4829" spans="1:2" ht="15" customHeight="1" x14ac:dyDescent="0.3">
      <c r="A4829" s="33" t="s">
        <v>9443</v>
      </c>
      <c r="B4829">
        <f t="shared" si="1177"/>
        <v>4</v>
      </c>
    </row>
    <row r="4830" spans="1:2" ht="15" customHeight="1" x14ac:dyDescent="0.3">
      <c r="A4830" s="33" t="s">
        <v>9444</v>
      </c>
      <c r="B4830">
        <f t="shared" si="1177"/>
        <v>4</v>
      </c>
    </row>
    <row r="4831" spans="1:2" ht="15" customHeight="1" x14ac:dyDescent="0.3">
      <c r="A4831" s="33" t="s">
        <v>9445</v>
      </c>
      <c r="B4831">
        <f t="shared" si="1177"/>
        <v>4</v>
      </c>
    </row>
    <row r="4832" spans="1:2" ht="15" customHeight="1" x14ac:dyDescent="0.3">
      <c r="A4832" s="33" t="s">
        <v>9446</v>
      </c>
      <c r="B4832">
        <f t="shared" si="1177"/>
        <v>4</v>
      </c>
    </row>
    <row r="4833" spans="1:2" ht="15" customHeight="1" x14ac:dyDescent="0.3">
      <c r="A4833" s="33" t="s">
        <v>9447</v>
      </c>
      <c r="B4833">
        <f t="shared" ref="B4833:B4864" si="1178">B4575</f>
        <v>4</v>
      </c>
    </row>
    <row r="4834" spans="1:2" ht="15" customHeight="1" x14ac:dyDescent="0.3">
      <c r="A4834" s="33" t="s">
        <v>9448</v>
      </c>
      <c r="B4834">
        <f t="shared" si="1178"/>
        <v>4</v>
      </c>
    </row>
    <row r="4835" spans="1:2" ht="15" customHeight="1" x14ac:dyDescent="0.3">
      <c r="A4835" s="33" t="s">
        <v>9449</v>
      </c>
      <c r="B4835">
        <f t="shared" si="1178"/>
        <v>4</v>
      </c>
    </row>
    <row r="4836" spans="1:2" ht="15" customHeight="1" x14ac:dyDescent="0.3">
      <c r="A4836" s="33" t="s">
        <v>9450</v>
      </c>
      <c r="B4836">
        <f t="shared" si="1178"/>
        <v>4</v>
      </c>
    </row>
    <row r="4837" spans="1:2" ht="15" customHeight="1" x14ac:dyDescent="0.3">
      <c r="A4837" s="33" t="s">
        <v>9451</v>
      </c>
      <c r="B4837">
        <f t="shared" si="1178"/>
        <v>4</v>
      </c>
    </row>
    <row r="4838" spans="1:2" ht="15" customHeight="1" x14ac:dyDescent="0.3">
      <c r="A4838" s="33" t="s">
        <v>9452</v>
      </c>
      <c r="B4838">
        <f t="shared" si="1178"/>
        <v>4</v>
      </c>
    </row>
    <row r="4839" spans="1:2" ht="15" customHeight="1" x14ac:dyDescent="0.3">
      <c r="A4839" s="33" t="s">
        <v>9453</v>
      </c>
      <c r="B4839">
        <f t="shared" si="1178"/>
        <v>4</v>
      </c>
    </row>
    <row r="4840" spans="1:2" ht="15" customHeight="1" x14ac:dyDescent="0.3">
      <c r="A4840" s="33" t="s">
        <v>9454</v>
      </c>
      <c r="B4840">
        <f t="shared" si="1178"/>
        <v>4</v>
      </c>
    </row>
    <row r="4841" spans="1:2" ht="15" customHeight="1" x14ac:dyDescent="0.3">
      <c r="A4841" s="33" t="s">
        <v>9455</v>
      </c>
      <c r="B4841">
        <f t="shared" si="1178"/>
        <v>4</v>
      </c>
    </row>
    <row r="4842" spans="1:2" ht="15" customHeight="1" x14ac:dyDescent="0.3">
      <c r="A4842" s="33" t="s">
        <v>9456</v>
      </c>
      <c r="B4842">
        <f t="shared" si="1178"/>
        <v>4</v>
      </c>
    </row>
    <row r="4843" spans="1:2" ht="15" customHeight="1" x14ac:dyDescent="0.3">
      <c r="A4843" s="33" t="s">
        <v>9457</v>
      </c>
      <c r="B4843">
        <f t="shared" si="1178"/>
        <v>4</v>
      </c>
    </row>
    <row r="4844" spans="1:2" ht="15" customHeight="1" x14ac:dyDescent="0.3">
      <c r="A4844" s="33" t="s">
        <v>9458</v>
      </c>
      <c r="B4844">
        <f t="shared" si="1178"/>
        <v>4</v>
      </c>
    </row>
    <row r="4845" spans="1:2" ht="15" customHeight="1" x14ac:dyDescent="0.3">
      <c r="A4845" s="33" t="s">
        <v>9459</v>
      </c>
      <c r="B4845">
        <f t="shared" si="1178"/>
        <v>3</v>
      </c>
    </row>
    <row r="4846" spans="1:2" ht="15" customHeight="1" x14ac:dyDescent="0.3">
      <c r="A4846" t="s">
        <v>9460</v>
      </c>
      <c r="B4846">
        <f t="shared" si="1178"/>
        <v>3</v>
      </c>
    </row>
    <row r="4847" spans="1:2" ht="15" customHeight="1" x14ac:dyDescent="0.3">
      <c r="A4847" s="33" t="s">
        <v>9461</v>
      </c>
      <c r="B4847">
        <f t="shared" si="1178"/>
        <v>3</v>
      </c>
    </row>
    <row r="4848" spans="1:2" ht="15" customHeight="1" x14ac:dyDescent="0.3">
      <c r="A4848" s="33" t="s">
        <v>9462</v>
      </c>
      <c r="B4848">
        <f t="shared" si="1178"/>
        <v>4</v>
      </c>
    </row>
    <row r="4849" spans="1:2" ht="15" customHeight="1" x14ac:dyDescent="0.3">
      <c r="A4849" s="33" t="s">
        <v>9463</v>
      </c>
      <c r="B4849">
        <f t="shared" si="1178"/>
        <v>7</v>
      </c>
    </row>
    <row r="4850" spans="1:2" ht="15" customHeight="1" x14ac:dyDescent="0.3">
      <c r="A4850" s="33" t="s">
        <v>9464</v>
      </c>
      <c r="B4850">
        <f t="shared" si="1178"/>
        <v>4</v>
      </c>
    </row>
    <row r="4851" spans="1:2" ht="15" customHeight="1" x14ac:dyDescent="0.3">
      <c r="A4851" s="33" t="s">
        <v>9465</v>
      </c>
      <c r="B4851">
        <f t="shared" si="1178"/>
        <v>4</v>
      </c>
    </row>
    <row r="4852" spans="1:2" ht="15" customHeight="1" x14ac:dyDescent="0.3">
      <c r="A4852" s="33" t="s">
        <v>9466</v>
      </c>
      <c r="B4852">
        <f t="shared" si="1178"/>
        <v>7</v>
      </c>
    </row>
    <row r="4853" spans="1:2" ht="15" customHeight="1" x14ac:dyDescent="0.3">
      <c r="A4853" s="33" t="s">
        <v>9467</v>
      </c>
      <c r="B4853">
        <f t="shared" si="1178"/>
        <v>7</v>
      </c>
    </row>
    <row r="4854" spans="1:2" ht="15" customHeight="1" x14ac:dyDescent="0.3">
      <c r="A4854" s="33" t="s">
        <v>9468</v>
      </c>
      <c r="B4854">
        <f t="shared" si="1178"/>
        <v>8</v>
      </c>
    </row>
    <row r="4855" spans="1:2" ht="15" customHeight="1" x14ac:dyDescent="0.3">
      <c r="A4855" s="33" t="s">
        <v>9469</v>
      </c>
      <c r="B4855">
        <f t="shared" si="1178"/>
        <v>8</v>
      </c>
    </row>
    <row r="4856" spans="1:2" ht="15" customHeight="1" x14ac:dyDescent="0.3">
      <c r="A4856" s="33" t="s">
        <v>9470</v>
      </c>
      <c r="B4856">
        <f t="shared" si="1178"/>
        <v>8</v>
      </c>
    </row>
    <row r="4857" spans="1:2" ht="15" customHeight="1" x14ac:dyDescent="0.3">
      <c r="A4857" s="33" t="s">
        <v>9471</v>
      </c>
      <c r="B4857">
        <f t="shared" si="1178"/>
        <v>8</v>
      </c>
    </row>
    <row r="4858" spans="1:2" ht="15" customHeight="1" x14ac:dyDescent="0.3">
      <c r="A4858" s="33" t="s">
        <v>9472</v>
      </c>
      <c r="B4858">
        <f t="shared" si="1178"/>
        <v>8</v>
      </c>
    </row>
    <row r="4859" spans="1:2" ht="15" customHeight="1" x14ac:dyDescent="0.3">
      <c r="A4859" s="33" t="s">
        <v>9473</v>
      </c>
      <c r="B4859">
        <f t="shared" si="1178"/>
        <v>8</v>
      </c>
    </row>
    <row r="4860" spans="1:2" ht="15" customHeight="1" x14ac:dyDescent="0.3">
      <c r="A4860" s="33" t="s">
        <v>9474</v>
      </c>
      <c r="B4860">
        <f t="shared" si="1178"/>
        <v>8</v>
      </c>
    </row>
    <row r="4861" spans="1:2" ht="15" customHeight="1" x14ac:dyDescent="0.3">
      <c r="A4861" s="33" t="s">
        <v>9475</v>
      </c>
      <c r="B4861">
        <f t="shared" si="1178"/>
        <v>8</v>
      </c>
    </row>
    <row r="4862" spans="1:2" ht="15" customHeight="1" x14ac:dyDescent="0.3">
      <c r="A4862" s="33" t="s">
        <v>9476</v>
      </c>
      <c r="B4862">
        <f t="shared" si="1178"/>
        <v>8</v>
      </c>
    </row>
    <row r="4863" spans="1:2" ht="15" customHeight="1" x14ac:dyDescent="0.3">
      <c r="A4863" s="33" t="s">
        <v>9477</v>
      </c>
      <c r="B4863">
        <f t="shared" si="1178"/>
        <v>8</v>
      </c>
    </row>
    <row r="4864" spans="1:2" ht="15" customHeight="1" x14ac:dyDescent="0.3">
      <c r="A4864" s="33" t="s">
        <v>9478</v>
      </c>
      <c r="B4864">
        <f t="shared" si="1178"/>
        <v>8</v>
      </c>
    </row>
    <row r="4865" spans="1:2" ht="15" customHeight="1" x14ac:dyDescent="0.3">
      <c r="A4865" s="33" t="s">
        <v>9479</v>
      </c>
      <c r="B4865">
        <f t="shared" ref="B4865:B4874" si="1179">B4607</f>
        <v>8</v>
      </c>
    </row>
    <row r="4866" spans="1:2" ht="15" customHeight="1" x14ac:dyDescent="0.3">
      <c r="A4866" s="33" t="s">
        <v>9480</v>
      </c>
      <c r="B4866">
        <f t="shared" si="1179"/>
        <v>8</v>
      </c>
    </row>
    <row r="4867" spans="1:2" ht="15" customHeight="1" x14ac:dyDescent="0.3">
      <c r="A4867" s="33" t="s">
        <v>9481</v>
      </c>
      <c r="B4867">
        <f t="shared" si="1179"/>
        <v>8</v>
      </c>
    </row>
    <row r="4868" spans="1:2" ht="15" customHeight="1" x14ac:dyDescent="0.3">
      <c r="A4868" s="33" t="s">
        <v>9482</v>
      </c>
      <c r="B4868">
        <f t="shared" si="1179"/>
        <v>8</v>
      </c>
    </row>
    <row r="4869" spans="1:2" ht="15" customHeight="1" x14ac:dyDescent="0.3">
      <c r="A4869" s="33" t="s">
        <v>9483</v>
      </c>
      <c r="B4869">
        <f t="shared" si="1179"/>
        <v>8</v>
      </c>
    </row>
    <row r="4870" spans="1:2" ht="15" customHeight="1" x14ac:dyDescent="0.3">
      <c r="A4870" s="33" t="s">
        <v>9484</v>
      </c>
      <c r="B4870">
        <f t="shared" si="1179"/>
        <v>8</v>
      </c>
    </row>
    <row r="4871" spans="1:2" ht="15" customHeight="1" x14ac:dyDescent="0.3">
      <c r="A4871" s="33" t="s">
        <v>9485</v>
      </c>
      <c r="B4871">
        <f t="shared" si="1179"/>
        <v>8</v>
      </c>
    </row>
    <row r="4872" spans="1:2" ht="15" customHeight="1" x14ac:dyDescent="0.3">
      <c r="A4872" s="33" t="s">
        <v>9486</v>
      </c>
      <c r="B4872">
        <f t="shared" si="1179"/>
        <v>8</v>
      </c>
    </row>
    <row r="4873" spans="1:2" ht="15" customHeight="1" x14ac:dyDescent="0.3">
      <c r="A4873" s="33" t="s">
        <v>9487</v>
      </c>
      <c r="B4873">
        <f t="shared" si="1179"/>
        <v>8</v>
      </c>
    </row>
    <row r="4874" spans="1:2" ht="15" customHeight="1" x14ac:dyDescent="0.3">
      <c r="A4874" s="33" t="s">
        <v>9488</v>
      </c>
      <c r="B4874">
        <f t="shared" si="1179"/>
        <v>8</v>
      </c>
    </row>
    <row r="4875" spans="1:2" ht="15" customHeight="1" x14ac:dyDescent="0.3">
      <c r="A4875" s="33" t="s">
        <v>9489</v>
      </c>
      <c r="B4875">
        <f t="shared" ref="B4875:B4887" si="1180">B4618</f>
        <v>8</v>
      </c>
    </row>
    <row r="4876" spans="1:2" ht="15" customHeight="1" x14ac:dyDescent="0.3">
      <c r="A4876" s="33" t="s">
        <v>9490</v>
      </c>
      <c r="B4876">
        <f t="shared" si="1180"/>
        <v>8</v>
      </c>
    </row>
    <row r="4877" spans="1:2" ht="15" customHeight="1" x14ac:dyDescent="0.3">
      <c r="A4877" s="33" t="s">
        <v>9491</v>
      </c>
      <c r="B4877">
        <f t="shared" si="1180"/>
        <v>8</v>
      </c>
    </row>
    <row r="4878" spans="1:2" ht="15" customHeight="1" x14ac:dyDescent="0.3">
      <c r="A4878" s="33" t="s">
        <v>9492</v>
      </c>
      <c r="B4878">
        <f t="shared" si="1180"/>
        <v>8</v>
      </c>
    </row>
    <row r="4879" spans="1:2" ht="15" customHeight="1" x14ac:dyDescent="0.3">
      <c r="A4879" s="33" t="s">
        <v>9493</v>
      </c>
      <c r="B4879">
        <f t="shared" si="1180"/>
        <v>8</v>
      </c>
    </row>
    <row r="4880" spans="1:2" ht="15" customHeight="1" x14ac:dyDescent="0.3">
      <c r="A4880" s="33" t="s">
        <v>9494</v>
      </c>
      <c r="B4880">
        <f t="shared" si="1180"/>
        <v>7</v>
      </c>
    </row>
    <row r="4881" spans="1:2" ht="15" customHeight="1" x14ac:dyDescent="0.3">
      <c r="A4881" s="33" t="s">
        <v>9495</v>
      </c>
      <c r="B4881">
        <f t="shared" si="1180"/>
        <v>7</v>
      </c>
    </row>
    <row r="4882" spans="1:2" ht="15" customHeight="1" x14ac:dyDescent="0.3">
      <c r="A4882" s="33" t="s">
        <v>9496</v>
      </c>
      <c r="B4882">
        <f t="shared" si="1180"/>
        <v>7</v>
      </c>
    </row>
    <row r="4883" spans="1:2" ht="15" customHeight="1" x14ac:dyDescent="0.3">
      <c r="A4883" s="33" t="s">
        <v>9497</v>
      </c>
      <c r="B4883">
        <f t="shared" si="1180"/>
        <v>7</v>
      </c>
    </row>
    <row r="4884" spans="1:2" ht="15" customHeight="1" x14ac:dyDescent="0.3">
      <c r="A4884" s="33" t="s">
        <v>9498</v>
      </c>
      <c r="B4884">
        <f t="shared" si="1180"/>
        <v>7</v>
      </c>
    </row>
    <row r="4885" spans="1:2" ht="15" customHeight="1" x14ac:dyDescent="0.3">
      <c r="A4885" s="33" t="s">
        <v>9499</v>
      </c>
      <c r="B4885">
        <f t="shared" si="1180"/>
        <v>7</v>
      </c>
    </row>
    <row r="4886" spans="1:2" ht="15" customHeight="1" x14ac:dyDescent="0.3">
      <c r="A4886" t="s">
        <v>9500</v>
      </c>
      <c r="B4886">
        <f t="shared" si="1180"/>
        <v>4</v>
      </c>
    </row>
    <row r="4887" spans="1:2" ht="15" customHeight="1" x14ac:dyDescent="0.3">
      <c r="A4887" t="s">
        <v>9501</v>
      </c>
      <c r="B4887">
        <f t="shared" si="1180"/>
        <v>8</v>
      </c>
    </row>
    <row r="4888" spans="1:2" ht="15" customHeight="1" x14ac:dyDescent="0.3">
      <c r="A4888" t="s">
        <v>8502</v>
      </c>
      <c r="B4888">
        <f>B8440</f>
        <v>45</v>
      </c>
    </row>
    <row r="4889" spans="1:2" ht="15" customHeight="1" x14ac:dyDescent="0.3">
      <c r="A4889" t="s">
        <v>8503</v>
      </c>
      <c r="B4889">
        <f>B8443</f>
        <v>50</v>
      </c>
    </row>
    <row r="4890" spans="1:2" ht="15" customHeight="1" x14ac:dyDescent="0.3">
      <c r="A4890" t="s">
        <v>8504</v>
      </c>
      <c r="B4890">
        <f>B8446</f>
        <v>55</v>
      </c>
    </row>
    <row r="4891" spans="1:2" ht="15" customHeight="1" x14ac:dyDescent="0.3">
      <c r="A4891" t="s">
        <v>8505</v>
      </c>
      <c r="B4891" t="e">
        <f>B8449</f>
        <v>#REF!</v>
      </c>
    </row>
    <row r="4892" spans="1:2" ht="15" customHeight="1" x14ac:dyDescent="0.3">
      <c r="A4892" t="s">
        <v>8506</v>
      </c>
      <c r="B4892" t="e">
        <f>B8452</f>
        <v>#REF!</v>
      </c>
    </row>
    <row r="4893" spans="1:2" ht="15" customHeight="1" x14ac:dyDescent="0.3">
      <c r="A4893" t="s">
        <v>8507</v>
      </c>
      <c r="B4893">
        <f>B8455</f>
        <v>45</v>
      </c>
    </row>
    <row r="4894" spans="1:2" ht="15" customHeight="1" x14ac:dyDescent="0.3">
      <c r="A4894" t="s">
        <v>8508</v>
      </c>
      <c r="B4894">
        <f>B8458</f>
        <v>50</v>
      </c>
    </row>
    <row r="4895" spans="1:2" ht="15" customHeight="1" x14ac:dyDescent="0.3">
      <c r="A4895" t="s">
        <v>8509</v>
      </c>
      <c r="B4895">
        <f>B8461</f>
        <v>70</v>
      </c>
    </row>
    <row r="4896" spans="1:2" ht="15" customHeight="1" x14ac:dyDescent="0.3">
      <c r="A4896" t="s">
        <v>8510</v>
      </c>
      <c r="B4896">
        <f>B8464</f>
        <v>70</v>
      </c>
    </row>
    <row r="4897" spans="1:2" ht="15" customHeight="1" x14ac:dyDescent="0.3">
      <c r="A4897" t="s">
        <v>8511</v>
      </c>
      <c r="B4897">
        <f>B8467</f>
        <v>60</v>
      </c>
    </row>
    <row r="4898" spans="1:2" ht="15" customHeight="1" x14ac:dyDescent="0.3">
      <c r="A4898" t="s">
        <v>8512</v>
      </c>
      <c r="B4898">
        <f>B8470</f>
        <v>80</v>
      </c>
    </row>
    <row r="4899" spans="1:2" ht="15" customHeight="1" x14ac:dyDescent="0.3">
      <c r="A4899" t="s">
        <v>8513</v>
      </c>
      <c r="B4899">
        <f>B8473</f>
        <v>90</v>
      </c>
    </row>
    <row r="4900" spans="1:2" ht="15" customHeight="1" x14ac:dyDescent="0.3">
      <c r="A4900" t="s">
        <v>8514</v>
      </c>
      <c r="B4900">
        <f>B8476</f>
        <v>150</v>
      </c>
    </row>
    <row r="4901" spans="1:2" ht="15" customHeight="1" x14ac:dyDescent="0.3">
      <c r="A4901" t="s">
        <v>8515</v>
      </c>
      <c r="B4901">
        <f>B8479</f>
        <v>150</v>
      </c>
    </row>
    <row r="4902" spans="1:2" ht="15" customHeight="1" x14ac:dyDescent="0.3">
      <c r="A4902" t="s">
        <v>8516</v>
      </c>
      <c r="B4902">
        <f>B8482</f>
        <v>190</v>
      </c>
    </row>
    <row r="4903" spans="1:2" ht="15" customHeight="1" x14ac:dyDescent="0.3">
      <c r="A4903" t="s">
        <v>8517</v>
      </c>
      <c r="B4903">
        <f>B8399</f>
        <v>25</v>
      </c>
    </row>
    <row r="4904" spans="1:2" ht="15" customHeight="1" x14ac:dyDescent="0.3">
      <c r="A4904" t="s">
        <v>8518</v>
      </c>
      <c r="B4904">
        <f>B8402</f>
        <v>25</v>
      </c>
    </row>
    <row r="4905" spans="1:2" ht="15" customHeight="1" x14ac:dyDescent="0.3">
      <c r="A4905" t="s">
        <v>8519</v>
      </c>
      <c r="B4905">
        <f>B8405</f>
        <v>25</v>
      </c>
    </row>
    <row r="4906" spans="1:2" ht="15" customHeight="1" x14ac:dyDescent="0.3">
      <c r="A4906" t="s">
        <v>8520</v>
      </c>
      <c r="B4906">
        <f>B8408</f>
        <v>30</v>
      </c>
    </row>
    <row r="4907" spans="1:2" ht="15" customHeight="1" x14ac:dyDescent="0.3">
      <c r="A4907" t="s">
        <v>8521</v>
      </c>
      <c r="B4907">
        <f>B8411</f>
        <v>30</v>
      </c>
    </row>
    <row r="4908" spans="1:2" ht="15" customHeight="1" x14ac:dyDescent="0.3">
      <c r="A4908" t="s">
        <v>8522</v>
      </c>
      <c r="B4908">
        <f>B8414</f>
        <v>30</v>
      </c>
    </row>
    <row r="4909" spans="1:2" ht="15" customHeight="1" x14ac:dyDescent="0.3">
      <c r="A4909" t="s">
        <v>8523</v>
      </c>
      <c r="B4909">
        <f>B8417</f>
        <v>30</v>
      </c>
    </row>
    <row r="4910" spans="1:2" ht="15" customHeight="1" x14ac:dyDescent="0.3">
      <c r="A4910" t="s">
        <v>8524</v>
      </c>
      <c r="B4910">
        <f>B8422</f>
        <v>35</v>
      </c>
    </row>
    <row r="4911" spans="1:2" ht="15" customHeight="1" x14ac:dyDescent="0.3">
      <c r="A4911" t="s">
        <v>8525</v>
      </c>
      <c r="B4911">
        <f>B8429</f>
        <v>35</v>
      </c>
    </row>
    <row r="4912" spans="1:2" ht="15" customHeight="1" x14ac:dyDescent="0.3">
      <c r="A4912" t="s">
        <v>8526</v>
      </c>
      <c r="B4912">
        <f>B8437</f>
        <v>35</v>
      </c>
    </row>
    <row r="4913" spans="1:2" ht="15" customHeight="1" x14ac:dyDescent="0.3">
      <c r="A4913" t="s">
        <v>8527</v>
      </c>
      <c r="B4913">
        <f>B8432</f>
        <v>35</v>
      </c>
    </row>
    <row r="4914" spans="1:2" ht="15" customHeight="1" x14ac:dyDescent="0.3">
      <c r="A4914" t="s">
        <v>8528</v>
      </c>
      <c r="B4914">
        <f>B8435</f>
        <v>45</v>
      </c>
    </row>
    <row r="4915" spans="1:2" ht="15" customHeight="1" x14ac:dyDescent="0.3">
      <c r="A4915" t="s">
        <v>8529</v>
      </c>
      <c r="B4915">
        <f t="shared" ref="B4915:B4934" si="1181">B8486</f>
        <v>25</v>
      </c>
    </row>
    <row r="4916" spans="1:2" ht="15" customHeight="1" x14ac:dyDescent="0.3">
      <c r="A4916" t="s">
        <v>8530</v>
      </c>
      <c r="B4916">
        <f t="shared" si="1181"/>
        <v>25</v>
      </c>
    </row>
    <row r="4917" spans="1:2" ht="15" customHeight="1" x14ac:dyDescent="0.3">
      <c r="A4917" t="s">
        <v>8531</v>
      </c>
      <c r="B4917">
        <f t="shared" si="1181"/>
        <v>25</v>
      </c>
    </row>
    <row r="4918" spans="1:2" ht="15" customHeight="1" x14ac:dyDescent="0.3">
      <c r="A4918" t="s">
        <v>8532</v>
      </c>
      <c r="B4918">
        <f t="shared" si="1181"/>
        <v>25</v>
      </c>
    </row>
    <row r="4919" spans="1:2" ht="15" customHeight="1" x14ac:dyDescent="0.3">
      <c r="A4919" t="s">
        <v>8533</v>
      </c>
      <c r="B4919">
        <f t="shared" si="1181"/>
        <v>25</v>
      </c>
    </row>
    <row r="4920" spans="1:2" ht="15" customHeight="1" x14ac:dyDescent="0.3">
      <c r="A4920" t="s">
        <v>8534</v>
      </c>
      <c r="B4920">
        <f t="shared" si="1181"/>
        <v>25</v>
      </c>
    </row>
    <row r="4921" spans="1:2" ht="15" customHeight="1" x14ac:dyDescent="0.3">
      <c r="A4921" t="s">
        <v>8535</v>
      </c>
      <c r="B4921">
        <f t="shared" si="1181"/>
        <v>25</v>
      </c>
    </row>
    <row r="4922" spans="1:2" ht="15" customHeight="1" x14ac:dyDescent="0.3">
      <c r="A4922" t="s">
        <v>8536</v>
      </c>
      <c r="B4922">
        <f t="shared" si="1181"/>
        <v>30</v>
      </c>
    </row>
    <row r="4923" spans="1:2" ht="15" customHeight="1" x14ac:dyDescent="0.3">
      <c r="A4923" t="s">
        <v>8537</v>
      </c>
      <c r="B4923">
        <f t="shared" si="1181"/>
        <v>55</v>
      </c>
    </row>
    <row r="4924" spans="1:2" ht="15" customHeight="1" x14ac:dyDescent="0.3">
      <c r="A4924" t="s">
        <v>8538</v>
      </c>
      <c r="B4924">
        <f t="shared" si="1181"/>
        <v>25</v>
      </c>
    </row>
    <row r="4925" spans="1:2" ht="15" customHeight="1" x14ac:dyDescent="0.3">
      <c r="A4925" t="s">
        <v>8539</v>
      </c>
      <c r="B4925">
        <f t="shared" si="1181"/>
        <v>25</v>
      </c>
    </row>
    <row r="4926" spans="1:2" ht="15" customHeight="1" x14ac:dyDescent="0.3">
      <c r="A4926" t="s">
        <v>8540</v>
      </c>
      <c r="B4926">
        <f t="shared" si="1181"/>
        <v>25</v>
      </c>
    </row>
    <row r="4927" spans="1:2" ht="15" customHeight="1" x14ac:dyDescent="0.3">
      <c r="A4927" t="s">
        <v>8541</v>
      </c>
      <c r="B4927">
        <f t="shared" si="1181"/>
        <v>25</v>
      </c>
    </row>
    <row r="4928" spans="1:2" ht="15" customHeight="1" x14ac:dyDescent="0.3">
      <c r="A4928" t="s">
        <v>8542</v>
      </c>
      <c r="B4928">
        <f t="shared" si="1181"/>
        <v>30</v>
      </c>
    </row>
    <row r="4929" spans="1:2" ht="15" customHeight="1" x14ac:dyDescent="0.3">
      <c r="A4929" t="s">
        <v>8543</v>
      </c>
      <c r="B4929">
        <f t="shared" si="1181"/>
        <v>30</v>
      </c>
    </row>
    <row r="4930" spans="1:2" ht="15" customHeight="1" x14ac:dyDescent="0.3">
      <c r="A4930" t="s">
        <v>8544</v>
      </c>
      <c r="B4930">
        <f t="shared" si="1181"/>
        <v>30</v>
      </c>
    </row>
    <row r="4931" spans="1:2" ht="15" customHeight="1" x14ac:dyDescent="0.3">
      <c r="A4931" t="s">
        <v>8545</v>
      </c>
      <c r="B4931">
        <f t="shared" si="1181"/>
        <v>25</v>
      </c>
    </row>
    <row r="4932" spans="1:2" ht="15" customHeight="1" x14ac:dyDescent="0.3">
      <c r="A4932" t="s">
        <v>8546</v>
      </c>
      <c r="B4932">
        <f t="shared" si="1181"/>
        <v>30</v>
      </c>
    </row>
    <row r="4933" spans="1:2" ht="15" customHeight="1" x14ac:dyDescent="0.3">
      <c r="A4933" t="s">
        <v>8547</v>
      </c>
      <c r="B4933">
        <f t="shared" si="1181"/>
        <v>30</v>
      </c>
    </row>
    <row r="4934" spans="1:2" ht="15" customHeight="1" x14ac:dyDescent="0.3">
      <c r="A4934" t="s">
        <v>8548</v>
      </c>
      <c r="B4934">
        <f t="shared" si="1181"/>
        <v>25</v>
      </c>
    </row>
    <row r="4935" spans="1:2" ht="15" customHeight="1" x14ac:dyDescent="0.3">
      <c r="A4935" t="s">
        <v>8549</v>
      </c>
      <c r="B4935">
        <f t="shared" ref="B4935:B4944" si="1182">B8511</f>
        <v>25</v>
      </c>
    </row>
    <row r="4936" spans="1:2" ht="15" customHeight="1" x14ac:dyDescent="0.3">
      <c r="A4936" t="s">
        <v>8550</v>
      </c>
      <c r="B4936">
        <f t="shared" si="1182"/>
        <v>25</v>
      </c>
    </row>
    <row r="4937" spans="1:2" ht="15" customHeight="1" x14ac:dyDescent="0.3">
      <c r="A4937" t="s">
        <v>8551</v>
      </c>
      <c r="B4937">
        <f t="shared" si="1182"/>
        <v>25</v>
      </c>
    </row>
    <row r="4938" spans="1:2" ht="15" customHeight="1" x14ac:dyDescent="0.3">
      <c r="A4938" t="s">
        <v>8552</v>
      </c>
      <c r="B4938">
        <f t="shared" si="1182"/>
        <v>25</v>
      </c>
    </row>
    <row r="4939" spans="1:2" ht="15" customHeight="1" x14ac:dyDescent="0.3">
      <c r="A4939" t="s">
        <v>8553</v>
      </c>
      <c r="B4939">
        <f t="shared" si="1182"/>
        <v>25</v>
      </c>
    </row>
    <row r="4940" spans="1:2" ht="15" customHeight="1" x14ac:dyDescent="0.3">
      <c r="A4940" t="s">
        <v>8554</v>
      </c>
      <c r="B4940">
        <f t="shared" si="1182"/>
        <v>25</v>
      </c>
    </row>
    <row r="4941" spans="1:2" ht="15" customHeight="1" x14ac:dyDescent="0.3">
      <c r="A4941" t="s">
        <v>8555</v>
      </c>
      <c r="B4941">
        <f t="shared" si="1182"/>
        <v>25</v>
      </c>
    </row>
    <row r="4942" spans="1:2" ht="15" customHeight="1" x14ac:dyDescent="0.3">
      <c r="A4942" t="s">
        <v>8556</v>
      </c>
      <c r="B4942">
        <f t="shared" si="1182"/>
        <v>30</v>
      </c>
    </row>
    <row r="4943" spans="1:2" ht="15" customHeight="1" x14ac:dyDescent="0.3">
      <c r="A4943" t="s">
        <v>8557</v>
      </c>
      <c r="B4943">
        <f t="shared" si="1182"/>
        <v>30</v>
      </c>
    </row>
    <row r="4944" spans="1:2" ht="15" customHeight="1" x14ac:dyDescent="0.3">
      <c r="A4944" t="s">
        <v>8558</v>
      </c>
      <c r="B4944">
        <f t="shared" si="1182"/>
        <v>30</v>
      </c>
    </row>
    <row r="4945" spans="1:2" ht="15" customHeight="1" x14ac:dyDescent="0.3">
      <c r="A4945" t="s">
        <v>8559</v>
      </c>
      <c r="B4945">
        <f>B8526</f>
        <v>25</v>
      </c>
    </row>
    <row r="4946" spans="1:2" ht="15" customHeight="1" x14ac:dyDescent="0.3">
      <c r="A4946" t="s">
        <v>8560</v>
      </c>
      <c r="B4946">
        <f>B8527</f>
        <v>30</v>
      </c>
    </row>
    <row r="4947" spans="1:2" ht="15" customHeight="1" x14ac:dyDescent="0.3">
      <c r="A4947" t="s">
        <v>8561</v>
      </c>
      <c r="B4947">
        <f>B8528</f>
        <v>35</v>
      </c>
    </row>
    <row r="4948" spans="1:2" ht="15" customHeight="1" x14ac:dyDescent="0.3">
      <c r="A4948" t="s">
        <v>8562</v>
      </c>
      <c r="B4948">
        <f>B8529</f>
        <v>25</v>
      </c>
    </row>
    <row r="4949" spans="1:2" ht="15" customHeight="1" x14ac:dyDescent="0.3">
      <c r="A4949" t="s">
        <v>8563</v>
      </c>
      <c r="B4949">
        <f>B8534</f>
        <v>25</v>
      </c>
    </row>
    <row r="4950" spans="1:2" ht="15" customHeight="1" x14ac:dyDescent="0.3">
      <c r="A4950" t="s">
        <v>8564</v>
      </c>
      <c r="B4950">
        <f>B8535</f>
        <v>25</v>
      </c>
    </row>
    <row r="4951" spans="1:2" ht="15" customHeight="1" x14ac:dyDescent="0.3">
      <c r="A4951" t="s">
        <v>8565</v>
      </c>
      <c r="B4951">
        <f>B8536</f>
        <v>25</v>
      </c>
    </row>
    <row r="4952" spans="1:2" ht="15" customHeight="1" x14ac:dyDescent="0.3">
      <c r="A4952" t="s">
        <v>8566</v>
      </c>
      <c r="B4952">
        <f>B8537</f>
        <v>25</v>
      </c>
    </row>
    <row r="4953" spans="1:2" ht="15" customHeight="1" x14ac:dyDescent="0.3">
      <c r="A4953" t="s">
        <v>8567</v>
      </c>
      <c r="B4953">
        <f t="shared" ref="B4953:B4959" si="1183">B8542</f>
        <v>30</v>
      </c>
    </row>
    <row r="4954" spans="1:2" ht="15" customHeight="1" x14ac:dyDescent="0.3">
      <c r="A4954" t="s">
        <v>8568</v>
      </c>
      <c r="B4954">
        <f t="shared" si="1183"/>
        <v>25</v>
      </c>
    </row>
    <row r="4955" spans="1:2" ht="15" customHeight="1" x14ac:dyDescent="0.3">
      <c r="A4955" t="s">
        <v>8569</v>
      </c>
      <c r="B4955">
        <f t="shared" si="1183"/>
        <v>30</v>
      </c>
    </row>
    <row r="4956" spans="1:2" ht="15" customHeight="1" x14ac:dyDescent="0.3">
      <c r="A4956" t="s">
        <v>8570</v>
      </c>
      <c r="B4956">
        <f t="shared" si="1183"/>
        <v>30</v>
      </c>
    </row>
    <row r="4957" spans="1:2" ht="15" customHeight="1" x14ac:dyDescent="0.3">
      <c r="A4957" t="s">
        <v>8571</v>
      </c>
      <c r="B4957">
        <f t="shared" si="1183"/>
        <v>25</v>
      </c>
    </row>
    <row r="4958" spans="1:2" ht="15" customHeight="1" x14ac:dyDescent="0.3">
      <c r="A4958" t="s">
        <v>8572</v>
      </c>
      <c r="B4958">
        <f t="shared" si="1183"/>
        <v>30</v>
      </c>
    </row>
    <row r="4959" spans="1:2" ht="15" customHeight="1" x14ac:dyDescent="0.3">
      <c r="A4959" t="s">
        <v>8573</v>
      </c>
      <c r="B4959">
        <f t="shared" si="1183"/>
        <v>30</v>
      </c>
    </row>
    <row r="4960" spans="1:2" ht="15" customHeight="1" x14ac:dyDescent="0.3">
      <c r="A4960" t="s">
        <v>8574</v>
      </c>
      <c r="B4960">
        <f t="shared" ref="B4960:B4968" si="1184">B8559</f>
        <v>25</v>
      </c>
    </row>
    <row r="4961" spans="1:2" ht="15" customHeight="1" x14ac:dyDescent="0.3">
      <c r="A4961" t="s">
        <v>8575</v>
      </c>
      <c r="B4961">
        <f t="shared" si="1184"/>
        <v>25</v>
      </c>
    </row>
    <row r="4962" spans="1:2" ht="15" customHeight="1" x14ac:dyDescent="0.3">
      <c r="A4962" t="s">
        <v>8576</v>
      </c>
      <c r="B4962">
        <f t="shared" si="1184"/>
        <v>25</v>
      </c>
    </row>
    <row r="4963" spans="1:2" ht="15" customHeight="1" x14ac:dyDescent="0.3">
      <c r="A4963" t="s">
        <v>8577</v>
      </c>
      <c r="B4963">
        <f t="shared" si="1184"/>
        <v>25</v>
      </c>
    </row>
    <row r="4964" spans="1:2" ht="15" customHeight="1" x14ac:dyDescent="0.3">
      <c r="A4964" t="s">
        <v>8578</v>
      </c>
      <c r="B4964">
        <f t="shared" si="1184"/>
        <v>30</v>
      </c>
    </row>
    <row r="4965" spans="1:2" ht="15" customHeight="1" x14ac:dyDescent="0.3">
      <c r="A4965" t="s">
        <v>8579</v>
      </c>
      <c r="B4965">
        <f t="shared" si="1184"/>
        <v>25</v>
      </c>
    </row>
    <row r="4966" spans="1:2" ht="15" customHeight="1" x14ac:dyDescent="0.3">
      <c r="A4966" t="s">
        <v>8580</v>
      </c>
      <c r="B4966">
        <f t="shared" si="1184"/>
        <v>25</v>
      </c>
    </row>
    <row r="4967" spans="1:2" ht="15" customHeight="1" x14ac:dyDescent="0.3">
      <c r="A4967" t="s">
        <v>8581</v>
      </c>
      <c r="B4967">
        <f t="shared" si="1184"/>
        <v>30</v>
      </c>
    </row>
    <row r="4968" spans="1:2" ht="15" customHeight="1" x14ac:dyDescent="0.3">
      <c r="A4968" t="s">
        <v>8582</v>
      </c>
      <c r="B4968">
        <f t="shared" si="1184"/>
        <v>30</v>
      </c>
    </row>
    <row r="4969" spans="1:2" ht="15" customHeight="1" x14ac:dyDescent="0.3">
      <c r="A4969" t="s">
        <v>8583</v>
      </c>
      <c r="B4969">
        <f t="shared" ref="B4969:B4989" si="1185">B8573</f>
        <v>25</v>
      </c>
    </row>
    <row r="4970" spans="1:2" ht="15" customHeight="1" x14ac:dyDescent="0.3">
      <c r="A4970" t="s">
        <v>8584</v>
      </c>
      <c r="B4970">
        <f t="shared" si="1185"/>
        <v>25</v>
      </c>
    </row>
    <row r="4971" spans="1:2" ht="15" customHeight="1" x14ac:dyDescent="0.3">
      <c r="A4971" t="s">
        <v>8585</v>
      </c>
      <c r="B4971">
        <f t="shared" si="1185"/>
        <v>25</v>
      </c>
    </row>
    <row r="4972" spans="1:2" ht="15" customHeight="1" x14ac:dyDescent="0.3">
      <c r="A4972" t="s">
        <v>8586</v>
      </c>
      <c r="B4972">
        <f t="shared" si="1185"/>
        <v>25</v>
      </c>
    </row>
    <row r="4973" spans="1:2" ht="15" customHeight="1" x14ac:dyDescent="0.3">
      <c r="A4973" t="s">
        <v>8587</v>
      </c>
      <c r="B4973">
        <f t="shared" si="1185"/>
        <v>25</v>
      </c>
    </row>
    <row r="4974" spans="1:2" ht="15" customHeight="1" x14ac:dyDescent="0.3">
      <c r="A4974" t="s">
        <v>8588</v>
      </c>
      <c r="B4974">
        <f t="shared" si="1185"/>
        <v>25</v>
      </c>
    </row>
    <row r="4975" spans="1:2" ht="15" customHeight="1" x14ac:dyDescent="0.3">
      <c r="A4975" t="s">
        <v>8589</v>
      </c>
      <c r="B4975">
        <f t="shared" si="1185"/>
        <v>25</v>
      </c>
    </row>
    <row r="4976" spans="1:2" ht="15" customHeight="1" x14ac:dyDescent="0.3">
      <c r="A4976" t="s">
        <v>8590</v>
      </c>
      <c r="B4976">
        <f t="shared" si="1185"/>
        <v>25</v>
      </c>
    </row>
    <row r="4977" spans="1:2" ht="15" customHeight="1" x14ac:dyDescent="0.3">
      <c r="A4977" t="s">
        <v>8591</v>
      </c>
      <c r="B4977">
        <f t="shared" si="1185"/>
        <v>25</v>
      </c>
    </row>
    <row r="4978" spans="1:2" ht="15" customHeight="1" x14ac:dyDescent="0.3">
      <c r="A4978" t="s">
        <v>8592</v>
      </c>
      <c r="B4978">
        <f t="shared" si="1185"/>
        <v>30</v>
      </c>
    </row>
    <row r="4979" spans="1:2" ht="15" customHeight="1" x14ac:dyDescent="0.3">
      <c r="A4979" t="s">
        <v>8593</v>
      </c>
      <c r="B4979">
        <f t="shared" si="1185"/>
        <v>25</v>
      </c>
    </row>
    <row r="4980" spans="1:2" ht="15" customHeight="1" x14ac:dyDescent="0.3">
      <c r="A4980" t="s">
        <v>8594</v>
      </c>
      <c r="B4980">
        <f t="shared" si="1185"/>
        <v>25</v>
      </c>
    </row>
    <row r="4981" spans="1:2" ht="15" customHeight="1" x14ac:dyDescent="0.3">
      <c r="A4981" t="s">
        <v>8595</v>
      </c>
      <c r="B4981">
        <f t="shared" si="1185"/>
        <v>25</v>
      </c>
    </row>
    <row r="4982" spans="1:2" ht="15" customHeight="1" x14ac:dyDescent="0.3">
      <c r="A4982" t="s">
        <v>8596</v>
      </c>
      <c r="B4982">
        <f t="shared" si="1185"/>
        <v>25</v>
      </c>
    </row>
    <row r="4983" spans="1:2" ht="15" customHeight="1" x14ac:dyDescent="0.3">
      <c r="A4983" t="s">
        <v>8597</v>
      </c>
      <c r="B4983">
        <f t="shared" si="1185"/>
        <v>30</v>
      </c>
    </row>
    <row r="4984" spans="1:2" ht="15" customHeight="1" x14ac:dyDescent="0.3">
      <c r="A4984" t="s">
        <v>8598</v>
      </c>
      <c r="B4984">
        <f t="shared" si="1185"/>
        <v>30</v>
      </c>
    </row>
    <row r="4985" spans="1:2" ht="15" customHeight="1" x14ac:dyDescent="0.3">
      <c r="A4985" t="s">
        <v>8599</v>
      </c>
      <c r="B4985">
        <f t="shared" si="1185"/>
        <v>25</v>
      </c>
    </row>
    <row r="4986" spans="1:2" ht="15" customHeight="1" x14ac:dyDescent="0.3">
      <c r="A4986" t="s">
        <v>8600</v>
      </c>
      <c r="B4986">
        <f t="shared" si="1185"/>
        <v>25</v>
      </c>
    </row>
    <row r="4987" spans="1:2" ht="15" customHeight="1" x14ac:dyDescent="0.3">
      <c r="A4987" t="s">
        <v>8601</v>
      </c>
      <c r="B4987">
        <f t="shared" si="1185"/>
        <v>25</v>
      </c>
    </row>
    <row r="4988" spans="1:2" ht="15" customHeight="1" x14ac:dyDescent="0.3">
      <c r="A4988" t="s">
        <v>8602</v>
      </c>
      <c r="B4988">
        <f t="shared" si="1185"/>
        <v>25</v>
      </c>
    </row>
    <row r="4989" spans="1:2" ht="15" customHeight="1" x14ac:dyDescent="0.3">
      <c r="A4989" t="s">
        <v>8603</v>
      </c>
      <c r="B4989">
        <f t="shared" si="1185"/>
        <v>25</v>
      </c>
    </row>
    <row r="4990" spans="1:2" ht="15" customHeight="1" x14ac:dyDescent="0.3">
      <c r="A4990" t="s">
        <v>8634</v>
      </c>
      <c r="B4990">
        <f>B8639</f>
        <v>30</v>
      </c>
    </row>
    <row r="4991" spans="1:2" ht="15" customHeight="1" x14ac:dyDescent="0.3">
      <c r="A4991" t="s">
        <v>8635</v>
      </c>
      <c r="B4991">
        <f>B8640</f>
        <v>30</v>
      </c>
    </row>
    <row r="4992" spans="1:2" ht="15" customHeight="1" x14ac:dyDescent="0.3">
      <c r="A4992" t="s">
        <v>8605</v>
      </c>
      <c r="B4992">
        <f>B8605</f>
        <v>25</v>
      </c>
    </row>
    <row r="4993" spans="1:2" ht="15" customHeight="1" x14ac:dyDescent="0.3">
      <c r="A4993" t="s">
        <v>8636</v>
      </c>
      <c r="B4993">
        <f>B8641</f>
        <v>25</v>
      </c>
    </row>
    <row r="4994" spans="1:2" ht="15" customHeight="1" x14ac:dyDescent="0.3">
      <c r="A4994" t="s">
        <v>8637</v>
      </c>
      <c r="B4994">
        <f>B8642</f>
        <v>25</v>
      </c>
    </row>
    <row r="4995" spans="1:2" ht="15" customHeight="1" x14ac:dyDescent="0.3">
      <c r="A4995" s="68" t="s">
        <v>8418</v>
      </c>
      <c r="B4995" s="68">
        <f>F2222</f>
        <v>25</v>
      </c>
    </row>
    <row r="4996" spans="1:2" ht="15" customHeight="1" x14ac:dyDescent="0.3">
      <c r="A4996" s="68" t="s">
        <v>13238</v>
      </c>
      <c r="B4996" s="68">
        <f>B4995</f>
        <v>25</v>
      </c>
    </row>
    <row r="4997" spans="1:2" ht="15" customHeight="1" x14ac:dyDescent="0.3">
      <c r="A4997" s="68" t="s">
        <v>8638</v>
      </c>
      <c r="B4997" s="68">
        <f>B4995</f>
        <v>25</v>
      </c>
    </row>
    <row r="4998" spans="1:2" ht="15" customHeight="1" x14ac:dyDescent="0.3">
      <c r="A4998" s="68" t="s">
        <v>13239</v>
      </c>
      <c r="B4998" s="68">
        <f>B4995</f>
        <v>25</v>
      </c>
    </row>
    <row r="4999" spans="1:2" ht="15" customHeight="1" x14ac:dyDescent="0.3">
      <c r="A4999" s="68" t="s">
        <v>13240</v>
      </c>
      <c r="B4999" s="68">
        <f>B4995</f>
        <v>25</v>
      </c>
    </row>
    <row r="5000" spans="1:2" ht="15" customHeight="1" x14ac:dyDescent="0.3">
      <c r="A5000" t="s">
        <v>8604</v>
      </c>
      <c r="B5000">
        <f>B8599</f>
        <v>25</v>
      </c>
    </row>
    <row r="5001" spans="1:2" ht="15" customHeight="1" x14ac:dyDescent="0.3">
      <c r="A5001" t="s">
        <v>8606</v>
      </c>
      <c r="B5001">
        <f t="shared" ref="B5001:B5006" si="1186">B8606</f>
        <v>25</v>
      </c>
    </row>
    <row r="5002" spans="1:2" ht="15" customHeight="1" x14ac:dyDescent="0.3">
      <c r="A5002" t="s">
        <v>8607</v>
      </c>
      <c r="B5002">
        <f t="shared" si="1186"/>
        <v>25</v>
      </c>
    </row>
    <row r="5003" spans="1:2" ht="15" customHeight="1" x14ac:dyDescent="0.3">
      <c r="A5003" t="s">
        <v>8608</v>
      </c>
      <c r="B5003">
        <f t="shared" si="1186"/>
        <v>30</v>
      </c>
    </row>
    <row r="5004" spans="1:2" ht="15" customHeight="1" x14ac:dyDescent="0.3">
      <c r="A5004" t="s">
        <v>8609</v>
      </c>
      <c r="B5004">
        <f t="shared" si="1186"/>
        <v>30</v>
      </c>
    </row>
    <row r="5005" spans="1:2" ht="15" customHeight="1" x14ac:dyDescent="0.3">
      <c r="A5005" t="s">
        <v>8610</v>
      </c>
      <c r="B5005">
        <f t="shared" si="1186"/>
        <v>30</v>
      </c>
    </row>
    <row r="5006" spans="1:2" ht="15" customHeight="1" x14ac:dyDescent="0.3">
      <c r="A5006" t="s">
        <v>8611</v>
      </c>
      <c r="B5006">
        <f t="shared" si="1186"/>
        <v>30</v>
      </c>
    </row>
    <row r="5007" spans="1:2" ht="15" customHeight="1" x14ac:dyDescent="0.3">
      <c r="A5007" t="s">
        <v>8612</v>
      </c>
      <c r="B5007">
        <f t="shared" ref="B5007:B5028" si="1187">B8617</f>
        <v>25</v>
      </c>
    </row>
    <row r="5008" spans="1:2" ht="15" customHeight="1" x14ac:dyDescent="0.3">
      <c r="A5008" t="s">
        <v>8613</v>
      </c>
      <c r="B5008">
        <f t="shared" si="1187"/>
        <v>30</v>
      </c>
    </row>
    <row r="5009" spans="1:2" ht="15" customHeight="1" x14ac:dyDescent="0.3">
      <c r="A5009" t="s">
        <v>8614</v>
      </c>
      <c r="B5009">
        <f t="shared" si="1187"/>
        <v>30</v>
      </c>
    </row>
    <row r="5010" spans="1:2" ht="15" customHeight="1" x14ac:dyDescent="0.3">
      <c r="A5010" t="s">
        <v>8615</v>
      </c>
      <c r="B5010">
        <f t="shared" si="1187"/>
        <v>30</v>
      </c>
    </row>
    <row r="5011" spans="1:2" ht="15" customHeight="1" x14ac:dyDescent="0.3">
      <c r="A5011" t="s">
        <v>8616</v>
      </c>
      <c r="B5011">
        <f t="shared" si="1187"/>
        <v>30</v>
      </c>
    </row>
    <row r="5012" spans="1:2" ht="15" customHeight="1" x14ac:dyDescent="0.3">
      <c r="A5012" t="s">
        <v>8617</v>
      </c>
      <c r="B5012">
        <f t="shared" si="1187"/>
        <v>25</v>
      </c>
    </row>
    <row r="5013" spans="1:2" ht="15" customHeight="1" x14ac:dyDescent="0.3">
      <c r="A5013" t="s">
        <v>8618</v>
      </c>
      <c r="B5013">
        <f t="shared" si="1187"/>
        <v>25</v>
      </c>
    </row>
    <row r="5014" spans="1:2" ht="15" customHeight="1" x14ac:dyDescent="0.3">
      <c r="A5014" t="s">
        <v>8619</v>
      </c>
      <c r="B5014">
        <f t="shared" si="1187"/>
        <v>25</v>
      </c>
    </row>
    <row r="5015" spans="1:2" ht="15" customHeight="1" x14ac:dyDescent="0.3">
      <c r="A5015" t="s">
        <v>8620</v>
      </c>
      <c r="B5015">
        <f t="shared" si="1187"/>
        <v>25</v>
      </c>
    </row>
    <row r="5016" spans="1:2" ht="15" customHeight="1" x14ac:dyDescent="0.3">
      <c r="A5016" t="s">
        <v>8621</v>
      </c>
      <c r="B5016">
        <f t="shared" si="1187"/>
        <v>30</v>
      </c>
    </row>
    <row r="5017" spans="1:2" ht="15" customHeight="1" x14ac:dyDescent="0.3">
      <c r="A5017" t="s">
        <v>8622</v>
      </c>
      <c r="B5017">
        <f t="shared" si="1187"/>
        <v>30</v>
      </c>
    </row>
    <row r="5018" spans="1:2" ht="15" customHeight="1" x14ac:dyDescent="0.3">
      <c r="A5018" t="s">
        <v>8623</v>
      </c>
      <c r="B5018">
        <f t="shared" si="1187"/>
        <v>30</v>
      </c>
    </row>
    <row r="5019" spans="1:2" ht="15" customHeight="1" x14ac:dyDescent="0.3">
      <c r="A5019" t="s">
        <v>8624</v>
      </c>
      <c r="B5019">
        <f t="shared" si="1187"/>
        <v>25</v>
      </c>
    </row>
    <row r="5020" spans="1:2" ht="15" customHeight="1" x14ac:dyDescent="0.3">
      <c r="A5020" t="s">
        <v>8625</v>
      </c>
      <c r="B5020">
        <f t="shared" si="1187"/>
        <v>25</v>
      </c>
    </row>
    <row r="5021" spans="1:2" ht="15" customHeight="1" x14ac:dyDescent="0.3">
      <c r="A5021" t="s">
        <v>8626</v>
      </c>
      <c r="B5021">
        <f t="shared" si="1187"/>
        <v>25</v>
      </c>
    </row>
    <row r="5022" spans="1:2" ht="15" customHeight="1" x14ac:dyDescent="0.3">
      <c r="A5022" t="s">
        <v>8627</v>
      </c>
      <c r="B5022">
        <f t="shared" si="1187"/>
        <v>25</v>
      </c>
    </row>
    <row r="5023" spans="1:2" ht="15" customHeight="1" x14ac:dyDescent="0.3">
      <c r="A5023" t="s">
        <v>8628</v>
      </c>
      <c r="B5023">
        <f t="shared" si="1187"/>
        <v>25</v>
      </c>
    </row>
    <row r="5024" spans="1:2" ht="15" customHeight="1" x14ac:dyDescent="0.3">
      <c r="A5024" t="s">
        <v>8629</v>
      </c>
      <c r="B5024">
        <f t="shared" si="1187"/>
        <v>30</v>
      </c>
    </row>
    <row r="5025" spans="1:2" ht="15" customHeight="1" x14ac:dyDescent="0.3">
      <c r="A5025" t="s">
        <v>8630</v>
      </c>
      <c r="B5025">
        <f t="shared" si="1187"/>
        <v>30</v>
      </c>
    </row>
    <row r="5026" spans="1:2" ht="15" customHeight="1" x14ac:dyDescent="0.3">
      <c r="A5026" t="s">
        <v>8631</v>
      </c>
      <c r="B5026">
        <f t="shared" si="1187"/>
        <v>30</v>
      </c>
    </row>
    <row r="5027" spans="1:2" ht="15" customHeight="1" x14ac:dyDescent="0.3">
      <c r="A5027" t="s">
        <v>8632</v>
      </c>
      <c r="B5027">
        <f t="shared" si="1187"/>
        <v>30</v>
      </c>
    </row>
    <row r="5028" spans="1:2" ht="15" customHeight="1" x14ac:dyDescent="0.3">
      <c r="A5028" t="s">
        <v>8633</v>
      </c>
      <c r="B5028">
        <f t="shared" si="1187"/>
        <v>0</v>
      </c>
    </row>
    <row r="5029" spans="1:2" ht="15" customHeight="1" x14ac:dyDescent="0.3">
      <c r="A5029" t="s">
        <v>8639</v>
      </c>
      <c r="B5029">
        <f>B8643</f>
        <v>25</v>
      </c>
    </row>
    <row r="5030" spans="1:2" ht="15" customHeight="1" x14ac:dyDescent="0.3">
      <c r="A5030" t="s">
        <v>8640</v>
      </c>
      <c r="B5030">
        <f>B8644</f>
        <v>25</v>
      </c>
    </row>
    <row r="5031" spans="1:2" ht="15" customHeight="1" x14ac:dyDescent="0.3">
      <c r="A5031" t="s">
        <v>8641</v>
      </c>
      <c r="B5031">
        <f t="shared" ref="B5031:B5037" si="1188">B8655</f>
        <v>25</v>
      </c>
    </row>
    <row r="5032" spans="1:2" ht="15" customHeight="1" x14ac:dyDescent="0.3">
      <c r="A5032" t="s">
        <v>8642</v>
      </c>
      <c r="B5032">
        <f t="shared" si="1188"/>
        <v>25</v>
      </c>
    </row>
    <row r="5033" spans="1:2" ht="15" customHeight="1" x14ac:dyDescent="0.3">
      <c r="A5033" t="s">
        <v>8643</v>
      </c>
      <c r="B5033">
        <f t="shared" si="1188"/>
        <v>25</v>
      </c>
    </row>
    <row r="5034" spans="1:2" ht="15" customHeight="1" x14ac:dyDescent="0.3">
      <c r="A5034" t="s">
        <v>8644</v>
      </c>
      <c r="B5034">
        <f t="shared" si="1188"/>
        <v>30</v>
      </c>
    </row>
    <row r="5035" spans="1:2" ht="15" customHeight="1" x14ac:dyDescent="0.3">
      <c r="A5035" t="s">
        <v>8645</v>
      </c>
      <c r="B5035">
        <f t="shared" si="1188"/>
        <v>30</v>
      </c>
    </row>
    <row r="5036" spans="1:2" ht="15" customHeight="1" x14ac:dyDescent="0.3">
      <c r="A5036" t="s">
        <v>8646</v>
      </c>
      <c r="B5036">
        <f t="shared" si="1188"/>
        <v>30</v>
      </c>
    </row>
    <row r="5037" spans="1:2" ht="15" customHeight="1" x14ac:dyDescent="0.3">
      <c r="A5037" t="s">
        <v>8647</v>
      </c>
      <c r="B5037">
        <f t="shared" si="1188"/>
        <v>25</v>
      </c>
    </row>
    <row r="5038" spans="1:2" ht="15" customHeight="1" x14ac:dyDescent="0.3">
      <c r="A5038" t="s">
        <v>8648</v>
      </c>
      <c r="B5038">
        <f t="shared" ref="B5038:B5046" si="1189">B8663</f>
        <v>30</v>
      </c>
    </row>
    <row r="5039" spans="1:2" ht="15" customHeight="1" x14ac:dyDescent="0.3">
      <c r="A5039" t="s">
        <v>8649</v>
      </c>
      <c r="B5039">
        <f t="shared" si="1189"/>
        <v>25</v>
      </c>
    </row>
    <row r="5040" spans="1:2" ht="15" customHeight="1" x14ac:dyDescent="0.3">
      <c r="A5040" t="s">
        <v>8650</v>
      </c>
      <c r="B5040">
        <f t="shared" si="1189"/>
        <v>30</v>
      </c>
    </row>
    <row r="5041" spans="1:2" ht="15" customHeight="1" x14ac:dyDescent="0.3">
      <c r="A5041" t="s">
        <v>8651</v>
      </c>
      <c r="B5041">
        <f t="shared" si="1189"/>
        <v>25</v>
      </c>
    </row>
    <row r="5042" spans="1:2" ht="15" customHeight="1" x14ac:dyDescent="0.3">
      <c r="A5042" t="s">
        <v>8652</v>
      </c>
      <c r="B5042">
        <f t="shared" si="1189"/>
        <v>30</v>
      </c>
    </row>
    <row r="5043" spans="1:2" ht="15" customHeight="1" x14ac:dyDescent="0.3">
      <c r="A5043" t="s">
        <v>8653</v>
      </c>
      <c r="B5043">
        <f t="shared" si="1189"/>
        <v>25</v>
      </c>
    </row>
    <row r="5044" spans="1:2" ht="15" customHeight="1" x14ac:dyDescent="0.3">
      <c r="A5044" t="s">
        <v>8654</v>
      </c>
      <c r="B5044">
        <f t="shared" si="1189"/>
        <v>30</v>
      </c>
    </row>
    <row r="5045" spans="1:2" ht="15" customHeight="1" x14ac:dyDescent="0.3">
      <c r="A5045" t="s">
        <v>8655</v>
      </c>
      <c r="B5045">
        <f t="shared" si="1189"/>
        <v>30</v>
      </c>
    </row>
    <row r="5046" spans="1:2" ht="15" customHeight="1" x14ac:dyDescent="0.3">
      <c r="A5046" t="s">
        <v>8656</v>
      </c>
      <c r="B5046">
        <f t="shared" si="1189"/>
        <v>25</v>
      </c>
    </row>
    <row r="5047" spans="1:2" ht="15" customHeight="1" x14ac:dyDescent="0.3">
      <c r="A5047" t="s">
        <v>8657</v>
      </c>
      <c r="B5047">
        <f t="shared" ref="B5047:B5089" si="1190">B8677</f>
        <v>25</v>
      </c>
    </row>
    <row r="5048" spans="1:2" ht="15" customHeight="1" x14ac:dyDescent="0.3">
      <c r="A5048" t="s">
        <v>8658</v>
      </c>
      <c r="B5048">
        <f t="shared" si="1190"/>
        <v>25</v>
      </c>
    </row>
    <row r="5049" spans="1:2" ht="15" customHeight="1" x14ac:dyDescent="0.3">
      <c r="A5049" t="s">
        <v>8659</v>
      </c>
      <c r="B5049">
        <f t="shared" si="1190"/>
        <v>25</v>
      </c>
    </row>
    <row r="5050" spans="1:2" ht="15" customHeight="1" x14ac:dyDescent="0.3">
      <c r="A5050" t="s">
        <v>8660</v>
      </c>
      <c r="B5050">
        <f t="shared" si="1190"/>
        <v>25</v>
      </c>
    </row>
    <row r="5051" spans="1:2" ht="15" customHeight="1" x14ac:dyDescent="0.3">
      <c r="A5051" t="s">
        <v>8661</v>
      </c>
      <c r="B5051">
        <f t="shared" si="1190"/>
        <v>25</v>
      </c>
    </row>
    <row r="5052" spans="1:2" ht="15" customHeight="1" x14ac:dyDescent="0.3">
      <c r="A5052" t="s">
        <v>8662</v>
      </c>
      <c r="B5052">
        <f t="shared" si="1190"/>
        <v>25</v>
      </c>
    </row>
    <row r="5053" spans="1:2" ht="15" customHeight="1" x14ac:dyDescent="0.3">
      <c r="A5053" t="s">
        <v>8663</v>
      </c>
      <c r="B5053">
        <f t="shared" si="1190"/>
        <v>25</v>
      </c>
    </row>
    <row r="5054" spans="1:2" ht="15" customHeight="1" x14ac:dyDescent="0.3">
      <c r="A5054" t="s">
        <v>8664</v>
      </c>
      <c r="B5054">
        <f t="shared" si="1190"/>
        <v>25</v>
      </c>
    </row>
    <row r="5055" spans="1:2" ht="15" customHeight="1" x14ac:dyDescent="0.3">
      <c r="A5055" t="s">
        <v>8665</v>
      </c>
      <c r="B5055">
        <f t="shared" si="1190"/>
        <v>25</v>
      </c>
    </row>
    <row r="5056" spans="1:2" ht="15" customHeight="1" x14ac:dyDescent="0.3">
      <c r="A5056" t="s">
        <v>8666</v>
      </c>
      <c r="B5056">
        <f t="shared" si="1190"/>
        <v>25</v>
      </c>
    </row>
    <row r="5057" spans="1:2" ht="15" customHeight="1" x14ac:dyDescent="0.3">
      <c r="A5057" t="s">
        <v>8667</v>
      </c>
      <c r="B5057">
        <f t="shared" si="1190"/>
        <v>25</v>
      </c>
    </row>
    <row r="5058" spans="1:2" ht="15" customHeight="1" x14ac:dyDescent="0.3">
      <c r="A5058" t="s">
        <v>8668</v>
      </c>
      <c r="B5058">
        <f t="shared" si="1190"/>
        <v>25</v>
      </c>
    </row>
    <row r="5059" spans="1:2" ht="15" customHeight="1" x14ac:dyDescent="0.3">
      <c r="A5059" t="s">
        <v>8669</v>
      </c>
      <c r="B5059">
        <f t="shared" si="1190"/>
        <v>25</v>
      </c>
    </row>
    <row r="5060" spans="1:2" ht="15" customHeight="1" x14ac:dyDescent="0.3">
      <c r="A5060" t="s">
        <v>8670</v>
      </c>
      <c r="B5060">
        <f t="shared" si="1190"/>
        <v>25</v>
      </c>
    </row>
    <row r="5061" spans="1:2" ht="15" customHeight="1" x14ac:dyDescent="0.3">
      <c r="A5061" t="s">
        <v>8671</v>
      </c>
      <c r="B5061">
        <f t="shared" si="1190"/>
        <v>25</v>
      </c>
    </row>
    <row r="5062" spans="1:2" ht="15" customHeight="1" x14ac:dyDescent="0.3">
      <c r="A5062" t="s">
        <v>8672</v>
      </c>
      <c r="B5062">
        <f t="shared" si="1190"/>
        <v>25</v>
      </c>
    </row>
    <row r="5063" spans="1:2" ht="15" customHeight="1" x14ac:dyDescent="0.3">
      <c r="A5063" t="s">
        <v>8673</v>
      </c>
      <c r="B5063">
        <f t="shared" si="1190"/>
        <v>25</v>
      </c>
    </row>
    <row r="5064" spans="1:2" ht="15" customHeight="1" x14ac:dyDescent="0.3">
      <c r="A5064" t="s">
        <v>8674</v>
      </c>
      <c r="B5064">
        <f t="shared" si="1190"/>
        <v>25</v>
      </c>
    </row>
    <row r="5065" spans="1:2" ht="15" customHeight="1" x14ac:dyDescent="0.3">
      <c r="A5065" t="s">
        <v>8675</v>
      </c>
      <c r="B5065">
        <f t="shared" si="1190"/>
        <v>25</v>
      </c>
    </row>
    <row r="5066" spans="1:2" ht="15" customHeight="1" x14ac:dyDescent="0.3">
      <c r="A5066" t="s">
        <v>8676</v>
      </c>
      <c r="B5066">
        <f t="shared" si="1190"/>
        <v>25</v>
      </c>
    </row>
    <row r="5067" spans="1:2" ht="15" customHeight="1" x14ac:dyDescent="0.3">
      <c r="A5067" t="s">
        <v>8677</v>
      </c>
      <c r="B5067">
        <f t="shared" si="1190"/>
        <v>25</v>
      </c>
    </row>
    <row r="5068" spans="1:2" ht="15" customHeight="1" x14ac:dyDescent="0.3">
      <c r="A5068" t="s">
        <v>8678</v>
      </c>
      <c r="B5068">
        <f t="shared" si="1190"/>
        <v>25</v>
      </c>
    </row>
    <row r="5069" spans="1:2" ht="15" customHeight="1" x14ac:dyDescent="0.3">
      <c r="A5069" t="s">
        <v>8679</v>
      </c>
      <c r="B5069">
        <f t="shared" si="1190"/>
        <v>25</v>
      </c>
    </row>
    <row r="5070" spans="1:2" ht="15" customHeight="1" x14ac:dyDescent="0.3">
      <c r="A5070" t="s">
        <v>8680</v>
      </c>
      <c r="B5070">
        <f t="shared" si="1190"/>
        <v>25</v>
      </c>
    </row>
    <row r="5071" spans="1:2" ht="15" customHeight="1" x14ac:dyDescent="0.3">
      <c r="A5071" t="s">
        <v>8681</v>
      </c>
      <c r="B5071">
        <f t="shared" si="1190"/>
        <v>25</v>
      </c>
    </row>
    <row r="5072" spans="1:2" ht="15" customHeight="1" x14ac:dyDescent="0.3">
      <c r="A5072" t="s">
        <v>8682</v>
      </c>
      <c r="B5072">
        <f t="shared" si="1190"/>
        <v>25</v>
      </c>
    </row>
    <row r="5073" spans="1:2" ht="15" customHeight="1" x14ac:dyDescent="0.3">
      <c r="A5073" t="s">
        <v>8683</v>
      </c>
      <c r="B5073">
        <f t="shared" si="1190"/>
        <v>25</v>
      </c>
    </row>
    <row r="5074" spans="1:2" ht="15" customHeight="1" x14ac:dyDescent="0.3">
      <c r="A5074" t="s">
        <v>8684</v>
      </c>
      <c r="B5074">
        <f t="shared" si="1190"/>
        <v>25</v>
      </c>
    </row>
    <row r="5075" spans="1:2" ht="15" customHeight="1" x14ac:dyDescent="0.3">
      <c r="A5075" t="s">
        <v>8685</v>
      </c>
      <c r="B5075">
        <f t="shared" si="1190"/>
        <v>35</v>
      </c>
    </row>
    <row r="5076" spans="1:2" ht="15" customHeight="1" x14ac:dyDescent="0.3">
      <c r="A5076" t="s">
        <v>8686</v>
      </c>
      <c r="B5076">
        <f t="shared" si="1190"/>
        <v>30</v>
      </c>
    </row>
    <row r="5077" spans="1:2" ht="15" customHeight="1" x14ac:dyDescent="0.3">
      <c r="A5077" t="s">
        <v>8687</v>
      </c>
      <c r="B5077">
        <f t="shared" si="1190"/>
        <v>25</v>
      </c>
    </row>
    <row r="5078" spans="1:2" ht="15" customHeight="1" x14ac:dyDescent="0.3">
      <c r="A5078" t="s">
        <v>8688</v>
      </c>
      <c r="B5078">
        <f t="shared" si="1190"/>
        <v>25</v>
      </c>
    </row>
    <row r="5079" spans="1:2" ht="15" customHeight="1" x14ac:dyDescent="0.3">
      <c r="A5079" t="s">
        <v>8689</v>
      </c>
      <c r="B5079">
        <f t="shared" si="1190"/>
        <v>25</v>
      </c>
    </row>
    <row r="5080" spans="1:2" ht="15" customHeight="1" x14ac:dyDescent="0.3">
      <c r="A5080" t="s">
        <v>8690</v>
      </c>
      <c r="B5080">
        <f t="shared" si="1190"/>
        <v>25</v>
      </c>
    </row>
    <row r="5081" spans="1:2" ht="15" customHeight="1" x14ac:dyDescent="0.3">
      <c r="A5081" t="s">
        <v>8691</v>
      </c>
      <c r="B5081">
        <f t="shared" si="1190"/>
        <v>25</v>
      </c>
    </row>
    <row r="5082" spans="1:2" ht="15" customHeight="1" x14ac:dyDescent="0.3">
      <c r="A5082" t="s">
        <v>8692</v>
      </c>
      <c r="B5082">
        <f t="shared" si="1190"/>
        <v>25</v>
      </c>
    </row>
    <row r="5083" spans="1:2" ht="15" customHeight="1" x14ac:dyDescent="0.3">
      <c r="A5083" t="s">
        <v>8693</v>
      </c>
      <c r="B5083">
        <f t="shared" si="1190"/>
        <v>25</v>
      </c>
    </row>
    <row r="5084" spans="1:2" ht="15" customHeight="1" x14ac:dyDescent="0.3">
      <c r="A5084" t="s">
        <v>8694</v>
      </c>
      <c r="B5084">
        <f t="shared" si="1190"/>
        <v>30</v>
      </c>
    </row>
    <row r="5085" spans="1:2" ht="15" customHeight="1" x14ac:dyDescent="0.3">
      <c r="A5085" t="s">
        <v>8695</v>
      </c>
      <c r="B5085">
        <f t="shared" si="1190"/>
        <v>65</v>
      </c>
    </row>
    <row r="5086" spans="1:2" ht="15" customHeight="1" x14ac:dyDescent="0.3">
      <c r="A5086" t="s">
        <v>8696</v>
      </c>
      <c r="B5086">
        <f t="shared" si="1190"/>
        <v>65</v>
      </c>
    </row>
    <row r="5087" spans="1:2" ht="15" customHeight="1" x14ac:dyDescent="0.3">
      <c r="A5087" t="s">
        <v>8697</v>
      </c>
      <c r="B5087">
        <f t="shared" si="1190"/>
        <v>65</v>
      </c>
    </row>
    <row r="5088" spans="1:2" ht="15" customHeight="1" x14ac:dyDescent="0.3">
      <c r="A5088" t="s">
        <v>8698</v>
      </c>
      <c r="B5088">
        <f t="shared" si="1190"/>
        <v>30</v>
      </c>
    </row>
    <row r="5089" spans="1:2" ht="15" customHeight="1" x14ac:dyDescent="0.3">
      <c r="A5089" t="s">
        <v>8699</v>
      </c>
      <c r="B5089">
        <f t="shared" si="1190"/>
        <v>30</v>
      </c>
    </row>
    <row r="5090" spans="1:2" ht="15" customHeight="1" x14ac:dyDescent="0.3">
      <c r="A5090" t="s">
        <v>8700</v>
      </c>
      <c r="B5090">
        <f t="shared" ref="B5090:B5111" si="1191">B8725</f>
        <v>55</v>
      </c>
    </row>
    <row r="5091" spans="1:2" ht="15" customHeight="1" x14ac:dyDescent="0.3">
      <c r="A5091" t="s">
        <v>8701</v>
      </c>
      <c r="B5091">
        <f t="shared" si="1191"/>
        <v>50</v>
      </c>
    </row>
    <row r="5092" spans="1:2" ht="15" customHeight="1" x14ac:dyDescent="0.3">
      <c r="A5092" t="s">
        <v>8702</v>
      </c>
      <c r="B5092">
        <f t="shared" si="1191"/>
        <v>70</v>
      </c>
    </row>
    <row r="5093" spans="1:2" ht="15" customHeight="1" x14ac:dyDescent="0.3">
      <c r="A5093" t="s">
        <v>8703</v>
      </c>
      <c r="B5093">
        <f t="shared" si="1191"/>
        <v>65</v>
      </c>
    </row>
    <row r="5094" spans="1:2" ht="15" customHeight="1" x14ac:dyDescent="0.3">
      <c r="A5094" t="s">
        <v>8704</v>
      </c>
      <c r="B5094">
        <f t="shared" si="1191"/>
        <v>50</v>
      </c>
    </row>
    <row r="5095" spans="1:2" ht="15" customHeight="1" x14ac:dyDescent="0.3">
      <c r="A5095" t="s">
        <v>8705</v>
      </c>
      <c r="B5095">
        <f t="shared" si="1191"/>
        <v>30</v>
      </c>
    </row>
    <row r="5096" spans="1:2" ht="15" customHeight="1" x14ac:dyDescent="0.3">
      <c r="A5096" t="s">
        <v>8706</v>
      </c>
      <c r="B5096">
        <f t="shared" si="1191"/>
        <v>30</v>
      </c>
    </row>
    <row r="5097" spans="1:2" ht="15" customHeight="1" x14ac:dyDescent="0.3">
      <c r="A5097" t="s">
        <v>8707</v>
      </c>
      <c r="B5097">
        <f t="shared" si="1191"/>
        <v>55</v>
      </c>
    </row>
    <row r="5098" spans="1:2" ht="15" customHeight="1" x14ac:dyDescent="0.3">
      <c r="A5098" t="s">
        <v>8708</v>
      </c>
      <c r="B5098">
        <f t="shared" si="1191"/>
        <v>25</v>
      </c>
    </row>
    <row r="5099" spans="1:2" ht="15" customHeight="1" x14ac:dyDescent="0.3">
      <c r="A5099" t="s">
        <v>8709</v>
      </c>
      <c r="B5099">
        <f t="shared" si="1191"/>
        <v>30</v>
      </c>
    </row>
    <row r="5100" spans="1:2" ht="15" customHeight="1" x14ac:dyDescent="0.3">
      <c r="A5100" t="s">
        <v>8710</v>
      </c>
      <c r="B5100">
        <f t="shared" si="1191"/>
        <v>30</v>
      </c>
    </row>
    <row r="5101" spans="1:2" ht="15" customHeight="1" x14ac:dyDescent="0.3">
      <c r="A5101" t="s">
        <v>8711</v>
      </c>
      <c r="B5101">
        <f t="shared" si="1191"/>
        <v>25</v>
      </c>
    </row>
    <row r="5102" spans="1:2" ht="15" customHeight="1" x14ac:dyDescent="0.3">
      <c r="A5102" t="s">
        <v>8712</v>
      </c>
      <c r="B5102">
        <f t="shared" si="1191"/>
        <v>25</v>
      </c>
    </row>
    <row r="5103" spans="1:2" ht="15" customHeight="1" x14ac:dyDescent="0.3">
      <c r="A5103" t="s">
        <v>8713</v>
      </c>
      <c r="B5103">
        <f t="shared" si="1191"/>
        <v>25</v>
      </c>
    </row>
    <row r="5104" spans="1:2" ht="15" customHeight="1" x14ac:dyDescent="0.3">
      <c r="A5104" t="s">
        <v>8714</v>
      </c>
      <c r="B5104">
        <f t="shared" si="1191"/>
        <v>25</v>
      </c>
    </row>
    <row r="5105" spans="1:2" ht="15" customHeight="1" x14ac:dyDescent="0.3">
      <c r="A5105" t="s">
        <v>8715</v>
      </c>
      <c r="B5105">
        <f t="shared" si="1191"/>
        <v>25</v>
      </c>
    </row>
    <row r="5106" spans="1:2" ht="15" customHeight="1" x14ac:dyDescent="0.3">
      <c r="A5106" t="s">
        <v>8716</v>
      </c>
      <c r="B5106">
        <f t="shared" si="1191"/>
        <v>25</v>
      </c>
    </row>
    <row r="5107" spans="1:2" ht="15" customHeight="1" x14ac:dyDescent="0.3">
      <c r="A5107" t="s">
        <v>8717</v>
      </c>
      <c r="B5107">
        <f t="shared" si="1191"/>
        <v>25</v>
      </c>
    </row>
    <row r="5108" spans="1:2" ht="15" customHeight="1" x14ac:dyDescent="0.3">
      <c r="A5108" t="s">
        <v>8718</v>
      </c>
      <c r="B5108">
        <f t="shared" si="1191"/>
        <v>45</v>
      </c>
    </row>
    <row r="5109" spans="1:2" ht="15" customHeight="1" x14ac:dyDescent="0.3">
      <c r="A5109" t="s">
        <v>8719</v>
      </c>
      <c r="B5109">
        <f t="shared" si="1191"/>
        <v>35</v>
      </c>
    </row>
    <row r="5110" spans="1:2" ht="15" customHeight="1" x14ac:dyDescent="0.3">
      <c r="A5110" t="s">
        <v>8720</v>
      </c>
      <c r="B5110">
        <f t="shared" si="1191"/>
        <v>35</v>
      </c>
    </row>
    <row r="5111" spans="1:2" ht="15" customHeight="1" x14ac:dyDescent="0.3">
      <c r="A5111" t="s">
        <v>8721</v>
      </c>
      <c r="B5111">
        <f t="shared" si="1191"/>
        <v>55</v>
      </c>
    </row>
    <row r="5112" spans="1:2" ht="15" customHeight="1" x14ac:dyDescent="0.3">
      <c r="A5112" t="s">
        <v>8722</v>
      </c>
      <c r="B5112">
        <f>B8440</f>
        <v>45</v>
      </c>
    </row>
    <row r="5113" spans="1:2" ht="15" customHeight="1" x14ac:dyDescent="0.3">
      <c r="A5113" t="s">
        <v>8723</v>
      </c>
      <c r="B5113">
        <f>B8443</f>
        <v>50</v>
      </c>
    </row>
    <row r="5114" spans="1:2" ht="15" customHeight="1" x14ac:dyDescent="0.3">
      <c r="A5114" t="s">
        <v>8724</v>
      </c>
      <c r="B5114">
        <f>B8446</f>
        <v>55</v>
      </c>
    </row>
    <row r="5115" spans="1:2" ht="15" customHeight="1" x14ac:dyDescent="0.3">
      <c r="A5115" t="s">
        <v>8725</v>
      </c>
      <c r="B5115" t="e">
        <f>B8449</f>
        <v>#REF!</v>
      </c>
    </row>
    <row r="5116" spans="1:2" ht="15" customHeight="1" x14ac:dyDescent="0.3">
      <c r="A5116" t="s">
        <v>8726</v>
      </c>
      <c r="B5116" t="e">
        <f>B8452</f>
        <v>#REF!</v>
      </c>
    </row>
    <row r="5117" spans="1:2" ht="15" customHeight="1" x14ac:dyDescent="0.3">
      <c r="A5117" t="s">
        <v>8727</v>
      </c>
      <c r="B5117">
        <f>B8455</f>
        <v>45</v>
      </c>
    </row>
    <row r="5118" spans="1:2" ht="15" customHeight="1" x14ac:dyDescent="0.3">
      <c r="A5118" t="s">
        <v>8728</v>
      </c>
      <c r="B5118">
        <f>B8458</f>
        <v>50</v>
      </c>
    </row>
    <row r="5119" spans="1:2" ht="15" customHeight="1" x14ac:dyDescent="0.3">
      <c r="A5119" t="s">
        <v>8729</v>
      </c>
      <c r="B5119">
        <f>B8461</f>
        <v>70</v>
      </c>
    </row>
    <row r="5120" spans="1:2" ht="15" customHeight="1" x14ac:dyDescent="0.3">
      <c r="A5120" t="s">
        <v>8730</v>
      </c>
      <c r="B5120">
        <f>B8464</f>
        <v>70</v>
      </c>
    </row>
    <row r="5121" spans="1:2" ht="15" customHeight="1" x14ac:dyDescent="0.3">
      <c r="A5121" t="s">
        <v>8731</v>
      </c>
      <c r="B5121">
        <f>B8467</f>
        <v>60</v>
      </c>
    </row>
    <row r="5122" spans="1:2" ht="15" customHeight="1" x14ac:dyDescent="0.3">
      <c r="A5122" t="s">
        <v>8732</v>
      </c>
      <c r="B5122">
        <f>B8470</f>
        <v>80</v>
      </c>
    </row>
    <row r="5123" spans="1:2" ht="15" customHeight="1" x14ac:dyDescent="0.3">
      <c r="A5123" t="s">
        <v>8733</v>
      </c>
      <c r="B5123">
        <f>B8473</f>
        <v>90</v>
      </c>
    </row>
    <row r="5124" spans="1:2" ht="15" customHeight="1" x14ac:dyDescent="0.3">
      <c r="A5124" t="s">
        <v>8734</v>
      </c>
      <c r="B5124">
        <f>B8476</f>
        <v>150</v>
      </c>
    </row>
    <row r="5125" spans="1:2" ht="15" customHeight="1" x14ac:dyDescent="0.3">
      <c r="A5125" t="s">
        <v>8735</v>
      </c>
      <c r="B5125">
        <f>B8479</f>
        <v>150</v>
      </c>
    </row>
    <row r="5126" spans="1:2" ht="15" customHeight="1" x14ac:dyDescent="0.3">
      <c r="A5126" t="s">
        <v>8736</v>
      </c>
      <c r="B5126">
        <f>B8482</f>
        <v>190</v>
      </c>
    </row>
    <row r="5127" spans="1:2" ht="15" customHeight="1" x14ac:dyDescent="0.3">
      <c r="A5127" t="s">
        <v>8737</v>
      </c>
      <c r="B5127">
        <f>B8399</f>
        <v>25</v>
      </c>
    </row>
    <row r="5128" spans="1:2" ht="15" customHeight="1" x14ac:dyDescent="0.3">
      <c r="A5128" t="s">
        <v>8738</v>
      </c>
      <c r="B5128">
        <f>B8402</f>
        <v>25</v>
      </c>
    </row>
    <row r="5129" spans="1:2" ht="15" customHeight="1" x14ac:dyDescent="0.3">
      <c r="A5129" t="s">
        <v>8739</v>
      </c>
      <c r="B5129">
        <f>B8405</f>
        <v>25</v>
      </c>
    </row>
    <row r="5130" spans="1:2" ht="15" customHeight="1" x14ac:dyDescent="0.3">
      <c r="A5130" t="s">
        <v>8740</v>
      </c>
      <c r="B5130">
        <f>B8408</f>
        <v>30</v>
      </c>
    </row>
    <row r="5131" spans="1:2" ht="15" customHeight="1" x14ac:dyDescent="0.3">
      <c r="A5131" t="s">
        <v>8741</v>
      </c>
      <c r="B5131">
        <f>B8411</f>
        <v>30</v>
      </c>
    </row>
    <row r="5132" spans="1:2" ht="15" customHeight="1" x14ac:dyDescent="0.3">
      <c r="A5132" t="s">
        <v>8742</v>
      </c>
      <c r="B5132">
        <f>B8414</f>
        <v>30</v>
      </c>
    </row>
    <row r="5133" spans="1:2" ht="15" customHeight="1" x14ac:dyDescent="0.3">
      <c r="A5133" t="s">
        <v>8743</v>
      </c>
      <c r="B5133">
        <f>B8417</f>
        <v>30</v>
      </c>
    </row>
    <row r="5134" spans="1:2" ht="15" customHeight="1" x14ac:dyDescent="0.3">
      <c r="A5134" t="s">
        <v>8744</v>
      </c>
      <c r="B5134">
        <f>B8420</f>
        <v>35</v>
      </c>
    </row>
    <row r="5135" spans="1:2" ht="15" customHeight="1" x14ac:dyDescent="0.3">
      <c r="A5135" t="s">
        <v>8745</v>
      </c>
      <c r="B5135">
        <f>B8429</f>
        <v>35</v>
      </c>
    </row>
    <row r="5136" spans="1:2" ht="15" customHeight="1" x14ac:dyDescent="0.3">
      <c r="A5136" t="s">
        <v>8746</v>
      </c>
      <c r="B5136">
        <f>B8437</f>
        <v>35</v>
      </c>
    </row>
    <row r="5137" spans="1:2" ht="15" customHeight="1" x14ac:dyDescent="0.3">
      <c r="A5137" t="s">
        <v>8747</v>
      </c>
      <c r="B5137">
        <f>B8432</f>
        <v>35</v>
      </c>
    </row>
    <row r="5138" spans="1:2" ht="15" customHeight="1" x14ac:dyDescent="0.3">
      <c r="A5138" t="s">
        <v>8748</v>
      </c>
      <c r="B5138">
        <f>B8435</f>
        <v>45</v>
      </c>
    </row>
    <row r="5139" spans="1:2" ht="15" customHeight="1" x14ac:dyDescent="0.3">
      <c r="A5139" t="s">
        <v>8749</v>
      </c>
      <c r="B5139">
        <f t="shared" ref="B5139:B5158" si="1192">B8486</f>
        <v>25</v>
      </c>
    </row>
    <row r="5140" spans="1:2" ht="15" customHeight="1" x14ac:dyDescent="0.3">
      <c r="A5140" t="s">
        <v>8750</v>
      </c>
      <c r="B5140">
        <f t="shared" si="1192"/>
        <v>25</v>
      </c>
    </row>
    <row r="5141" spans="1:2" ht="15" customHeight="1" x14ac:dyDescent="0.3">
      <c r="A5141" t="s">
        <v>8751</v>
      </c>
      <c r="B5141">
        <f t="shared" si="1192"/>
        <v>25</v>
      </c>
    </row>
    <row r="5142" spans="1:2" ht="15" customHeight="1" x14ac:dyDescent="0.3">
      <c r="A5142" t="s">
        <v>8752</v>
      </c>
      <c r="B5142">
        <f t="shared" si="1192"/>
        <v>25</v>
      </c>
    </row>
    <row r="5143" spans="1:2" ht="15" customHeight="1" x14ac:dyDescent="0.3">
      <c r="A5143" t="s">
        <v>8753</v>
      </c>
      <c r="B5143">
        <f t="shared" si="1192"/>
        <v>25</v>
      </c>
    </row>
    <row r="5144" spans="1:2" ht="15" customHeight="1" x14ac:dyDescent="0.3">
      <c r="A5144" t="s">
        <v>8754</v>
      </c>
      <c r="B5144">
        <f t="shared" si="1192"/>
        <v>25</v>
      </c>
    </row>
    <row r="5145" spans="1:2" ht="15" customHeight="1" x14ac:dyDescent="0.3">
      <c r="A5145" t="s">
        <v>8755</v>
      </c>
      <c r="B5145">
        <f t="shared" si="1192"/>
        <v>25</v>
      </c>
    </row>
    <row r="5146" spans="1:2" ht="15" customHeight="1" x14ac:dyDescent="0.3">
      <c r="A5146" t="s">
        <v>8756</v>
      </c>
      <c r="B5146">
        <f t="shared" si="1192"/>
        <v>30</v>
      </c>
    </row>
    <row r="5147" spans="1:2" ht="15" customHeight="1" x14ac:dyDescent="0.3">
      <c r="A5147" t="s">
        <v>8757</v>
      </c>
      <c r="B5147">
        <f t="shared" si="1192"/>
        <v>55</v>
      </c>
    </row>
    <row r="5148" spans="1:2" ht="15" customHeight="1" x14ac:dyDescent="0.3">
      <c r="A5148" t="s">
        <v>8758</v>
      </c>
      <c r="B5148">
        <f t="shared" si="1192"/>
        <v>25</v>
      </c>
    </row>
    <row r="5149" spans="1:2" ht="15" customHeight="1" x14ac:dyDescent="0.3">
      <c r="A5149" t="s">
        <v>8759</v>
      </c>
      <c r="B5149">
        <f t="shared" si="1192"/>
        <v>25</v>
      </c>
    </row>
    <row r="5150" spans="1:2" ht="15" customHeight="1" x14ac:dyDescent="0.3">
      <c r="A5150" t="s">
        <v>8760</v>
      </c>
      <c r="B5150">
        <f t="shared" si="1192"/>
        <v>25</v>
      </c>
    </row>
    <row r="5151" spans="1:2" ht="15" customHeight="1" x14ac:dyDescent="0.3">
      <c r="A5151" t="s">
        <v>8761</v>
      </c>
      <c r="B5151">
        <f t="shared" si="1192"/>
        <v>25</v>
      </c>
    </row>
    <row r="5152" spans="1:2" ht="15" customHeight="1" x14ac:dyDescent="0.3">
      <c r="A5152" t="s">
        <v>8762</v>
      </c>
      <c r="B5152">
        <f t="shared" si="1192"/>
        <v>30</v>
      </c>
    </row>
    <row r="5153" spans="1:2" ht="15" customHeight="1" x14ac:dyDescent="0.3">
      <c r="A5153" t="s">
        <v>8763</v>
      </c>
      <c r="B5153">
        <f t="shared" si="1192"/>
        <v>30</v>
      </c>
    </row>
    <row r="5154" spans="1:2" ht="15" customHeight="1" x14ac:dyDescent="0.3">
      <c r="A5154" t="s">
        <v>8764</v>
      </c>
      <c r="B5154">
        <f t="shared" si="1192"/>
        <v>30</v>
      </c>
    </row>
    <row r="5155" spans="1:2" ht="15" customHeight="1" x14ac:dyDescent="0.3">
      <c r="A5155" t="s">
        <v>8765</v>
      </c>
      <c r="B5155">
        <f t="shared" si="1192"/>
        <v>25</v>
      </c>
    </row>
    <row r="5156" spans="1:2" ht="15" customHeight="1" x14ac:dyDescent="0.3">
      <c r="A5156" t="s">
        <v>8766</v>
      </c>
      <c r="B5156">
        <f t="shared" si="1192"/>
        <v>30</v>
      </c>
    </row>
    <row r="5157" spans="1:2" ht="15" customHeight="1" x14ac:dyDescent="0.3">
      <c r="A5157" t="s">
        <v>8767</v>
      </c>
      <c r="B5157">
        <f t="shared" si="1192"/>
        <v>30</v>
      </c>
    </row>
    <row r="5158" spans="1:2" ht="15" customHeight="1" x14ac:dyDescent="0.3">
      <c r="A5158" t="s">
        <v>8768</v>
      </c>
      <c r="B5158">
        <f t="shared" si="1192"/>
        <v>25</v>
      </c>
    </row>
    <row r="5159" spans="1:2" ht="15" customHeight="1" x14ac:dyDescent="0.3">
      <c r="A5159" t="s">
        <v>8769</v>
      </c>
      <c r="B5159">
        <f t="shared" ref="B5159:B5168" si="1193">B8511</f>
        <v>25</v>
      </c>
    </row>
    <row r="5160" spans="1:2" ht="15" customHeight="1" x14ac:dyDescent="0.3">
      <c r="A5160" t="s">
        <v>8770</v>
      </c>
      <c r="B5160">
        <f t="shared" si="1193"/>
        <v>25</v>
      </c>
    </row>
    <row r="5161" spans="1:2" ht="15" customHeight="1" x14ac:dyDescent="0.3">
      <c r="A5161" t="s">
        <v>8771</v>
      </c>
      <c r="B5161">
        <f t="shared" si="1193"/>
        <v>25</v>
      </c>
    </row>
    <row r="5162" spans="1:2" ht="15" customHeight="1" x14ac:dyDescent="0.3">
      <c r="A5162" t="s">
        <v>8772</v>
      </c>
      <c r="B5162">
        <f t="shared" si="1193"/>
        <v>25</v>
      </c>
    </row>
    <row r="5163" spans="1:2" ht="15" customHeight="1" x14ac:dyDescent="0.3">
      <c r="A5163" t="s">
        <v>8773</v>
      </c>
      <c r="B5163">
        <f t="shared" si="1193"/>
        <v>25</v>
      </c>
    </row>
    <row r="5164" spans="1:2" ht="15" customHeight="1" x14ac:dyDescent="0.3">
      <c r="A5164" t="s">
        <v>8774</v>
      </c>
      <c r="B5164">
        <f t="shared" si="1193"/>
        <v>25</v>
      </c>
    </row>
    <row r="5165" spans="1:2" ht="15" customHeight="1" x14ac:dyDescent="0.3">
      <c r="A5165" t="s">
        <v>8775</v>
      </c>
      <c r="B5165">
        <f t="shared" si="1193"/>
        <v>25</v>
      </c>
    </row>
    <row r="5166" spans="1:2" ht="15" customHeight="1" x14ac:dyDescent="0.3">
      <c r="A5166" t="s">
        <v>8776</v>
      </c>
      <c r="B5166">
        <f t="shared" si="1193"/>
        <v>30</v>
      </c>
    </row>
    <row r="5167" spans="1:2" ht="15" customHeight="1" x14ac:dyDescent="0.3">
      <c r="A5167" t="s">
        <v>8777</v>
      </c>
      <c r="B5167">
        <f t="shared" si="1193"/>
        <v>30</v>
      </c>
    </row>
    <row r="5168" spans="1:2" ht="15" customHeight="1" x14ac:dyDescent="0.3">
      <c r="A5168" t="s">
        <v>8778</v>
      </c>
      <c r="B5168">
        <f t="shared" si="1193"/>
        <v>30</v>
      </c>
    </row>
    <row r="5169" spans="1:2" ht="15" customHeight="1" x14ac:dyDescent="0.3">
      <c r="A5169" t="s">
        <v>10553</v>
      </c>
      <c r="B5169">
        <f>B8526</f>
        <v>25</v>
      </c>
    </row>
    <row r="5170" spans="1:2" ht="15" customHeight="1" x14ac:dyDescent="0.3">
      <c r="A5170" t="s">
        <v>10554</v>
      </c>
      <c r="B5170">
        <f>B8526</f>
        <v>25</v>
      </c>
    </row>
    <row r="5171" spans="1:2" ht="15" customHeight="1" x14ac:dyDescent="0.3">
      <c r="A5171" t="s">
        <v>8779</v>
      </c>
      <c r="B5171">
        <f>B8527</f>
        <v>30</v>
      </c>
    </row>
    <row r="5172" spans="1:2" ht="15" customHeight="1" x14ac:dyDescent="0.3">
      <c r="A5172" t="s">
        <v>8780</v>
      </c>
      <c r="B5172">
        <f>B8528</f>
        <v>35</v>
      </c>
    </row>
    <row r="5173" spans="1:2" ht="15" customHeight="1" x14ac:dyDescent="0.3">
      <c r="A5173" t="s">
        <v>8781</v>
      </c>
      <c r="B5173">
        <f>B8529</f>
        <v>25</v>
      </c>
    </row>
    <row r="5174" spans="1:2" ht="15" customHeight="1" x14ac:dyDescent="0.3">
      <c r="A5174" t="s">
        <v>8782</v>
      </c>
      <c r="B5174">
        <f>B8534</f>
        <v>25</v>
      </c>
    </row>
    <row r="5175" spans="1:2" ht="15" customHeight="1" x14ac:dyDescent="0.3">
      <c r="A5175" t="s">
        <v>8783</v>
      </c>
      <c r="B5175">
        <f>B8535</f>
        <v>25</v>
      </c>
    </row>
    <row r="5176" spans="1:2" ht="15" customHeight="1" x14ac:dyDescent="0.3">
      <c r="A5176" t="s">
        <v>8784</v>
      </c>
      <c r="B5176">
        <f>B8536</f>
        <v>25</v>
      </c>
    </row>
    <row r="5177" spans="1:2" ht="15" customHeight="1" x14ac:dyDescent="0.3">
      <c r="A5177" t="s">
        <v>8785</v>
      </c>
      <c r="B5177">
        <f>B8537</f>
        <v>25</v>
      </c>
    </row>
    <row r="5178" spans="1:2" ht="15" customHeight="1" x14ac:dyDescent="0.3">
      <c r="A5178" t="s">
        <v>8786</v>
      </c>
      <c r="B5178">
        <f t="shared" ref="B5178:B5184" si="1194">B8542</f>
        <v>30</v>
      </c>
    </row>
    <row r="5179" spans="1:2" ht="15" customHeight="1" x14ac:dyDescent="0.3">
      <c r="A5179" t="s">
        <v>8787</v>
      </c>
      <c r="B5179">
        <f t="shared" si="1194"/>
        <v>25</v>
      </c>
    </row>
    <row r="5180" spans="1:2" ht="15" customHeight="1" x14ac:dyDescent="0.3">
      <c r="A5180" t="s">
        <v>8788</v>
      </c>
      <c r="B5180">
        <f t="shared" si="1194"/>
        <v>30</v>
      </c>
    </row>
    <row r="5181" spans="1:2" ht="15" customHeight="1" x14ac:dyDescent="0.3">
      <c r="A5181" t="s">
        <v>8789</v>
      </c>
      <c r="B5181">
        <f t="shared" si="1194"/>
        <v>30</v>
      </c>
    </row>
    <row r="5182" spans="1:2" ht="15" customHeight="1" x14ac:dyDescent="0.3">
      <c r="A5182" t="s">
        <v>8790</v>
      </c>
      <c r="B5182">
        <f t="shared" si="1194"/>
        <v>25</v>
      </c>
    </row>
    <row r="5183" spans="1:2" ht="15" customHeight="1" x14ac:dyDescent="0.3">
      <c r="A5183" t="s">
        <v>8791</v>
      </c>
      <c r="B5183">
        <f t="shared" si="1194"/>
        <v>30</v>
      </c>
    </row>
    <row r="5184" spans="1:2" ht="15" customHeight="1" x14ac:dyDescent="0.3">
      <c r="A5184" t="s">
        <v>8792</v>
      </c>
      <c r="B5184">
        <f t="shared" si="1194"/>
        <v>30</v>
      </c>
    </row>
    <row r="5185" spans="1:2" ht="15" customHeight="1" x14ac:dyDescent="0.3">
      <c r="A5185" t="s">
        <v>8793</v>
      </c>
      <c r="B5185">
        <f t="shared" ref="B5185:B5193" si="1195">B8559</f>
        <v>25</v>
      </c>
    </row>
    <row r="5186" spans="1:2" ht="15" customHeight="1" x14ac:dyDescent="0.3">
      <c r="A5186" t="s">
        <v>8794</v>
      </c>
      <c r="B5186">
        <f t="shared" si="1195"/>
        <v>25</v>
      </c>
    </row>
    <row r="5187" spans="1:2" ht="15" customHeight="1" x14ac:dyDescent="0.3">
      <c r="A5187" t="s">
        <v>8795</v>
      </c>
      <c r="B5187">
        <f t="shared" si="1195"/>
        <v>25</v>
      </c>
    </row>
    <row r="5188" spans="1:2" ht="15" customHeight="1" x14ac:dyDescent="0.3">
      <c r="A5188" t="s">
        <v>8796</v>
      </c>
      <c r="B5188">
        <f t="shared" si="1195"/>
        <v>25</v>
      </c>
    </row>
    <row r="5189" spans="1:2" ht="15" customHeight="1" x14ac:dyDescent="0.3">
      <c r="A5189" t="s">
        <v>8797</v>
      </c>
      <c r="B5189">
        <f t="shared" si="1195"/>
        <v>30</v>
      </c>
    </row>
    <row r="5190" spans="1:2" ht="15" customHeight="1" x14ac:dyDescent="0.3">
      <c r="A5190" t="s">
        <v>8798</v>
      </c>
      <c r="B5190">
        <f t="shared" si="1195"/>
        <v>25</v>
      </c>
    </row>
    <row r="5191" spans="1:2" ht="15" customHeight="1" x14ac:dyDescent="0.3">
      <c r="A5191" t="s">
        <v>8799</v>
      </c>
      <c r="B5191">
        <f t="shared" si="1195"/>
        <v>25</v>
      </c>
    </row>
    <row r="5192" spans="1:2" ht="15" customHeight="1" x14ac:dyDescent="0.3">
      <c r="A5192" t="s">
        <v>8800</v>
      </c>
      <c r="B5192">
        <f t="shared" si="1195"/>
        <v>30</v>
      </c>
    </row>
    <row r="5193" spans="1:2" ht="15" customHeight="1" x14ac:dyDescent="0.3">
      <c r="A5193" t="s">
        <v>8801</v>
      </c>
      <c r="B5193">
        <f t="shared" si="1195"/>
        <v>30</v>
      </c>
    </row>
    <row r="5194" spans="1:2" ht="15" customHeight="1" x14ac:dyDescent="0.3">
      <c r="A5194" t="s">
        <v>8802</v>
      </c>
      <c r="B5194">
        <f t="shared" ref="B5194:B5211" si="1196">B8573</f>
        <v>25</v>
      </c>
    </row>
    <row r="5195" spans="1:2" ht="15" customHeight="1" x14ac:dyDescent="0.3">
      <c r="A5195" t="s">
        <v>8803</v>
      </c>
      <c r="B5195">
        <f t="shared" si="1196"/>
        <v>25</v>
      </c>
    </row>
    <row r="5196" spans="1:2" ht="15" customHeight="1" x14ac:dyDescent="0.3">
      <c r="A5196" t="s">
        <v>8804</v>
      </c>
      <c r="B5196">
        <f t="shared" si="1196"/>
        <v>25</v>
      </c>
    </row>
    <row r="5197" spans="1:2" ht="15" customHeight="1" x14ac:dyDescent="0.3">
      <c r="A5197" t="s">
        <v>8805</v>
      </c>
      <c r="B5197">
        <f t="shared" si="1196"/>
        <v>25</v>
      </c>
    </row>
    <row r="5198" spans="1:2" ht="15" customHeight="1" x14ac:dyDescent="0.3">
      <c r="A5198" t="s">
        <v>8806</v>
      </c>
      <c r="B5198">
        <f t="shared" si="1196"/>
        <v>25</v>
      </c>
    </row>
    <row r="5199" spans="1:2" ht="15" customHeight="1" x14ac:dyDescent="0.3">
      <c r="A5199" t="s">
        <v>8807</v>
      </c>
      <c r="B5199">
        <f t="shared" si="1196"/>
        <v>25</v>
      </c>
    </row>
    <row r="5200" spans="1:2" ht="15" customHeight="1" x14ac:dyDescent="0.3">
      <c r="A5200" t="s">
        <v>8808</v>
      </c>
      <c r="B5200">
        <f t="shared" si="1196"/>
        <v>25</v>
      </c>
    </row>
    <row r="5201" spans="1:2" ht="15" customHeight="1" x14ac:dyDescent="0.3">
      <c r="A5201" t="s">
        <v>8809</v>
      </c>
      <c r="B5201">
        <f t="shared" si="1196"/>
        <v>25</v>
      </c>
    </row>
    <row r="5202" spans="1:2" ht="15" customHeight="1" x14ac:dyDescent="0.3">
      <c r="A5202" t="s">
        <v>8810</v>
      </c>
      <c r="B5202">
        <f t="shared" si="1196"/>
        <v>25</v>
      </c>
    </row>
    <row r="5203" spans="1:2" ht="15" customHeight="1" x14ac:dyDescent="0.3">
      <c r="A5203" t="s">
        <v>8811</v>
      </c>
      <c r="B5203">
        <f t="shared" si="1196"/>
        <v>30</v>
      </c>
    </row>
    <row r="5204" spans="1:2" ht="15" customHeight="1" x14ac:dyDescent="0.3">
      <c r="A5204" t="s">
        <v>8812</v>
      </c>
      <c r="B5204">
        <f t="shared" si="1196"/>
        <v>25</v>
      </c>
    </row>
    <row r="5205" spans="1:2" ht="15" customHeight="1" x14ac:dyDescent="0.3">
      <c r="A5205" t="s">
        <v>8813</v>
      </c>
      <c r="B5205">
        <f t="shared" si="1196"/>
        <v>25</v>
      </c>
    </row>
    <row r="5206" spans="1:2" ht="15" customHeight="1" x14ac:dyDescent="0.3">
      <c r="A5206" t="s">
        <v>8814</v>
      </c>
      <c r="B5206">
        <f t="shared" si="1196"/>
        <v>25</v>
      </c>
    </row>
    <row r="5207" spans="1:2" ht="15" customHeight="1" x14ac:dyDescent="0.3">
      <c r="A5207" t="s">
        <v>8815</v>
      </c>
      <c r="B5207">
        <f t="shared" si="1196"/>
        <v>25</v>
      </c>
    </row>
    <row r="5208" spans="1:2" ht="15" customHeight="1" x14ac:dyDescent="0.3">
      <c r="A5208" t="s">
        <v>8816</v>
      </c>
      <c r="B5208">
        <f t="shared" si="1196"/>
        <v>30</v>
      </c>
    </row>
    <row r="5209" spans="1:2" ht="15" customHeight="1" x14ac:dyDescent="0.3">
      <c r="A5209" t="s">
        <v>8817</v>
      </c>
      <c r="B5209">
        <f t="shared" si="1196"/>
        <v>30</v>
      </c>
    </row>
    <row r="5210" spans="1:2" ht="15" customHeight="1" x14ac:dyDescent="0.3">
      <c r="A5210" t="s">
        <v>8818</v>
      </c>
      <c r="B5210">
        <f t="shared" si="1196"/>
        <v>25</v>
      </c>
    </row>
    <row r="5211" spans="1:2" ht="15" customHeight="1" x14ac:dyDescent="0.3">
      <c r="A5211" t="s">
        <v>8819</v>
      </c>
      <c r="B5211">
        <f t="shared" si="1196"/>
        <v>25</v>
      </c>
    </row>
    <row r="5212" spans="1:2" ht="15" customHeight="1" x14ac:dyDescent="0.3">
      <c r="A5212" t="s">
        <v>8820</v>
      </c>
      <c r="B5212">
        <f>B8599</f>
        <v>25</v>
      </c>
    </row>
    <row r="5213" spans="1:2" ht="15" customHeight="1" x14ac:dyDescent="0.3">
      <c r="A5213" t="s">
        <v>8821</v>
      </c>
      <c r="B5213">
        <f>B8606</f>
        <v>25</v>
      </c>
    </row>
    <row r="5214" spans="1:2" ht="15" customHeight="1" x14ac:dyDescent="0.3">
      <c r="A5214" t="s">
        <v>8822</v>
      </c>
      <c r="B5214">
        <f>B8607</f>
        <v>25</v>
      </c>
    </row>
    <row r="5215" spans="1:2" ht="15" customHeight="1" x14ac:dyDescent="0.3">
      <c r="A5215" t="s">
        <v>8823</v>
      </c>
      <c r="B5215">
        <f>B8617</f>
        <v>25</v>
      </c>
    </row>
    <row r="5216" spans="1:2" ht="15" customHeight="1" x14ac:dyDescent="0.3">
      <c r="A5216" t="s">
        <v>8824</v>
      </c>
      <c r="B5216">
        <f>B8618</f>
        <v>30</v>
      </c>
    </row>
    <row r="5217" spans="1:2" ht="15" customHeight="1" x14ac:dyDescent="0.3">
      <c r="A5217" t="s">
        <v>8825</v>
      </c>
      <c r="B5217">
        <f>B8621</f>
        <v>30</v>
      </c>
    </row>
    <row r="5218" spans="1:2" ht="15" customHeight="1" x14ac:dyDescent="0.3">
      <c r="A5218" t="s">
        <v>8826</v>
      </c>
      <c r="B5218">
        <f t="shared" ref="B5218:B5223" si="1197">B8626</f>
        <v>30</v>
      </c>
    </row>
    <row r="5219" spans="1:2" ht="15" customHeight="1" x14ac:dyDescent="0.3">
      <c r="A5219" t="s">
        <v>8827</v>
      </c>
      <c r="B5219">
        <f t="shared" si="1197"/>
        <v>30</v>
      </c>
    </row>
    <row r="5220" spans="1:2" ht="15" customHeight="1" x14ac:dyDescent="0.3">
      <c r="A5220" t="s">
        <v>8828</v>
      </c>
      <c r="B5220">
        <f t="shared" si="1197"/>
        <v>30</v>
      </c>
    </row>
    <row r="5221" spans="1:2" ht="15" customHeight="1" x14ac:dyDescent="0.3">
      <c r="A5221" t="s">
        <v>8829</v>
      </c>
      <c r="B5221">
        <f t="shared" si="1197"/>
        <v>25</v>
      </c>
    </row>
    <row r="5222" spans="1:2" ht="15" customHeight="1" x14ac:dyDescent="0.3">
      <c r="A5222" t="s">
        <v>8830</v>
      </c>
      <c r="B5222">
        <f t="shared" si="1197"/>
        <v>25</v>
      </c>
    </row>
    <row r="5223" spans="1:2" ht="15" customHeight="1" x14ac:dyDescent="0.3">
      <c r="A5223" t="s">
        <v>8831</v>
      </c>
      <c r="B5223">
        <f t="shared" si="1197"/>
        <v>25</v>
      </c>
    </row>
    <row r="5224" spans="1:2" ht="15" customHeight="1" x14ac:dyDescent="0.3">
      <c r="A5224" t="s">
        <v>8832</v>
      </c>
      <c r="B5224">
        <f t="shared" ref="B5224:B5233" si="1198">B8633</f>
        <v>25</v>
      </c>
    </row>
    <row r="5225" spans="1:2" ht="15" customHeight="1" x14ac:dyDescent="0.3">
      <c r="A5225" t="s">
        <v>8833</v>
      </c>
      <c r="B5225">
        <f t="shared" si="1198"/>
        <v>30</v>
      </c>
    </row>
    <row r="5226" spans="1:2" ht="15" customHeight="1" x14ac:dyDescent="0.3">
      <c r="A5226" t="s">
        <v>8834</v>
      </c>
      <c r="B5226">
        <f t="shared" si="1198"/>
        <v>30</v>
      </c>
    </row>
    <row r="5227" spans="1:2" ht="15" customHeight="1" x14ac:dyDescent="0.3">
      <c r="A5227" t="s">
        <v>8835</v>
      </c>
      <c r="B5227">
        <f t="shared" si="1198"/>
        <v>30</v>
      </c>
    </row>
    <row r="5228" spans="1:2" ht="15" customHeight="1" x14ac:dyDescent="0.3">
      <c r="A5228" t="s">
        <v>8836</v>
      </c>
      <c r="B5228">
        <f t="shared" si="1198"/>
        <v>30</v>
      </c>
    </row>
    <row r="5229" spans="1:2" ht="15" customHeight="1" x14ac:dyDescent="0.3">
      <c r="A5229" t="s">
        <v>8837</v>
      </c>
      <c r="B5229">
        <f t="shared" si="1198"/>
        <v>0</v>
      </c>
    </row>
    <row r="5230" spans="1:2" ht="15" customHeight="1" x14ac:dyDescent="0.3">
      <c r="A5230" t="s">
        <v>8838</v>
      </c>
      <c r="B5230">
        <f t="shared" si="1198"/>
        <v>30</v>
      </c>
    </row>
    <row r="5231" spans="1:2" ht="15" customHeight="1" x14ac:dyDescent="0.3">
      <c r="A5231" t="s">
        <v>8839</v>
      </c>
      <c r="B5231">
        <f t="shared" si="1198"/>
        <v>30</v>
      </c>
    </row>
    <row r="5232" spans="1:2" ht="15" customHeight="1" x14ac:dyDescent="0.3">
      <c r="A5232" t="s">
        <v>8840</v>
      </c>
      <c r="B5232">
        <f t="shared" si="1198"/>
        <v>25</v>
      </c>
    </row>
    <row r="5233" spans="1:2" ht="15" customHeight="1" x14ac:dyDescent="0.3">
      <c r="A5233" t="s">
        <v>8841</v>
      </c>
      <c r="B5233">
        <f t="shared" si="1198"/>
        <v>25</v>
      </c>
    </row>
    <row r="5234" spans="1:2" ht="15" customHeight="1" x14ac:dyDescent="0.3">
      <c r="A5234" t="s">
        <v>8842</v>
      </c>
      <c r="B5234" t="e">
        <f>#REF!</f>
        <v>#REF!</v>
      </c>
    </row>
    <row r="5235" spans="1:2" ht="15" customHeight="1" x14ac:dyDescent="0.3">
      <c r="A5235" t="s">
        <v>8843</v>
      </c>
      <c r="B5235">
        <f>B8643</f>
        <v>25</v>
      </c>
    </row>
    <row r="5236" spans="1:2" ht="15" customHeight="1" x14ac:dyDescent="0.3">
      <c r="A5236" t="s">
        <v>8844</v>
      </c>
      <c r="B5236">
        <f>B8644</f>
        <v>25</v>
      </c>
    </row>
    <row r="5237" spans="1:2" ht="15" customHeight="1" x14ac:dyDescent="0.3">
      <c r="A5237" t="s">
        <v>8845</v>
      </c>
      <c r="B5237">
        <f t="shared" ref="B5237:B5243" si="1199">B8655</f>
        <v>25</v>
      </c>
    </row>
    <row r="5238" spans="1:2" ht="15" customHeight="1" x14ac:dyDescent="0.3">
      <c r="A5238" t="s">
        <v>8846</v>
      </c>
      <c r="B5238">
        <f t="shared" si="1199"/>
        <v>25</v>
      </c>
    </row>
    <row r="5239" spans="1:2" ht="15" customHeight="1" x14ac:dyDescent="0.3">
      <c r="A5239" t="s">
        <v>8847</v>
      </c>
      <c r="B5239">
        <f t="shared" si="1199"/>
        <v>25</v>
      </c>
    </row>
    <row r="5240" spans="1:2" ht="15" customHeight="1" x14ac:dyDescent="0.3">
      <c r="A5240" t="s">
        <v>8848</v>
      </c>
      <c r="B5240">
        <f t="shared" si="1199"/>
        <v>30</v>
      </c>
    </row>
    <row r="5241" spans="1:2" ht="15" customHeight="1" x14ac:dyDescent="0.3">
      <c r="A5241" t="s">
        <v>8849</v>
      </c>
      <c r="B5241">
        <f t="shared" si="1199"/>
        <v>30</v>
      </c>
    </row>
    <row r="5242" spans="1:2" ht="15" customHeight="1" x14ac:dyDescent="0.3">
      <c r="A5242" t="s">
        <v>8850</v>
      </c>
      <c r="B5242">
        <f t="shared" si="1199"/>
        <v>30</v>
      </c>
    </row>
    <row r="5243" spans="1:2" ht="15" customHeight="1" x14ac:dyDescent="0.3">
      <c r="A5243" t="s">
        <v>8851</v>
      </c>
      <c r="B5243">
        <f t="shared" si="1199"/>
        <v>25</v>
      </c>
    </row>
    <row r="5244" spans="1:2" ht="15" customHeight="1" x14ac:dyDescent="0.3">
      <c r="A5244" t="s">
        <v>8852</v>
      </c>
      <c r="B5244">
        <f t="shared" ref="B5244:B5252" si="1200">B8663</f>
        <v>30</v>
      </c>
    </row>
    <row r="5245" spans="1:2" ht="15" customHeight="1" x14ac:dyDescent="0.3">
      <c r="A5245" t="s">
        <v>8853</v>
      </c>
      <c r="B5245">
        <f t="shared" si="1200"/>
        <v>25</v>
      </c>
    </row>
    <row r="5246" spans="1:2" ht="15" customHeight="1" x14ac:dyDescent="0.3">
      <c r="A5246" t="s">
        <v>8854</v>
      </c>
      <c r="B5246">
        <f t="shared" si="1200"/>
        <v>30</v>
      </c>
    </row>
    <row r="5247" spans="1:2" ht="15" customHeight="1" x14ac:dyDescent="0.3">
      <c r="A5247" t="s">
        <v>8855</v>
      </c>
      <c r="B5247">
        <f t="shared" si="1200"/>
        <v>25</v>
      </c>
    </row>
    <row r="5248" spans="1:2" ht="15" customHeight="1" x14ac:dyDescent="0.3">
      <c r="A5248" t="s">
        <v>8856</v>
      </c>
      <c r="B5248">
        <f t="shared" si="1200"/>
        <v>30</v>
      </c>
    </row>
    <row r="5249" spans="1:2" ht="15" customHeight="1" x14ac:dyDescent="0.3">
      <c r="A5249" t="s">
        <v>8857</v>
      </c>
      <c r="B5249">
        <f t="shared" si="1200"/>
        <v>25</v>
      </c>
    </row>
    <row r="5250" spans="1:2" ht="15" customHeight="1" x14ac:dyDescent="0.3">
      <c r="A5250" t="s">
        <v>8858</v>
      </c>
      <c r="B5250">
        <f t="shared" si="1200"/>
        <v>30</v>
      </c>
    </row>
    <row r="5251" spans="1:2" ht="15" customHeight="1" x14ac:dyDescent="0.3">
      <c r="A5251" t="s">
        <v>8859</v>
      </c>
      <c r="B5251">
        <f t="shared" si="1200"/>
        <v>30</v>
      </c>
    </row>
    <row r="5252" spans="1:2" ht="15" customHeight="1" x14ac:dyDescent="0.3">
      <c r="A5252" t="s">
        <v>8860</v>
      </c>
      <c r="B5252">
        <f t="shared" si="1200"/>
        <v>25</v>
      </c>
    </row>
    <row r="5253" spans="1:2" ht="15" customHeight="1" x14ac:dyDescent="0.3">
      <c r="A5253" t="s">
        <v>8861</v>
      </c>
      <c r="B5253">
        <f t="shared" ref="B5253:B5295" si="1201">B8677</f>
        <v>25</v>
      </c>
    </row>
    <row r="5254" spans="1:2" ht="15" customHeight="1" x14ac:dyDescent="0.3">
      <c r="A5254" t="s">
        <v>8862</v>
      </c>
      <c r="B5254">
        <f t="shared" si="1201"/>
        <v>25</v>
      </c>
    </row>
    <row r="5255" spans="1:2" ht="15" customHeight="1" x14ac:dyDescent="0.3">
      <c r="A5255" t="s">
        <v>8863</v>
      </c>
      <c r="B5255">
        <f t="shared" si="1201"/>
        <v>25</v>
      </c>
    </row>
    <row r="5256" spans="1:2" ht="15" customHeight="1" x14ac:dyDescent="0.3">
      <c r="A5256" t="s">
        <v>8864</v>
      </c>
      <c r="B5256">
        <f t="shared" si="1201"/>
        <v>25</v>
      </c>
    </row>
    <row r="5257" spans="1:2" ht="15" customHeight="1" x14ac:dyDescent="0.3">
      <c r="A5257" t="s">
        <v>8865</v>
      </c>
      <c r="B5257">
        <f t="shared" si="1201"/>
        <v>25</v>
      </c>
    </row>
    <row r="5258" spans="1:2" ht="15" customHeight="1" x14ac:dyDescent="0.3">
      <c r="A5258" t="s">
        <v>8866</v>
      </c>
      <c r="B5258">
        <f t="shared" si="1201"/>
        <v>25</v>
      </c>
    </row>
    <row r="5259" spans="1:2" ht="15" customHeight="1" x14ac:dyDescent="0.3">
      <c r="A5259" t="s">
        <v>8867</v>
      </c>
      <c r="B5259">
        <f t="shared" si="1201"/>
        <v>25</v>
      </c>
    </row>
    <row r="5260" spans="1:2" ht="15" customHeight="1" x14ac:dyDescent="0.3">
      <c r="A5260" t="s">
        <v>8868</v>
      </c>
      <c r="B5260">
        <f t="shared" si="1201"/>
        <v>25</v>
      </c>
    </row>
    <row r="5261" spans="1:2" ht="15" customHeight="1" x14ac:dyDescent="0.3">
      <c r="A5261" t="s">
        <v>8869</v>
      </c>
      <c r="B5261">
        <f t="shared" si="1201"/>
        <v>25</v>
      </c>
    </row>
    <row r="5262" spans="1:2" ht="15" customHeight="1" x14ac:dyDescent="0.3">
      <c r="A5262" t="s">
        <v>8870</v>
      </c>
      <c r="B5262">
        <f t="shared" si="1201"/>
        <v>25</v>
      </c>
    </row>
    <row r="5263" spans="1:2" ht="15" customHeight="1" x14ac:dyDescent="0.3">
      <c r="A5263" t="s">
        <v>8871</v>
      </c>
      <c r="B5263">
        <f t="shared" si="1201"/>
        <v>25</v>
      </c>
    </row>
    <row r="5264" spans="1:2" ht="15" customHeight="1" x14ac:dyDescent="0.3">
      <c r="A5264" t="s">
        <v>8872</v>
      </c>
      <c r="B5264">
        <f t="shared" si="1201"/>
        <v>25</v>
      </c>
    </row>
    <row r="5265" spans="1:2" ht="15" customHeight="1" x14ac:dyDescent="0.3">
      <c r="A5265" t="s">
        <v>8873</v>
      </c>
      <c r="B5265">
        <f t="shared" si="1201"/>
        <v>25</v>
      </c>
    </row>
    <row r="5266" spans="1:2" ht="15" customHeight="1" x14ac:dyDescent="0.3">
      <c r="A5266" t="s">
        <v>8874</v>
      </c>
      <c r="B5266">
        <f t="shared" si="1201"/>
        <v>25</v>
      </c>
    </row>
    <row r="5267" spans="1:2" ht="15" customHeight="1" x14ac:dyDescent="0.3">
      <c r="A5267" t="s">
        <v>8875</v>
      </c>
      <c r="B5267">
        <f t="shared" si="1201"/>
        <v>25</v>
      </c>
    </row>
    <row r="5268" spans="1:2" ht="15" customHeight="1" x14ac:dyDescent="0.3">
      <c r="A5268" t="s">
        <v>8876</v>
      </c>
      <c r="B5268">
        <f t="shared" si="1201"/>
        <v>25</v>
      </c>
    </row>
    <row r="5269" spans="1:2" ht="15" customHeight="1" x14ac:dyDescent="0.3">
      <c r="A5269" t="s">
        <v>8877</v>
      </c>
      <c r="B5269">
        <f t="shared" si="1201"/>
        <v>25</v>
      </c>
    </row>
    <row r="5270" spans="1:2" ht="15" customHeight="1" x14ac:dyDescent="0.3">
      <c r="A5270" t="s">
        <v>8878</v>
      </c>
      <c r="B5270">
        <f t="shared" si="1201"/>
        <v>25</v>
      </c>
    </row>
    <row r="5271" spans="1:2" ht="15" customHeight="1" x14ac:dyDescent="0.3">
      <c r="A5271" t="s">
        <v>8879</v>
      </c>
      <c r="B5271">
        <f t="shared" si="1201"/>
        <v>25</v>
      </c>
    </row>
    <row r="5272" spans="1:2" ht="15" customHeight="1" x14ac:dyDescent="0.3">
      <c r="A5272" t="s">
        <v>8880</v>
      </c>
      <c r="B5272">
        <f t="shared" si="1201"/>
        <v>25</v>
      </c>
    </row>
    <row r="5273" spans="1:2" ht="15" customHeight="1" x14ac:dyDescent="0.3">
      <c r="A5273" t="s">
        <v>8881</v>
      </c>
      <c r="B5273">
        <f t="shared" si="1201"/>
        <v>25</v>
      </c>
    </row>
    <row r="5274" spans="1:2" ht="15" customHeight="1" x14ac:dyDescent="0.3">
      <c r="A5274" t="s">
        <v>8882</v>
      </c>
      <c r="B5274">
        <f t="shared" si="1201"/>
        <v>25</v>
      </c>
    </row>
    <row r="5275" spans="1:2" ht="15" customHeight="1" x14ac:dyDescent="0.3">
      <c r="A5275" t="s">
        <v>8883</v>
      </c>
      <c r="B5275">
        <f t="shared" si="1201"/>
        <v>25</v>
      </c>
    </row>
    <row r="5276" spans="1:2" ht="15" customHeight="1" x14ac:dyDescent="0.3">
      <c r="A5276" t="s">
        <v>8884</v>
      </c>
      <c r="B5276">
        <f t="shared" si="1201"/>
        <v>25</v>
      </c>
    </row>
    <row r="5277" spans="1:2" ht="15" customHeight="1" x14ac:dyDescent="0.3">
      <c r="A5277" t="s">
        <v>8885</v>
      </c>
      <c r="B5277">
        <f t="shared" si="1201"/>
        <v>25</v>
      </c>
    </row>
    <row r="5278" spans="1:2" ht="15" customHeight="1" x14ac:dyDescent="0.3">
      <c r="A5278" t="s">
        <v>8886</v>
      </c>
      <c r="B5278">
        <f t="shared" si="1201"/>
        <v>25</v>
      </c>
    </row>
    <row r="5279" spans="1:2" ht="15" customHeight="1" x14ac:dyDescent="0.3">
      <c r="A5279" t="s">
        <v>8887</v>
      </c>
      <c r="B5279">
        <f t="shared" si="1201"/>
        <v>25</v>
      </c>
    </row>
    <row r="5280" spans="1:2" ht="15" customHeight="1" x14ac:dyDescent="0.3">
      <c r="A5280" t="s">
        <v>8888</v>
      </c>
      <c r="B5280">
        <f t="shared" si="1201"/>
        <v>25</v>
      </c>
    </row>
    <row r="5281" spans="1:2" ht="15" customHeight="1" x14ac:dyDescent="0.3">
      <c r="A5281" t="s">
        <v>8889</v>
      </c>
      <c r="B5281">
        <f t="shared" si="1201"/>
        <v>35</v>
      </c>
    </row>
    <row r="5282" spans="1:2" ht="15" customHeight="1" x14ac:dyDescent="0.3">
      <c r="A5282" t="s">
        <v>8890</v>
      </c>
      <c r="B5282">
        <f t="shared" si="1201"/>
        <v>30</v>
      </c>
    </row>
    <row r="5283" spans="1:2" ht="15" customHeight="1" x14ac:dyDescent="0.3">
      <c r="A5283" t="s">
        <v>8891</v>
      </c>
      <c r="B5283">
        <f t="shared" si="1201"/>
        <v>25</v>
      </c>
    </row>
    <row r="5284" spans="1:2" ht="15" customHeight="1" x14ac:dyDescent="0.3">
      <c r="A5284" t="s">
        <v>8892</v>
      </c>
      <c r="B5284">
        <f t="shared" si="1201"/>
        <v>25</v>
      </c>
    </row>
    <row r="5285" spans="1:2" ht="15" customHeight="1" x14ac:dyDescent="0.3">
      <c r="A5285" t="s">
        <v>8893</v>
      </c>
      <c r="B5285">
        <f t="shared" si="1201"/>
        <v>25</v>
      </c>
    </row>
    <row r="5286" spans="1:2" ht="15" customHeight="1" x14ac:dyDescent="0.3">
      <c r="A5286" t="s">
        <v>8894</v>
      </c>
      <c r="B5286">
        <f t="shared" si="1201"/>
        <v>25</v>
      </c>
    </row>
    <row r="5287" spans="1:2" ht="15" customHeight="1" x14ac:dyDescent="0.3">
      <c r="A5287" t="s">
        <v>8895</v>
      </c>
      <c r="B5287">
        <f t="shared" si="1201"/>
        <v>25</v>
      </c>
    </row>
    <row r="5288" spans="1:2" ht="15" customHeight="1" x14ac:dyDescent="0.3">
      <c r="A5288" t="s">
        <v>8896</v>
      </c>
      <c r="B5288">
        <f t="shared" si="1201"/>
        <v>25</v>
      </c>
    </row>
    <row r="5289" spans="1:2" ht="15" customHeight="1" x14ac:dyDescent="0.3">
      <c r="A5289" t="s">
        <v>8897</v>
      </c>
      <c r="B5289">
        <f t="shared" si="1201"/>
        <v>25</v>
      </c>
    </row>
    <row r="5290" spans="1:2" ht="15" customHeight="1" x14ac:dyDescent="0.3">
      <c r="A5290" t="s">
        <v>8898</v>
      </c>
      <c r="B5290">
        <f t="shared" si="1201"/>
        <v>30</v>
      </c>
    </row>
    <row r="5291" spans="1:2" ht="15" customHeight="1" x14ac:dyDescent="0.3">
      <c r="A5291" t="s">
        <v>8899</v>
      </c>
      <c r="B5291">
        <f t="shared" si="1201"/>
        <v>65</v>
      </c>
    </row>
    <row r="5292" spans="1:2" ht="15" customHeight="1" x14ac:dyDescent="0.3">
      <c r="A5292" t="s">
        <v>8900</v>
      </c>
      <c r="B5292">
        <f t="shared" si="1201"/>
        <v>65</v>
      </c>
    </row>
    <row r="5293" spans="1:2" ht="15" customHeight="1" x14ac:dyDescent="0.3">
      <c r="A5293" t="s">
        <v>8901</v>
      </c>
      <c r="B5293">
        <f t="shared" si="1201"/>
        <v>65</v>
      </c>
    </row>
    <row r="5294" spans="1:2" ht="15" customHeight="1" x14ac:dyDescent="0.3">
      <c r="A5294" t="s">
        <v>8902</v>
      </c>
      <c r="B5294">
        <f t="shared" si="1201"/>
        <v>30</v>
      </c>
    </row>
    <row r="5295" spans="1:2" ht="15" customHeight="1" x14ac:dyDescent="0.3">
      <c r="A5295" t="s">
        <v>8903</v>
      </c>
      <c r="B5295">
        <f t="shared" si="1201"/>
        <v>30</v>
      </c>
    </row>
    <row r="5296" spans="1:2" ht="15" customHeight="1" x14ac:dyDescent="0.3">
      <c r="A5296" t="s">
        <v>8904</v>
      </c>
      <c r="B5296">
        <f t="shared" ref="B5296:B5317" si="1202">B8725</f>
        <v>55</v>
      </c>
    </row>
    <row r="5297" spans="1:2" ht="15" customHeight="1" x14ac:dyDescent="0.3">
      <c r="A5297" t="s">
        <v>8905</v>
      </c>
      <c r="B5297">
        <f t="shared" si="1202"/>
        <v>50</v>
      </c>
    </row>
    <row r="5298" spans="1:2" ht="15" customHeight="1" x14ac:dyDescent="0.3">
      <c r="A5298" t="s">
        <v>8906</v>
      </c>
      <c r="B5298">
        <f t="shared" si="1202"/>
        <v>70</v>
      </c>
    </row>
    <row r="5299" spans="1:2" ht="15" customHeight="1" x14ac:dyDescent="0.3">
      <c r="A5299" t="s">
        <v>8907</v>
      </c>
      <c r="B5299">
        <f t="shared" si="1202"/>
        <v>65</v>
      </c>
    </row>
    <row r="5300" spans="1:2" ht="15" customHeight="1" x14ac:dyDescent="0.3">
      <c r="A5300" t="s">
        <v>8908</v>
      </c>
      <c r="B5300">
        <f t="shared" si="1202"/>
        <v>50</v>
      </c>
    </row>
    <row r="5301" spans="1:2" ht="15" customHeight="1" x14ac:dyDescent="0.3">
      <c r="A5301" t="s">
        <v>8909</v>
      </c>
      <c r="B5301">
        <f t="shared" si="1202"/>
        <v>30</v>
      </c>
    </row>
    <row r="5302" spans="1:2" ht="15" customHeight="1" x14ac:dyDescent="0.3">
      <c r="A5302" t="s">
        <v>8910</v>
      </c>
      <c r="B5302">
        <f t="shared" si="1202"/>
        <v>30</v>
      </c>
    </row>
    <row r="5303" spans="1:2" ht="15" customHeight="1" x14ac:dyDescent="0.3">
      <c r="A5303" t="s">
        <v>8911</v>
      </c>
      <c r="B5303">
        <f t="shared" si="1202"/>
        <v>55</v>
      </c>
    </row>
    <row r="5304" spans="1:2" ht="15" customHeight="1" x14ac:dyDescent="0.3">
      <c r="A5304" t="s">
        <v>8912</v>
      </c>
      <c r="B5304">
        <f t="shared" si="1202"/>
        <v>25</v>
      </c>
    </row>
    <row r="5305" spans="1:2" ht="15" customHeight="1" x14ac:dyDescent="0.3">
      <c r="A5305" t="s">
        <v>8913</v>
      </c>
      <c r="B5305">
        <f t="shared" si="1202"/>
        <v>30</v>
      </c>
    </row>
    <row r="5306" spans="1:2" ht="15" customHeight="1" x14ac:dyDescent="0.3">
      <c r="A5306" t="s">
        <v>8914</v>
      </c>
      <c r="B5306">
        <f t="shared" si="1202"/>
        <v>30</v>
      </c>
    </row>
    <row r="5307" spans="1:2" ht="15" customHeight="1" x14ac:dyDescent="0.3">
      <c r="A5307" t="s">
        <v>8915</v>
      </c>
      <c r="B5307">
        <f t="shared" si="1202"/>
        <v>25</v>
      </c>
    </row>
    <row r="5308" spans="1:2" ht="15" customHeight="1" x14ac:dyDescent="0.3">
      <c r="A5308" t="s">
        <v>8916</v>
      </c>
      <c r="B5308">
        <f t="shared" si="1202"/>
        <v>25</v>
      </c>
    </row>
    <row r="5309" spans="1:2" ht="15" customHeight="1" x14ac:dyDescent="0.3">
      <c r="A5309" t="s">
        <v>8917</v>
      </c>
      <c r="B5309">
        <f t="shared" si="1202"/>
        <v>25</v>
      </c>
    </row>
    <row r="5310" spans="1:2" ht="15" customHeight="1" x14ac:dyDescent="0.3">
      <c r="A5310" t="s">
        <v>8918</v>
      </c>
      <c r="B5310">
        <f t="shared" si="1202"/>
        <v>25</v>
      </c>
    </row>
    <row r="5311" spans="1:2" ht="15" customHeight="1" x14ac:dyDescent="0.3">
      <c r="A5311" t="s">
        <v>8919</v>
      </c>
      <c r="B5311">
        <f t="shared" si="1202"/>
        <v>25</v>
      </c>
    </row>
    <row r="5312" spans="1:2" ht="15" customHeight="1" x14ac:dyDescent="0.3">
      <c r="A5312" t="s">
        <v>8920</v>
      </c>
      <c r="B5312">
        <f t="shared" si="1202"/>
        <v>25</v>
      </c>
    </row>
    <row r="5313" spans="1:2" ht="15" customHeight="1" x14ac:dyDescent="0.3">
      <c r="A5313" t="s">
        <v>8921</v>
      </c>
      <c r="B5313">
        <f t="shared" si="1202"/>
        <v>25</v>
      </c>
    </row>
    <row r="5314" spans="1:2" ht="15" customHeight="1" x14ac:dyDescent="0.3">
      <c r="A5314" t="s">
        <v>8922</v>
      </c>
      <c r="B5314">
        <f t="shared" si="1202"/>
        <v>45</v>
      </c>
    </row>
    <row r="5315" spans="1:2" ht="15" customHeight="1" x14ac:dyDescent="0.3">
      <c r="A5315" t="s">
        <v>8923</v>
      </c>
      <c r="B5315">
        <f t="shared" si="1202"/>
        <v>35</v>
      </c>
    </row>
    <row r="5316" spans="1:2" ht="15" customHeight="1" x14ac:dyDescent="0.3">
      <c r="A5316" t="s">
        <v>8924</v>
      </c>
      <c r="B5316">
        <f t="shared" si="1202"/>
        <v>35</v>
      </c>
    </row>
    <row r="5317" spans="1:2" ht="15" customHeight="1" x14ac:dyDescent="0.3">
      <c r="A5317" t="s">
        <v>8925</v>
      </c>
      <c r="B5317">
        <f t="shared" si="1202"/>
        <v>55</v>
      </c>
    </row>
    <row r="5318" spans="1:2" ht="15" customHeight="1" x14ac:dyDescent="0.3">
      <c r="A5318" t="s">
        <v>12603</v>
      </c>
      <c r="B5318">
        <f>F1411</f>
        <v>15</v>
      </c>
    </row>
    <row r="5319" spans="1:2" ht="15" customHeight="1" x14ac:dyDescent="0.3">
      <c r="A5319" t="s">
        <v>12604</v>
      </c>
      <c r="B5319">
        <f>F1411</f>
        <v>15</v>
      </c>
    </row>
    <row r="5320" spans="1:2" ht="15" customHeight="1" x14ac:dyDescent="0.3">
      <c r="A5320" t="s">
        <v>9564</v>
      </c>
      <c r="B5320">
        <f>B8440</f>
        <v>45</v>
      </c>
    </row>
    <row r="5321" spans="1:2" ht="15" customHeight="1" x14ac:dyDescent="0.3">
      <c r="A5321" t="s">
        <v>9565</v>
      </c>
      <c r="B5321">
        <f>B8443</f>
        <v>50</v>
      </c>
    </row>
    <row r="5322" spans="1:2" ht="15" customHeight="1" x14ac:dyDescent="0.3">
      <c r="A5322" t="s">
        <v>9566</v>
      </c>
      <c r="B5322">
        <f>B8446</f>
        <v>55</v>
      </c>
    </row>
    <row r="5323" spans="1:2" ht="15" customHeight="1" x14ac:dyDescent="0.3">
      <c r="A5323" t="s">
        <v>9567</v>
      </c>
      <c r="B5323" t="e">
        <f>B8449</f>
        <v>#REF!</v>
      </c>
    </row>
    <row r="5324" spans="1:2" ht="15" customHeight="1" x14ac:dyDescent="0.3">
      <c r="A5324" t="s">
        <v>9568</v>
      </c>
      <c r="B5324" t="e">
        <f>B8452</f>
        <v>#REF!</v>
      </c>
    </row>
    <row r="5325" spans="1:2" ht="15" customHeight="1" x14ac:dyDescent="0.3">
      <c r="A5325" t="s">
        <v>9569</v>
      </c>
      <c r="B5325">
        <f>B8455</f>
        <v>45</v>
      </c>
    </row>
    <row r="5326" spans="1:2" ht="15" customHeight="1" x14ac:dyDescent="0.3">
      <c r="A5326" t="s">
        <v>9570</v>
      </c>
      <c r="B5326">
        <f>B8458</f>
        <v>50</v>
      </c>
    </row>
    <row r="5327" spans="1:2" ht="15" customHeight="1" x14ac:dyDescent="0.3">
      <c r="A5327" t="s">
        <v>9571</v>
      </c>
      <c r="B5327">
        <f>B8461</f>
        <v>70</v>
      </c>
    </row>
    <row r="5328" spans="1:2" ht="15" customHeight="1" x14ac:dyDescent="0.3">
      <c r="A5328" t="s">
        <v>9572</v>
      </c>
      <c r="B5328">
        <f>B8464</f>
        <v>70</v>
      </c>
    </row>
    <row r="5329" spans="1:2" ht="15" customHeight="1" x14ac:dyDescent="0.3">
      <c r="A5329" t="s">
        <v>9573</v>
      </c>
      <c r="B5329">
        <f>B8467</f>
        <v>60</v>
      </c>
    </row>
    <row r="5330" spans="1:2" ht="15" customHeight="1" x14ac:dyDescent="0.3">
      <c r="A5330" t="s">
        <v>9574</v>
      </c>
      <c r="B5330">
        <f>B8470</f>
        <v>80</v>
      </c>
    </row>
    <row r="5331" spans="1:2" ht="15" customHeight="1" x14ac:dyDescent="0.3">
      <c r="A5331" t="s">
        <v>9575</v>
      </c>
      <c r="B5331">
        <f>B8473</f>
        <v>90</v>
      </c>
    </row>
    <row r="5332" spans="1:2" ht="15" customHeight="1" x14ac:dyDescent="0.3">
      <c r="A5332" t="s">
        <v>9576</v>
      </c>
      <c r="B5332">
        <f>B8476</f>
        <v>150</v>
      </c>
    </row>
    <row r="5333" spans="1:2" ht="15" customHeight="1" x14ac:dyDescent="0.3">
      <c r="A5333" t="s">
        <v>9577</v>
      </c>
      <c r="B5333">
        <f>B8479</f>
        <v>150</v>
      </c>
    </row>
    <row r="5334" spans="1:2" ht="15" customHeight="1" x14ac:dyDescent="0.3">
      <c r="A5334" t="s">
        <v>9578</v>
      </c>
      <c r="B5334">
        <f>B8482</f>
        <v>190</v>
      </c>
    </row>
    <row r="5335" spans="1:2" ht="15" customHeight="1" x14ac:dyDescent="0.3">
      <c r="A5335" t="s">
        <v>9579</v>
      </c>
      <c r="B5335">
        <f>B8399</f>
        <v>25</v>
      </c>
    </row>
    <row r="5336" spans="1:2" ht="15" customHeight="1" x14ac:dyDescent="0.3">
      <c r="A5336" t="s">
        <v>9580</v>
      </c>
      <c r="B5336">
        <f>B8402</f>
        <v>25</v>
      </c>
    </row>
    <row r="5337" spans="1:2" ht="15" customHeight="1" x14ac:dyDescent="0.3">
      <c r="A5337" t="s">
        <v>9581</v>
      </c>
      <c r="B5337">
        <f>B8405</f>
        <v>25</v>
      </c>
    </row>
    <row r="5338" spans="1:2" ht="15" customHeight="1" x14ac:dyDescent="0.3">
      <c r="A5338" t="s">
        <v>9582</v>
      </c>
      <c r="B5338">
        <f>B8408</f>
        <v>30</v>
      </c>
    </row>
    <row r="5339" spans="1:2" ht="15" customHeight="1" x14ac:dyDescent="0.3">
      <c r="A5339" t="s">
        <v>9583</v>
      </c>
      <c r="B5339">
        <f>B8411</f>
        <v>30</v>
      </c>
    </row>
    <row r="5340" spans="1:2" ht="15" customHeight="1" x14ac:dyDescent="0.3">
      <c r="A5340" t="s">
        <v>9584</v>
      </c>
      <c r="B5340">
        <f>B8414</f>
        <v>30</v>
      </c>
    </row>
    <row r="5341" spans="1:2" ht="15" customHeight="1" x14ac:dyDescent="0.3">
      <c r="A5341" t="s">
        <v>9585</v>
      </c>
      <c r="B5341">
        <f>B8417</f>
        <v>30</v>
      </c>
    </row>
    <row r="5342" spans="1:2" ht="15" customHeight="1" x14ac:dyDescent="0.3">
      <c r="A5342" t="s">
        <v>9586</v>
      </c>
      <c r="B5342">
        <f>B8420</f>
        <v>35</v>
      </c>
    </row>
    <row r="5343" spans="1:2" ht="15" customHeight="1" x14ac:dyDescent="0.3">
      <c r="A5343" t="s">
        <v>9587</v>
      </c>
      <c r="B5343">
        <f>B8429</f>
        <v>35</v>
      </c>
    </row>
    <row r="5344" spans="1:2" ht="15" customHeight="1" x14ac:dyDescent="0.3">
      <c r="A5344" t="s">
        <v>9588</v>
      </c>
      <c r="B5344">
        <f>B8437</f>
        <v>35</v>
      </c>
    </row>
    <row r="5345" spans="1:2" ht="15" customHeight="1" x14ac:dyDescent="0.3">
      <c r="A5345" t="s">
        <v>9589</v>
      </c>
      <c r="B5345">
        <f>B8432</f>
        <v>35</v>
      </c>
    </row>
    <row r="5346" spans="1:2" ht="15" customHeight="1" x14ac:dyDescent="0.3">
      <c r="A5346" t="s">
        <v>9590</v>
      </c>
      <c r="B5346">
        <f>B8435</f>
        <v>45</v>
      </c>
    </row>
    <row r="5347" spans="1:2" ht="15" customHeight="1" x14ac:dyDescent="0.3">
      <c r="A5347" t="s">
        <v>9591</v>
      </c>
      <c r="B5347">
        <f t="shared" ref="B5347:B5366" si="1203">B8486</f>
        <v>25</v>
      </c>
    </row>
    <row r="5348" spans="1:2" ht="15" customHeight="1" x14ac:dyDescent="0.3">
      <c r="A5348" t="s">
        <v>9592</v>
      </c>
      <c r="B5348">
        <f t="shared" si="1203"/>
        <v>25</v>
      </c>
    </row>
    <row r="5349" spans="1:2" ht="15" customHeight="1" x14ac:dyDescent="0.3">
      <c r="A5349" t="s">
        <v>9593</v>
      </c>
      <c r="B5349">
        <f t="shared" si="1203"/>
        <v>25</v>
      </c>
    </row>
    <row r="5350" spans="1:2" ht="15" customHeight="1" x14ac:dyDescent="0.3">
      <c r="A5350" t="s">
        <v>9594</v>
      </c>
      <c r="B5350">
        <f t="shared" si="1203"/>
        <v>25</v>
      </c>
    </row>
    <row r="5351" spans="1:2" ht="15" customHeight="1" x14ac:dyDescent="0.3">
      <c r="A5351" t="s">
        <v>9595</v>
      </c>
      <c r="B5351">
        <f t="shared" si="1203"/>
        <v>25</v>
      </c>
    </row>
    <row r="5352" spans="1:2" ht="15" customHeight="1" x14ac:dyDescent="0.3">
      <c r="A5352" t="s">
        <v>9596</v>
      </c>
      <c r="B5352">
        <f t="shared" si="1203"/>
        <v>25</v>
      </c>
    </row>
    <row r="5353" spans="1:2" ht="15" customHeight="1" x14ac:dyDescent="0.3">
      <c r="A5353" t="s">
        <v>9597</v>
      </c>
      <c r="B5353">
        <f t="shared" si="1203"/>
        <v>25</v>
      </c>
    </row>
    <row r="5354" spans="1:2" ht="15" customHeight="1" x14ac:dyDescent="0.3">
      <c r="A5354" t="s">
        <v>9598</v>
      </c>
      <c r="B5354">
        <f t="shared" si="1203"/>
        <v>30</v>
      </c>
    </row>
    <row r="5355" spans="1:2" ht="15" customHeight="1" x14ac:dyDescent="0.3">
      <c r="A5355" t="s">
        <v>9599</v>
      </c>
      <c r="B5355">
        <f t="shared" si="1203"/>
        <v>55</v>
      </c>
    </row>
    <row r="5356" spans="1:2" ht="15" customHeight="1" x14ac:dyDescent="0.3">
      <c r="A5356" t="s">
        <v>9600</v>
      </c>
      <c r="B5356">
        <f t="shared" si="1203"/>
        <v>25</v>
      </c>
    </row>
    <row r="5357" spans="1:2" ht="15" customHeight="1" x14ac:dyDescent="0.3">
      <c r="A5357" t="s">
        <v>9601</v>
      </c>
      <c r="B5357">
        <f t="shared" si="1203"/>
        <v>25</v>
      </c>
    </row>
    <row r="5358" spans="1:2" ht="15" customHeight="1" x14ac:dyDescent="0.3">
      <c r="A5358" t="s">
        <v>9602</v>
      </c>
      <c r="B5358">
        <f t="shared" si="1203"/>
        <v>25</v>
      </c>
    </row>
    <row r="5359" spans="1:2" ht="15" customHeight="1" x14ac:dyDescent="0.3">
      <c r="A5359" t="s">
        <v>9603</v>
      </c>
      <c r="B5359">
        <f t="shared" si="1203"/>
        <v>25</v>
      </c>
    </row>
    <row r="5360" spans="1:2" ht="15" customHeight="1" x14ac:dyDescent="0.3">
      <c r="A5360" t="s">
        <v>9604</v>
      </c>
      <c r="B5360">
        <f t="shared" si="1203"/>
        <v>30</v>
      </c>
    </row>
    <row r="5361" spans="1:2" ht="15" customHeight="1" x14ac:dyDescent="0.3">
      <c r="A5361" t="s">
        <v>9605</v>
      </c>
      <c r="B5361">
        <f t="shared" si="1203"/>
        <v>30</v>
      </c>
    </row>
    <row r="5362" spans="1:2" ht="15" customHeight="1" x14ac:dyDescent="0.3">
      <c r="A5362" t="s">
        <v>9606</v>
      </c>
      <c r="B5362">
        <f t="shared" si="1203"/>
        <v>30</v>
      </c>
    </row>
    <row r="5363" spans="1:2" ht="15" customHeight="1" x14ac:dyDescent="0.3">
      <c r="A5363" t="s">
        <v>9607</v>
      </c>
      <c r="B5363">
        <f t="shared" si="1203"/>
        <v>25</v>
      </c>
    </row>
    <row r="5364" spans="1:2" ht="15" customHeight="1" x14ac:dyDescent="0.3">
      <c r="A5364" t="s">
        <v>9608</v>
      </c>
      <c r="B5364">
        <f t="shared" si="1203"/>
        <v>30</v>
      </c>
    </row>
    <row r="5365" spans="1:2" ht="15" customHeight="1" x14ac:dyDescent="0.3">
      <c r="A5365" t="s">
        <v>9609</v>
      </c>
      <c r="B5365">
        <f t="shared" si="1203"/>
        <v>30</v>
      </c>
    </row>
    <row r="5366" spans="1:2" ht="15" customHeight="1" x14ac:dyDescent="0.3">
      <c r="A5366" t="s">
        <v>9610</v>
      </c>
      <c r="B5366">
        <f t="shared" si="1203"/>
        <v>25</v>
      </c>
    </row>
    <row r="5367" spans="1:2" ht="15" customHeight="1" x14ac:dyDescent="0.3">
      <c r="A5367" t="s">
        <v>9611</v>
      </c>
      <c r="B5367">
        <f t="shared" ref="B5367:B5376" si="1204">B8511</f>
        <v>25</v>
      </c>
    </row>
    <row r="5368" spans="1:2" ht="15" customHeight="1" x14ac:dyDescent="0.3">
      <c r="A5368" t="s">
        <v>9612</v>
      </c>
      <c r="B5368">
        <f t="shared" si="1204"/>
        <v>25</v>
      </c>
    </row>
    <row r="5369" spans="1:2" ht="15" customHeight="1" x14ac:dyDescent="0.3">
      <c r="A5369" t="s">
        <v>9613</v>
      </c>
      <c r="B5369">
        <f t="shared" si="1204"/>
        <v>25</v>
      </c>
    </row>
    <row r="5370" spans="1:2" ht="15" customHeight="1" x14ac:dyDescent="0.3">
      <c r="A5370" t="s">
        <v>9614</v>
      </c>
      <c r="B5370">
        <f t="shared" si="1204"/>
        <v>25</v>
      </c>
    </row>
    <row r="5371" spans="1:2" ht="15" customHeight="1" x14ac:dyDescent="0.3">
      <c r="A5371" t="s">
        <v>9615</v>
      </c>
      <c r="B5371">
        <f t="shared" si="1204"/>
        <v>25</v>
      </c>
    </row>
    <row r="5372" spans="1:2" ht="15" customHeight="1" x14ac:dyDescent="0.3">
      <c r="A5372" t="s">
        <v>9616</v>
      </c>
      <c r="B5372">
        <f t="shared" si="1204"/>
        <v>25</v>
      </c>
    </row>
    <row r="5373" spans="1:2" ht="15" customHeight="1" x14ac:dyDescent="0.3">
      <c r="A5373" t="s">
        <v>9617</v>
      </c>
      <c r="B5373">
        <f t="shared" si="1204"/>
        <v>25</v>
      </c>
    </row>
    <row r="5374" spans="1:2" ht="15" customHeight="1" x14ac:dyDescent="0.3">
      <c r="A5374" t="s">
        <v>9618</v>
      </c>
      <c r="B5374">
        <f t="shared" si="1204"/>
        <v>30</v>
      </c>
    </row>
    <row r="5375" spans="1:2" ht="15" customHeight="1" x14ac:dyDescent="0.3">
      <c r="A5375" t="s">
        <v>9619</v>
      </c>
      <c r="B5375">
        <f t="shared" si="1204"/>
        <v>30</v>
      </c>
    </row>
    <row r="5376" spans="1:2" ht="15" customHeight="1" x14ac:dyDescent="0.3">
      <c r="A5376" t="s">
        <v>9620</v>
      </c>
      <c r="B5376">
        <f t="shared" si="1204"/>
        <v>30</v>
      </c>
    </row>
    <row r="5377" spans="1:2" ht="15" customHeight="1" x14ac:dyDescent="0.3">
      <c r="A5377" t="s">
        <v>9621</v>
      </c>
      <c r="B5377">
        <f>B8526</f>
        <v>25</v>
      </c>
    </row>
    <row r="5378" spans="1:2" ht="15" customHeight="1" x14ac:dyDescent="0.3">
      <c r="A5378" t="s">
        <v>9622</v>
      </c>
      <c r="B5378">
        <f>B8527</f>
        <v>30</v>
      </c>
    </row>
    <row r="5379" spans="1:2" ht="15" customHeight="1" x14ac:dyDescent="0.3">
      <c r="A5379" t="s">
        <v>9623</v>
      </c>
      <c r="B5379">
        <f>B8528</f>
        <v>35</v>
      </c>
    </row>
    <row r="5380" spans="1:2" ht="15" customHeight="1" x14ac:dyDescent="0.3">
      <c r="A5380" t="s">
        <v>9624</v>
      </c>
      <c r="B5380">
        <f>B8529</f>
        <v>25</v>
      </c>
    </row>
    <row r="5381" spans="1:2" ht="15" customHeight="1" x14ac:dyDescent="0.3">
      <c r="A5381" t="s">
        <v>9625</v>
      </c>
      <c r="B5381">
        <f>B8534</f>
        <v>25</v>
      </c>
    </row>
    <row r="5382" spans="1:2" ht="15" customHeight="1" x14ac:dyDescent="0.3">
      <c r="A5382" t="s">
        <v>9626</v>
      </c>
      <c r="B5382">
        <f>B8535</f>
        <v>25</v>
      </c>
    </row>
    <row r="5383" spans="1:2" ht="15" customHeight="1" x14ac:dyDescent="0.3">
      <c r="A5383" t="s">
        <v>9627</v>
      </c>
      <c r="B5383">
        <f>B8536</f>
        <v>25</v>
      </c>
    </row>
    <row r="5384" spans="1:2" ht="15" customHeight="1" x14ac:dyDescent="0.3">
      <c r="A5384" t="s">
        <v>9628</v>
      </c>
      <c r="B5384">
        <f>B8537</f>
        <v>25</v>
      </c>
    </row>
    <row r="5385" spans="1:2" ht="15" customHeight="1" x14ac:dyDescent="0.3">
      <c r="A5385" t="s">
        <v>9629</v>
      </c>
      <c r="B5385">
        <f t="shared" ref="B5385:B5391" si="1205">B8542</f>
        <v>30</v>
      </c>
    </row>
    <row r="5386" spans="1:2" ht="15" customHeight="1" x14ac:dyDescent="0.3">
      <c r="A5386" t="s">
        <v>9630</v>
      </c>
      <c r="B5386">
        <f t="shared" si="1205"/>
        <v>25</v>
      </c>
    </row>
    <row r="5387" spans="1:2" ht="15" customHeight="1" x14ac:dyDescent="0.3">
      <c r="A5387" t="s">
        <v>9631</v>
      </c>
      <c r="B5387">
        <f t="shared" si="1205"/>
        <v>30</v>
      </c>
    </row>
    <row r="5388" spans="1:2" ht="15" customHeight="1" x14ac:dyDescent="0.3">
      <c r="A5388" t="s">
        <v>9632</v>
      </c>
      <c r="B5388">
        <f t="shared" si="1205"/>
        <v>30</v>
      </c>
    </row>
    <row r="5389" spans="1:2" ht="15" customHeight="1" x14ac:dyDescent="0.3">
      <c r="A5389" t="s">
        <v>9633</v>
      </c>
      <c r="B5389">
        <f t="shared" si="1205"/>
        <v>25</v>
      </c>
    </row>
    <row r="5390" spans="1:2" ht="15" customHeight="1" x14ac:dyDescent="0.3">
      <c r="A5390" t="s">
        <v>9634</v>
      </c>
      <c r="B5390">
        <f t="shared" si="1205"/>
        <v>30</v>
      </c>
    </row>
    <row r="5391" spans="1:2" ht="15" customHeight="1" x14ac:dyDescent="0.3">
      <c r="A5391" t="s">
        <v>9635</v>
      </c>
      <c r="B5391">
        <f t="shared" si="1205"/>
        <v>30</v>
      </c>
    </row>
    <row r="5392" spans="1:2" ht="15" customHeight="1" x14ac:dyDescent="0.3">
      <c r="A5392" t="s">
        <v>9636</v>
      </c>
      <c r="B5392">
        <f t="shared" ref="B5392:B5400" si="1206">B8559</f>
        <v>25</v>
      </c>
    </row>
    <row r="5393" spans="1:2" ht="15" customHeight="1" x14ac:dyDescent="0.3">
      <c r="A5393" t="s">
        <v>9637</v>
      </c>
      <c r="B5393">
        <f t="shared" si="1206"/>
        <v>25</v>
      </c>
    </row>
    <row r="5394" spans="1:2" ht="15" customHeight="1" x14ac:dyDescent="0.3">
      <c r="A5394" t="s">
        <v>9638</v>
      </c>
      <c r="B5394">
        <f t="shared" si="1206"/>
        <v>25</v>
      </c>
    </row>
    <row r="5395" spans="1:2" ht="15" customHeight="1" x14ac:dyDescent="0.3">
      <c r="A5395" t="s">
        <v>9639</v>
      </c>
      <c r="B5395">
        <f t="shared" si="1206"/>
        <v>25</v>
      </c>
    </row>
    <row r="5396" spans="1:2" ht="15" customHeight="1" x14ac:dyDescent="0.3">
      <c r="A5396" t="s">
        <v>9640</v>
      </c>
      <c r="B5396">
        <f t="shared" si="1206"/>
        <v>30</v>
      </c>
    </row>
    <row r="5397" spans="1:2" ht="15" customHeight="1" x14ac:dyDescent="0.3">
      <c r="A5397" t="s">
        <v>9641</v>
      </c>
      <c r="B5397">
        <f t="shared" si="1206"/>
        <v>25</v>
      </c>
    </row>
    <row r="5398" spans="1:2" ht="15" customHeight="1" x14ac:dyDescent="0.3">
      <c r="A5398" t="s">
        <v>9642</v>
      </c>
      <c r="B5398">
        <f t="shared" si="1206"/>
        <v>25</v>
      </c>
    </row>
    <row r="5399" spans="1:2" ht="15" customHeight="1" x14ac:dyDescent="0.3">
      <c r="A5399" t="s">
        <v>9643</v>
      </c>
      <c r="B5399">
        <f t="shared" si="1206"/>
        <v>30</v>
      </c>
    </row>
    <row r="5400" spans="1:2" ht="15" customHeight="1" x14ac:dyDescent="0.3">
      <c r="A5400" t="s">
        <v>9644</v>
      </c>
      <c r="B5400">
        <f t="shared" si="1206"/>
        <v>30</v>
      </c>
    </row>
    <row r="5401" spans="1:2" ht="15" customHeight="1" x14ac:dyDescent="0.3">
      <c r="A5401" t="s">
        <v>9645</v>
      </c>
      <c r="B5401">
        <f t="shared" ref="B5401:B5418" si="1207">B8573</f>
        <v>25</v>
      </c>
    </row>
    <row r="5402" spans="1:2" ht="15" customHeight="1" x14ac:dyDescent="0.3">
      <c r="A5402" t="s">
        <v>9646</v>
      </c>
      <c r="B5402">
        <f t="shared" si="1207"/>
        <v>25</v>
      </c>
    </row>
    <row r="5403" spans="1:2" ht="15" customHeight="1" x14ac:dyDescent="0.3">
      <c r="A5403" t="s">
        <v>9647</v>
      </c>
      <c r="B5403">
        <f t="shared" si="1207"/>
        <v>25</v>
      </c>
    </row>
    <row r="5404" spans="1:2" ht="15" customHeight="1" x14ac:dyDescent="0.3">
      <c r="A5404" t="s">
        <v>9648</v>
      </c>
      <c r="B5404">
        <f t="shared" si="1207"/>
        <v>25</v>
      </c>
    </row>
    <row r="5405" spans="1:2" ht="15" customHeight="1" x14ac:dyDescent="0.3">
      <c r="A5405" t="s">
        <v>9649</v>
      </c>
      <c r="B5405">
        <f t="shared" si="1207"/>
        <v>25</v>
      </c>
    </row>
    <row r="5406" spans="1:2" ht="15" customHeight="1" x14ac:dyDescent="0.3">
      <c r="A5406" t="s">
        <v>9650</v>
      </c>
      <c r="B5406">
        <f t="shared" si="1207"/>
        <v>25</v>
      </c>
    </row>
    <row r="5407" spans="1:2" ht="15" customHeight="1" x14ac:dyDescent="0.3">
      <c r="A5407" t="s">
        <v>9651</v>
      </c>
      <c r="B5407">
        <f t="shared" si="1207"/>
        <v>25</v>
      </c>
    </row>
    <row r="5408" spans="1:2" ht="15" customHeight="1" x14ac:dyDescent="0.3">
      <c r="A5408" t="s">
        <v>9652</v>
      </c>
      <c r="B5408">
        <f t="shared" si="1207"/>
        <v>25</v>
      </c>
    </row>
    <row r="5409" spans="1:2" ht="15" customHeight="1" x14ac:dyDescent="0.3">
      <c r="A5409" t="s">
        <v>9653</v>
      </c>
      <c r="B5409">
        <f t="shared" si="1207"/>
        <v>25</v>
      </c>
    </row>
    <row r="5410" spans="1:2" ht="15" customHeight="1" x14ac:dyDescent="0.3">
      <c r="A5410" t="s">
        <v>9654</v>
      </c>
      <c r="B5410">
        <f t="shared" si="1207"/>
        <v>30</v>
      </c>
    </row>
    <row r="5411" spans="1:2" ht="15" customHeight="1" x14ac:dyDescent="0.3">
      <c r="A5411" t="s">
        <v>9655</v>
      </c>
      <c r="B5411">
        <f t="shared" si="1207"/>
        <v>25</v>
      </c>
    </row>
    <row r="5412" spans="1:2" ht="15" customHeight="1" x14ac:dyDescent="0.3">
      <c r="A5412" t="s">
        <v>9656</v>
      </c>
      <c r="B5412">
        <f t="shared" si="1207"/>
        <v>25</v>
      </c>
    </row>
    <row r="5413" spans="1:2" ht="15" customHeight="1" x14ac:dyDescent="0.3">
      <c r="A5413" t="s">
        <v>9657</v>
      </c>
      <c r="B5413">
        <f t="shared" si="1207"/>
        <v>25</v>
      </c>
    </row>
    <row r="5414" spans="1:2" ht="15" customHeight="1" x14ac:dyDescent="0.3">
      <c r="A5414" t="s">
        <v>9658</v>
      </c>
      <c r="B5414">
        <f t="shared" si="1207"/>
        <v>25</v>
      </c>
    </row>
    <row r="5415" spans="1:2" ht="15" customHeight="1" x14ac:dyDescent="0.3">
      <c r="A5415" t="s">
        <v>9659</v>
      </c>
      <c r="B5415">
        <f t="shared" si="1207"/>
        <v>30</v>
      </c>
    </row>
    <row r="5416" spans="1:2" ht="15" customHeight="1" x14ac:dyDescent="0.3">
      <c r="A5416" t="s">
        <v>9660</v>
      </c>
      <c r="B5416">
        <f t="shared" si="1207"/>
        <v>30</v>
      </c>
    </row>
    <row r="5417" spans="1:2" ht="15" customHeight="1" x14ac:dyDescent="0.3">
      <c r="A5417" t="s">
        <v>9661</v>
      </c>
      <c r="B5417">
        <f t="shared" si="1207"/>
        <v>25</v>
      </c>
    </row>
    <row r="5418" spans="1:2" ht="15" customHeight="1" x14ac:dyDescent="0.3">
      <c r="A5418" t="s">
        <v>9662</v>
      </c>
      <c r="B5418">
        <f t="shared" si="1207"/>
        <v>25</v>
      </c>
    </row>
    <row r="5419" spans="1:2" ht="15" customHeight="1" x14ac:dyDescent="0.3">
      <c r="A5419" t="s">
        <v>9663</v>
      </c>
      <c r="B5419">
        <f>B8599</f>
        <v>25</v>
      </c>
    </row>
    <row r="5420" spans="1:2" ht="15" customHeight="1" x14ac:dyDescent="0.3">
      <c r="A5420" t="s">
        <v>9664</v>
      </c>
      <c r="B5420">
        <f>B8606</f>
        <v>25</v>
      </c>
    </row>
    <row r="5421" spans="1:2" ht="15" customHeight="1" x14ac:dyDescent="0.3">
      <c r="A5421" t="s">
        <v>9665</v>
      </c>
      <c r="B5421">
        <f>B8607</f>
        <v>25</v>
      </c>
    </row>
    <row r="5422" spans="1:2" ht="15" customHeight="1" x14ac:dyDescent="0.3">
      <c r="A5422" t="s">
        <v>9666</v>
      </c>
      <c r="B5422">
        <f>B8617</f>
        <v>25</v>
      </c>
    </row>
    <row r="5423" spans="1:2" ht="15" customHeight="1" x14ac:dyDescent="0.3">
      <c r="A5423" t="s">
        <v>9667</v>
      </c>
      <c r="B5423">
        <f>B8618</f>
        <v>30</v>
      </c>
    </row>
    <row r="5424" spans="1:2" ht="15" customHeight="1" x14ac:dyDescent="0.3">
      <c r="A5424" t="s">
        <v>9668</v>
      </c>
      <c r="B5424">
        <f>B8621</f>
        <v>30</v>
      </c>
    </row>
    <row r="5425" spans="1:2" ht="15" customHeight="1" x14ac:dyDescent="0.3">
      <c r="A5425" t="s">
        <v>9669</v>
      </c>
      <c r="B5425">
        <f t="shared" ref="B5425:B5430" si="1208">B8626</f>
        <v>30</v>
      </c>
    </row>
    <row r="5426" spans="1:2" ht="15" customHeight="1" x14ac:dyDescent="0.3">
      <c r="A5426" t="s">
        <v>9670</v>
      </c>
      <c r="B5426">
        <f t="shared" si="1208"/>
        <v>30</v>
      </c>
    </row>
    <row r="5427" spans="1:2" ht="15" customHeight="1" x14ac:dyDescent="0.3">
      <c r="A5427" t="s">
        <v>9671</v>
      </c>
      <c r="B5427">
        <f t="shared" si="1208"/>
        <v>30</v>
      </c>
    </row>
    <row r="5428" spans="1:2" ht="15" customHeight="1" x14ac:dyDescent="0.3">
      <c r="A5428" t="s">
        <v>9672</v>
      </c>
      <c r="B5428">
        <f t="shared" si="1208"/>
        <v>25</v>
      </c>
    </row>
    <row r="5429" spans="1:2" ht="15" customHeight="1" x14ac:dyDescent="0.3">
      <c r="A5429" t="s">
        <v>9673</v>
      </c>
      <c r="B5429">
        <f t="shared" si="1208"/>
        <v>25</v>
      </c>
    </row>
    <row r="5430" spans="1:2" ht="15" customHeight="1" x14ac:dyDescent="0.3">
      <c r="A5430" t="s">
        <v>9674</v>
      </c>
      <c r="B5430">
        <f t="shared" si="1208"/>
        <v>25</v>
      </c>
    </row>
    <row r="5431" spans="1:2" ht="15" customHeight="1" x14ac:dyDescent="0.3">
      <c r="A5431" t="s">
        <v>9675</v>
      </c>
      <c r="B5431">
        <f t="shared" ref="B5431:B5440" si="1209">B8633</f>
        <v>25</v>
      </c>
    </row>
    <row r="5432" spans="1:2" ht="15" customHeight="1" x14ac:dyDescent="0.3">
      <c r="A5432" t="s">
        <v>9676</v>
      </c>
      <c r="B5432">
        <f t="shared" si="1209"/>
        <v>30</v>
      </c>
    </row>
    <row r="5433" spans="1:2" ht="15" customHeight="1" x14ac:dyDescent="0.3">
      <c r="A5433" t="s">
        <v>9677</v>
      </c>
      <c r="B5433">
        <f t="shared" si="1209"/>
        <v>30</v>
      </c>
    </row>
    <row r="5434" spans="1:2" ht="15" customHeight="1" x14ac:dyDescent="0.3">
      <c r="A5434" t="s">
        <v>9678</v>
      </c>
      <c r="B5434">
        <f t="shared" si="1209"/>
        <v>30</v>
      </c>
    </row>
    <row r="5435" spans="1:2" ht="15" customHeight="1" x14ac:dyDescent="0.3">
      <c r="A5435" t="s">
        <v>9679</v>
      </c>
      <c r="B5435">
        <f t="shared" si="1209"/>
        <v>30</v>
      </c>
    </row>
    <row r="5436" spans="1:2" ht="15" customHeight="1" x14ac:dyDescent="0.3">
      <c r="A5436" t="s">
        <v>9680</v>
      </c>
      <c r="B5436">
        <f t="shared" si="1209"/>
        <v>0</v>
      </c>
    </row>
    <row r="5437" spans="1:2" ht="15" customHeight="1" x14ac:dyDescent="0.3">
      <c r="A5437" t="s">
        <v>9681</v>
      </c>
      <c r="B5437">
        <f t="shared" si="1209"/>
        <v>30</v>
      </c>
    </row>
    <row r="5438" spans="1:2" ht="15" customHeight="1" x14ac:dyDescent="0.3">
      <c r="A5438" t="s">
        <v>9682</v>
      </c>
      <c r="B5438">
        <f t="shared" si="1209"/>
        <v>30</v>
      </c>
    </row>
    <row r="5439" spans="1:2" ht="15" customHeight="1" x14ac:dyDescent="0.3">
      <c r="A5439" t="s">
        <v>9683</v>
      </c>
      <c r="B5439">
        <f t="shared" si="1209"/>
        <v>25</v>
      </c>
    </row>
    <row r="5440" spans="1:2" ht="15" customHeight="1" x14ac:dyDescent="0.3">
      <c r="A5440" t="s">
        <v>9684</v>
      </c>
      <c r="B5440">
        <f t="shared" si="1209"/>
        <v>25</v>
      </c>
    </row>
    <row r="5441" spans="1:2" ht="15" customHeight="1" x14ac:dyDescent="0.3">
      <c r="A5441" t="s">
        <v>9685</v>
      </c>
      <c r="B5441" t="e">
        <f>#REF!</f>
        <v>#REF!</v>
      </c>
    </row>
    <row r="5442" spans="1:2" ht="15" customHeight="1" x14ac:dyDescent="0.3">
      <c r="A5442" t="s">
        <v>9686</v>
      </c>
      <c r="B5442">
        <f>B8643</f>
        <v>25</v>
      </c>
    </row>
    <row r="5443" spans="1:2" ht="15" customHeight="1" x14ac:dyDescent="0.3">
      <c r="A5443" t="s">
        <v>9687</v>
      </c>
      <c r="B5443">
        <f>B8644</f>
        <v>25</v>
      </c>
    </row>
    <row r="5444" spans="1:2" ht="15" customHeight="1" x14ac:dyDescent="0.3">
      <c r="A5444" t="s">
        <v>9688</v>
      </c>
      <c r="B5444">
        <f t="shared" ref="B5444:B5450" si="1210">B8655</f>
        <v>25</v>
      </c>
    </row>
    <row r="5445" spans="1:2" ht="15" customHeight="1" x14ac:dyDescent="0.3">
      <c r="A5445" t="s">
        <v>9689</v>
      </c>
      <c r="B5445">
        <f t="shared" si="1210"/>
        <v>25</v>
      </c>
    </row>
    <row r="5446" spans="1:2" ht="15" customHeight="1" x14ac:dyDescent="0.3">
      <c r="A5446" t="s">
        <v>9690</v>
      </c>
      <c r="B5446">
        <f t="shared" si="1210"/>
        <v>25</v>
      </c>
    </row>
    <row r="5447" spans="1:2" ht="15" customHeight="1" x14ac:dyDescent="0.3">
      <c r="A5447" t="s">
        <v>9691</v>
      </c>
      <c r="B5447">
        <f t="shared" si="1210"/>
        <v>30</v>
      </c>
    </row>
    <row r="5448" spans="1:2" ht="15" customHeight="1" x14ac:dyDescent="0.3">
      <c r="A5448" t="s">
        <v>9692</v>
      </c>
      <c r="B5448">
        <f t="shared" si="1210"/>
        <v>30</v>
      </c>
    </row>
    <row r="5449" spans="1:2" ht="15" customHeight="1" x14ac:dyDescent="0.3">
      <c r="A5449" t="s">
        <v>9693</v>
      </c>
      <c r="B5449">
        <f t="shared" si="1210"/>
        <v>30</v>
      </c>
    </row>
    <row r="5450" spans="1:2" ht="15" customHeight="1" x14ac:dyDescent="0.3">
      <c r="A5450" t="s">
        <v>9694</v>
      </c>
      <c r="B5450">
        <f t="shared" si="1210"/>
        <v>25</v>
      </c>
    </row>
    <row r="5451" spans="1:2" ht="15" customHeight="1" x14ac:dyDescent="0.3">
      <c r="A5451" t="s">
        <v>9695</v>
      </c>
      <c r="B5451">
        <f t="shared" ref="B5451:B5459" si="1211">B8663</f>
        <v>30</v>
      </c>
    </row>
    <row r="5452" spans="1:2" ht="15" customHeight="1" x14ac:dyDescent="0.3">
      <c r="A5452" t="s">
        <v>9696</v>
      </c>
      <c r="B5452">
        <f t="shared" si="1211"/>
        <v>25</v>
      </c>
    </row>
    <row r="5453" spans="1:2" ht="15" customHeight="1" x14ac:dyDescent="0.3">
      <c r="A5453" t="s">
        <v>9697</v>
      </c>
      <c r="B5453">
        <f t="shared" si="1211"/>
        <v>30</v>
      </c>
    </row>
    <row r="5454" spans="1:2" ht="15" customHeight="1" x14ac:dyDescent="0.3">
      <c r="A5454" t="s">
        <v>9698</v>
      </c>
      <c r="B5454">
        <f t="shared" si="1211"/>
        <v>25</v>
      </c>
    </row>
    <row r="5455" spans="1:2" ht="15" customHeight="1" x14ac:dyDescent="0.3">
      <c r="A5455" t="s">
        <v>9699</v>
      </c>
      <c r="B5455">
        <f t="shared" si="1211"/>
        <v>30</v>
      </c>
    </row>
    <row r="5456" spans="1:2" ht="15" customHeight="1" x14ac:dyDescent="0.3">
      <c r="A5456" t="s">
        <v>9700</v>
      </c>
      <c r="B5456">
        <f t="shared" si="1211"/>
        <v>25</v>
      </c>
    </row>
    <row r="5457" spans="1:2" ht="15" customHeight="1" x14ac:dyDescent="0.3">
      <c r="A5457" t="s">
        <v>9701</v>
      </c>
      <c r="B5457">
        <f t="shared" si="1211"/>
        <v>30</v>
      </c>
    </row>
    <row r="5458" spans="1:2" ht="15" customHeight="1" x14ac:dyDescent="0.3">
      <c r="A5458" t="s">
        <v>9702</v>
      </c>
      <c r="B5458">
        <f t="shared" si="1211"/>
        <v>30</v>
      </c>
    </row>
    <row r="5459" spans="1:2" ht="15" customHeight="1" x14ac:dyDescent="0.3">
      <c r="A5459" t="s">
        <v>9703</v>
      </c>
      <c r="B5459">
        <f t="shared" si="1211"/>
        <v>25</v>
      </c>
    </row>
    <row r="5460" spans="1:2" ht="15" customHeight="1" x14ac:dyDescent="0.3">
      <c r="A5460" t="s">
        <v>9704</v>
      </c>
      <c r="B5460">
        <f t="shared" ref="B5460:B5502" si="1212">B8677</f>
        <v>25</v>
      </c>
    </row>
    <row r="5461" spans="1:2" ht="15" customHeight="1" x14ac:dyDescent="0.3">
      <c r="A5461" t="s">
        <v>9705</v>
      </c>
      <c r="B5461">
        <f t="shared" si="1212"/>
        <v>25</v>
      </c>
    </row>
    <row r="5462" spans="1:2" ht="15" customHeight="1" x14ac:dyDescent="0.3">
      <c r="A5462" t="s">
        <v>9706</v>
      </c>
      <c r="B5462">
        <f t="shared" si="1212"/>
        <v>25</v>
      </c>
    </row>
    <row r="5463" spans="1:2" ht="15" customHeight="1" x14ac:dyDescent="0.3">
      <c r="A5463" t="s">
        <v>9707</v>
      </c>
      <c r="B5463">
        <f t="shared" si="1212"/>
        <v>25</v>
      </c>
    </row>
    <row r="5464" spans="1:2" ht="15" customHeight="1" x14ac:dyDescent="0.3">
      <c r="A5464" t="s">
        <v>9708</v>
      </c>
      <c r="B5464">
        <f t="shared" si="1212"/>
        <v>25</v>
      </c>
    </row>
    <row r="5465" spans="1:2" ht="15" customHeight="1" x14ac:dyDescent="0.3">
      <c r="A5465" t="s">
        <v>9709</v>
      </c>
      <c r="B5465">
        <f t="shared" si="1212"/>
        <v>25</v>
      </c>
    </row>
    <row r="5466" spans="1:2" ht="15" customHeight="1" x14ac:dyDescent="0.3">
      <c r="A5466" t="s">
        <v>9710</v>
      </c>
      <c r="B5466">
        <f t="shared" si="1212"/>
        <v>25</v>
      </c>
    </row>
    <row r="5467" spans="1:2" ht="15" customHeight="1" x14ac:dyDescent="0.3">
      <c r="A5467" t="s">
        <v>9711</v>
      </c>
      <c r="B5467">
        <f t="shared" si="1212"/>
        <v>25</v>
      </c>
    </row>
    <row r="5468" spans="1:2" ht="15" customHeight="1" x14ac:dyDescent="0.3">
      <c r="A5468" t="s">
        <v>9712</v>
      </c>
      <c r="B5468">
        <f t="shared" si="1212"/>
        <v>25</v>
      </c>
    </row>
    <row r="5469" spans="1:2" ht="15" customHeight="1" x14ac:dyDescent="0.3">
      <c r="A5469" t="s">
        <v>9713</v>
      </c>
      <c r="B5469">
        <f t="shared" si="1212"/>
        <v>25</v>
      </c>
    </row>
    <row r="5470" spans="1:2" ht="15" customHeight="1" x14ac:dyDescent="0.3">
      <c r="A5470" t="s">
        <v>9714</v>
      </c>
      <c r="B5470">
        <f t="shared" si="1212"/>
        <v>25</v>
      </c>
    </row>
    <row r="5471" spans="1:2" ht="15" customHeight="1" x14ac:dyDescent="0.3">
      <c r="A5471" t="s">
        <v>9715</v>
      </c>
      <c r="B5471">
        <f t="shared" si="1212"/>
        <v>25</v>
      </c>
    </row>
    <row r="5472" spans="1:2" ht="15" customHeight="1" x14ac:dyDescent="0.3">
      <c r="A5472" t="s">
        <v>9716</v>
      </c>
      <c r="B5472">
        <f t="shared" si="1212"/>
        <v>25</v>
      </c>
    </row>
    <row r="5473" spans="1:2" ht="15" customHeight="1" x14ac:dyDescent="0.3">
      <c r="A5473" t="s">
        <v>9717</v>
      </c>
      <c r="B5473">
        <f t="shared" si="1212"/>
        <v>25</v>
      </c>
    </row>
    <row r="5474" spans="1:2" ht="15" customHeight="1" x14ac:dyDescent="0.3">
      <c r="A5474" t="s">
        <v>9718</v>
      </c>
      <c r="B5474">
        <f t="shared" si="1212"/>
        <v>25</v>
      </c>
    </row>
    <row r="5475" spans="1:2" ht="15" customHeight="1" x14ac:dyDescent="0.3">
      <c r="A5475" t="s">
        <v>9719</v>
      </c>
      <c r="B5475">
        <f t="shared" si="1212"/>
        <v>25</v>
      </c>
    </row>
    <row r="5476" spans="1:2" ht="15" customHeight="1" x14ac:dyDescent="0.3">
      <c r="A5476" t="s">
        <v>9720</v>
      </c>
      <c r="B5476">
        <f t="shared" si="1212"/>
        <v>25</v>
      </c>
    </row>
    <row r="5477" spans="1:2" ht="15" customHeight="1" x14ac:dyDescent="0.3">
      <c r="A5477" t="s">
        <v>9721</v>
      </c>
      <c r="B5477">
        <f t="shared" si="1212"/>
        <v>25</v>
      </c>
    </row>
    <row r="5478" spans="1:2" ht="15" customHeight="1" x14ac:dyDescent="0.3">
      <c r="A5478" t="s">
        <v>9722</v>
      </c>
      <c r="B5478">
        <f t="shared" si="1212"/>
        <v>25</v>
      </c>
    </row>
    <row r="5479" spans="1:2" ht="15" customHeight="1" x14ac:dyDescent="0.3">
      <c r="A5479" t="s">
        <v>9723</v>
      </c>
      <c r="B5479">
        <f t="shared" si="1212"/>
        <v>25</v>
      </c>
    </row>
    <row r="5480" spans="1:2" ht="15" customHeight="1" x14ac:dyDescent="0.3">
      <c r="A5480" t="s">
        <v>9724</v>
      </c>
      <c r="B5480">
        <f t="shared" si="1212"/>
        <v>25</v>
      </c>
    </row>
    <row r="5481" spans="1:2" ht="15" customHeight="1" x14ac:dyDescent="0.3">
      <c r="A5481" t="s">
        <v>9725</v>
      </c>
      <c r="B5481">
        <f t="shared" si="1212"/>
        <v>25</v>
      </c>
    </row>
    <row r="5482" spans="1:2" ht="15" customHeight="1" x14ac:dyDescent="0.3">
      <c r="A5482" t="s">
        <v>9726</v>
      </c>
      <c r="B5482">
        <f t="shared" si="1212"/>
        <v>25</v>
      </c>
    </row>
    <row r="5483" spans="1:2" ht="15" customHeight="1" x14ac:dyDescent="0.3">
      <c r="A5483" t="s">
        <v>9727</v>
      </c>
      <c r="B5483">
        <f t="shared" si="1212"/>
        <v>25</v>
      </c>
    </row>
    <row r="5484" spans="1:2" ht="15" customHeight="1" x14ac:dyDescent="0.3">
      <c r="A5484" t="s">
        <v>9728</v>
      </c>
      <c r="B5484">
        <f t="shared" si="1212"/>
        <v>25</v>
      </c>
    </row>
    <row r="5485" spans="1:2" ht="15" customHeight="1" x14ac:dyDescent="0.3">
      <c r="A5485" t="s">
        <v>9729</v>
      </c>
      <c r="B5485">
        <f t="shared" si="1212"/>
        <v>25</v>
      </c>
    </row>
    <row r="5486" spans="1:2" ht="15" customHeight="1" x14ac:dyDescent="0.3">
      <c r="A5486" t="s">
        <v>9730</v>
      </c>
      <c r="B5486">
        <f t="shared" si="1212"/>
        <v>25</v>
      </c>
    </row>
    <row r="5487" spans="1:2" ht="15" customHeight="1" x14ac:dyDescent="0.3">
      <c r="A5487" t="s">
        <v>9731</v>
      </c>
      <c r="B5487">
        <f t="shared" si="1212"/>
        <v>25</v>
      </c>
    </row>
    <row r="5488" spans="1:2" ht="15" customHeight="1" x14ac:dyDescent="0.3">
      <c r="A5488" t="s">
        <v>9732</v>
      </c>
      <c r="B5488">
        <f t="shared" si="1212"/>
        <v>35</v>
      </c>
    </row>
    <row r="5489" spans="1:2" ht="15" customHeight="1" x14ac:dyDescent="0.3">
      <c r="A5489" t="s">
        <v>9733</v>
      </c>
      <c r="B5489">
        <f t="shared" si="1212"/>
        <v>30</v>
      </c>
    </row>
    <row r="5490" spans="1:2" ht="15" customHeight="1" x14ac:dyDescent="0.3">
      <c r="A5490" t="s">
        <v>9734</v>
      </c>
      <c r="B5490">
        <f t="shared" si="1212"/>
        <v>25</v>
      </c>
    </row>
    <row r="5491" spans="1:2" ht="15" customHeight="1" x14ac:dyDescent="0.3">
      <c r="A5491" t="s">
        <v>9735</v>
      </c>
      <c r="B5491">
        <f t="shared" si="1212"/>
        <v>25</v>
      </c>
    </row>
    <row r="5492" spans="1:2" ht="15" customHeight="1" x14ac:dyDescent="0.3">
      <c r="A5492" t="s">
        <v>9736</v>
      </c>
      <c r="B5492">
        <f t="shared" si="1212"/>
        <v>25</v>
      </c>
    </row>
    <row r="5493" spans="1:2" ht="15" customHeight="1" x14ac:dyDescent="0.3">
      <c r="A5493" t="s">
        <v>9737</v>
      </c>
      <c r="B5493">
        <f t="shared" si="1212"/>
        <v>25</v>
      </c>
    </row>
    <row r="5494" spans="1:2" ht="15" customHeight="1" x14ac:dyDescent="0.3">
      <c r="A5494" t="s">
        <v>9738</v>
      </c>
      <c r="B5494">
        <f t="shared" si="1212"/>
        <v>25</v>
      </c>
    </row>
    <row r="5495" spans="1:2" ht="15" customHeight="1" x14ac:dyDescent="0.3">
      <c r="A5495" t="s">
        <v>9739</v>
      </c>
      <c r="B5495">
        <f t="shared" si="1212"/>
        <v>25</v>
      </c>
    </row>
    <row r="5496" spans="1:2" ht="15" customHeight="1" x14ac:dyDescent="0.3">
      <c r="A5496" t="s">
        <v>9740</v>
      </c>
      <c r="B5496">
        <f t="shared" si="1212"/>
        <v>25</v>
      </c>
    </row>
    <row r="5497" spans="1:2" ht="15" customHeight="1" x14ac:dyDescent="0.3">
      <c r="A5497" t="s">
        <v>9741</v>
      </c>
      <c r="B5497">
        <f t="shared" si="1212"/>
        <v>30</v>
      </c>
    </row>
    <row r="5498" spans="1:2" ht="15" customHeight="1" x14ac:dyDescent="0.3">
      <c r="A5498" t="s">
        <v>9742</v>
      </c>
      <c r="B5498">
        <f t="shared" si="1212"/>
        <v>65</v>
      </c>
    </row>
    <row r="5499" spans="1:2" ht="15" customHeight="1" x14ac:dyDescent="0.3">
      <c r="A5499" t="s">
        <v>9743</v>
      </c>
      <c r="B5499">
        <f t="shared" si="1212"/>
        <v>65</v>
      </c>
    </row>
    <row r="5500" spans="1:2" ht="15" customHeight="1" x14ac:dyDescent="0.3">
      <c r="A5500" t="s">
        <v>9744</v>
      </c>
      <c r="B5500">
        <f t="shared" si="1212"/>
        <v>65</v>
      </c>
    </row>
    <row r="5501" spans="1:2" ht="15" customHeight="1" x14ac:dyDescent="0.3">
      <c r="A5501" t="s">
        <v>9745</v>
      </c>
      <c r="B5501">
        <f t="shared" si="1212"/>
        <v>30</v>
      </c>
    </row>
    <row r="5502" spans="1:2" ht="15" customHeight="1" x14ac:dyDescent="0.3">
      <c r="A5502" t="s">
        <v>9746</v>
      </c>
      <c r="B5502">
        <f t="shared" si="1212"/>
        <v>30</v>
      </c>
    </row>
    <row r="5503" spans="1:2" ht="15" customHeight="1" x14ac:dyDescent="0.3">
      <c r="A5503" t="s">
        <v>9747</v>
      </c>
      <c r="B5503">
        <f t="shared" ref="B5503:B5524" si="1213">B8725</f>
        <v>55</v>
      </c>
    </row>
    <row r="5504" spans="1:2" ht="15" customHeight="1" x14ac:dyDescent="0.3">
      <c r="A5504" t="s">
        <v>9748</v>
      </c>
      <c r="B5504">
        <f t="shared" si="1213"/>
        <v>50</v>
      </c>
    </row>
    <row r="5505" spans="1:2" ht="15" customHeight="1" x14ac:dyDescent="0.3">
      <c r="A5505" t="s">
        <v>9749</v>
      </c>
      <c r="B5505">
        <f t="shared" si="1213"/>
        <v>70</v>
      </c>
    </row>
    <row r="5506" spans="1:2" ht="15" customHeight="1" x14ac:dyDescent="0.3">
      <c r="A5506" t="s">
        <v>9750</v>
      </c>
      <c r="B5506">
        <f t="shared" si="1213"/>
        <v>65</v>
      </c>
    </row>
    <row r="5507" spans="1:2" ht="15" customHeight="1" x14ac:dyDescent="0.3">
      <c r="A5507" t="s">
        <v>9751</v>
      </c>
      <c r="B5507">
        <f t="shared" si="1213"/>
        <v>50</v>
      </c>
    </row>
    <row r="5508" spans="1:2" ht="15" customHeight="1" x14ac:dyDescent="0.3">
      <c r="A5508" t="s">
        <v>9752</v>
      </c>
      <c r="B5508">
        <f t="shared" si="1213"/>
        <v>30</v>
      </c>
    </row>
    <row r="5509" spans="1:2" ht="15" customHeight="1" x14ac:dyDescent="0.3">
      <c r="A5509" t="s">
        <v>9753</v>
      </c>
      <c r="B5509">
        <f t="shared" si="1213"/>
        <v>30</v>
      </c>
    </row>
    <row r="5510" spans="1:2" ht="15" customHeight="1" x14ac:dyDescent="0.3">
      <c r="A5510" t="s">
        <v>9754</v>
      </c>
      <c r="B5510">
        <f t="shared" si="1213"/>
        <v>55</v>
      </c>
    </row>
    <row r="5511" spans="1:2" ht="15" customHeight="1" x14ac:dyDescent="0.3">
      <c r="A5511" t="s">
        <v>9755</v>
      </c>
      <c r="B5511">
        <f t="shared" si="1213"/>
        <v>25</v>
      </c>
    </row>
    <row r="5512" spans="1:2" ht="15" customHeight="1" x14ac:dyDescent="0.3">
      <c r="A5512" t="s">
        <v>9756</v>
      </c>
      <c r="B5512">
        <f t="shared" si="1213"/>
        <v>30</v>
      </c>
    </row>
    <row r="5513" spans="1:2" ht="15" customHeight="1" x14ac:dyDescent="0.3">
      <c r="A5513" t="s">
        <v>9757</v>
      </c>
      <c r="B5513">
        <f t="shared" si="1213"/>
        <v>30</v>
      </c>
    </row>
    <row r="5514" spans="1:2" ht="15" customHeight="1" x14ac:dyDescent="0.3">
      <c r="A5514" t="s">
        <v>9758</v>
      </c>
      <c r="B5514">
        <f t="shared" si="1213"/>
        <v>25</v>
      </c>
    </row>
    <row r="5515" spans="1:2" ht="15" customHeight="1" x14ac:dyDescent="0.3">
      <c r="A5515" t="s">
        <v>9759</v>
      </c>
      <c r="B5515">
        <f t="shared" si="1213"/>
        <v>25</v>
      </c>
    </row>
    <row r="5516" spans="1:2" ht="15" customHeight="1" x14ac:dyDescent="0.3">
      <c r="A5516" t="s">
        <v>9760</v>
      </c>
      <c r="B5516">
        <f t="shared" si="1213"/>
        <v>25</v>
      </c>
    </row>
    <row r="5517" spans="1:2" ht="15" customHeight="1" x14ac:dyDescent="0.3">
      <c r="A5517" t="s">
        <v>9761</v>
      </c>
      <c r="B5517">
        <f t="shared" si="1213"/>
        <v>25</v>
      </c>
    </row>
    <row r="5518" spans="1:2" ht="15" customHeight="1" x14ac:dyDescent="0.3">
      <c r="A5518" t="s">
        <v>9762</v>
      </c>
      <c r="B5518">
        <f t="shared" si="1213"/>
        <v>25</v>
      </c>
    </row>
    <row r="5519" spans="1:2" ht="15" customHeight="1" x14ac:dyDescent="0.3">
      <c r="A5519" t="s">
        <v>9763</v>
      </c>
      <c r="B5519">
        <f t="shared" si="1213"/>
        <v>25</v>
      </c>
    </row>
    <row r="5520" spans="1:2" ht="15" customHeight="1" x14ac:dyDescent="0.3">
      <c r="A5520" t="s">
        <v>9764</v>
      </c>
      <c r="B5520">
        <f t="shared" si="1213"/>
        <v>25</v>
      </c>
    </row>
    <row r="5521" spans="1:2" ht="15" customHeight="1" x14ac:dyDescent="0.3">
      <c r="A5521" t="s">
        <v>9765</v>
      </c>
      <c r="B5521">
        <f t="shared" si="1213"/>
        <v>45</v>
      </c>
    </row>
    <row r="5522" spans="1:2" ht="15" customHeight="1" x14ac:dyDescent="0.3">
      <c r="A5522" t="s">
        <v>9766</v>
      </c>
      <c r="B5522">
        <f t="shared" si="1213"/>
        <v>35</v>
      </c>
    </row>
    <row r="5523" spans="1:2" ht="15" customHeight="1" x14ac:dyDescent="0.3">
      <c r="A5523" t="s">
        <v>9767</v>
      </c>
      <c r="B5523">
        <f t="shared" si="1213"/>
        <v>35</v>
      </c>
    </row>
    <row r="5524" spans="1:2" ht="15" customHeight="1" x14ac:dyDescent="0.3">
      <c r="A5524" t="s">
        <v>9768</v>
      </c>
      <c r="B5524">
        <f t="shared" si="1213"/>
        <v>55</v>
      </c>
    </row>
    <row r="5525" spans="1:2" ht="15" customHeight="1" x14ac:dyDescent="0.3">
      <c r="A5525" t="s">
        <v>9769</v>
      </c>
      <c r="B5525">
        <f>B8440</f>
        <v>45</v>
      </c>
    </row>
    <row r="5526" spans="1:2" ht="15" customHeight="1" x14ac:dyDescent="0.3">
      <c r="A5526" t="s">
        <v>9770</v>
      </c>
      <c r="B5526">
        <f>B8443</f>
        <v>50</v>
      </c>
    </row>
    <row r="5527" spans="1:2" ht="15" customHeight="1" x14ac:dyDescent="0.3">
      <c r="A5527" t="s">
        <v>9771</v>
      </c>
      <c r="B5527">
        <f>B8446</f>
        <v>55</v>
      </c>
    </row>
    <row r="5528" spans="1:2" ht="15" customHeight="1" x14ac:dyDescent="0.3">
      <c r="A5528" t="s">
        <v>9772</v>
      </c>
      <c r="B5528" t="e">
        <f>B8449</f>
        <v>#REF!</v>
      </c>
    </row>
    <row r="5529" spans="1:2" ht="15" customHeight="1" x14ac:dyDescent="0.3">
      <c r="A5529" t="s">
        <v>9773</v>
      </c>
      <c r="B5529" t="e">
        <f>B8452</f>
        <v>#REF!</v>
      </c>
    </row>
    <row r="5530" spans="1:2" ht="15" customHeight="1" x14ac:dyDescent="0.3">
      <c r="A5530" t="s">
        <v>9774</v>
      </c>
      <c r="B5530">
        <f>B8455</f>
        <v>45</v>
      </c>
    </row>
    <row r="5531" spans="1:2" ht="15" customHeight="1" x14ac:dyDescent="0.3">
      <c r="A5531" t="s">
        <v>9775</v>
      </c>
      <c r="B5531">
        <f>B8458</f>
        <v>50</v>
      </c>
    </row>
    <row r="5532" spans="1:2" ht="15" customHeight="1" x14ac:dyDescent="0.3">
      <c r="A5532" t="s">
        <v>9776</v>
      </c>
      <c r="B5532">
        <f>B8461</f>
        <v>70</v>
      </c>
    </row>
    <row r="5533" spans="1:2" ht="15" customHeight="1" x14ac:dyDescent="0.3">
      <c r="A5533" t="s">
        <v>9777</v>
      </c>
      <c r="B5533">
        <f>B8464</f>
        <v>70</v>
      </c>
    </row>
    <row r="5534" spans="1:2" ht="15" customHeight="1" x14ac:dyDescent="0.3">
      <c r="A5534" t="s">
        <v>9778</v>
      </c>
      <c r="B5534">
        <f>B8467</f>
        <v>60</v>
      </c>
    </row>
    <row r="5535" spans="1:2" ht="15" customHeight="1" x14ac:dyDescent="0.3">
      <c r="A5535" t="s">
        <v>9779</v>
      </c>
      <c r="B5535">
        <f>B8470</f>
        <v>80</v>
      </c>
    </row>
    <row r="5536" spans="1:2" ht="15" customHeight="1" x14ac:dyDescent="0.3">
      <c r="A5536" t="s">
        <v>9780</v>
      </c>
      <c r="B5536">
        <f>B8473</f>
        <v>90</v>
      </c>
    </row>
    <row r="5537" spans="1:2" ht="15" customHeight="1" x14ac:dyDescent="0.3">
      <c r="A5537" t="s">
        <v>9781</v>
      </c>
      <c r="B5537">
        <f>B8476</f>
        <v>150</v>
      </c>
    </row>
    <row r="5538" spans="1:2" ht="15" customHeight="1" x14ac:dyDescent="0.3">
      <c r="A5538" t="s">
        <v>9782</v>
      </c>
      <c r="B5538">
        <f>B8479</f>
        <v>150</v>
      </c>
    </row>
    <row r="5539" spans="1:2" ht="15" customHeight="1" x14ac:dyDescent="0.3">
      <c r="A5539" t="s">
        <v>9783</v>
      </c>
      <c r="B5539">
        <f>B8482</f>
        <v>190</v>
      </c>
    </row>
    <row r="5540" spans="1:2" ht="15" customHeight="1" x14ac:dyDescent="0.3">
      <c r="A5540" t="s">
        <v>9784</v>
      </c>
      <c r="B5540">
        <f>B8399</f>
        <v>25</v>
      </c>
    </row>
    <row r="5541" spans="1:2" ht="15" customHeight="1" x14ac:dyDescent="0.3">
      <c r="A5541" t="s">
        <v>9785</v>
      </c>
      <c r="B5541">
        <f>B8402</f>
        <v>25</v>
      </c>
    </row>
    <row r="5542" spans="1:2" ht="15" customHeight="1" x14ac:dyDescent="0.3">
      <c r="A5542" t="s">
        <v>9786</v>
      </c>
      <c r="B5542">
        <f>B8405</f>
        <v>25</v>
      </c>
    </row>
    <row r="5543" spans="1:2" ht="15" customHeight="1" x14ac:dyDescent="0.3">
      <c r="A5543" t="s">
        <v>9787</v>
      </c>
      <c r="B5543">
        <f>B8408</f>
        <v>30</v>
      </c>
    </row>
    <row r="5544" spans="1:2" ht="15" customHeight="1" x14ac:dyDescent="0.3">
      <c r="A5544" t="s">
        <v>9788</v>
      </c>
      <c r="B5544">
        <f>B8411</f>
        <v>30</v>
      </c>
    </row>
    <row r="5545" spans="1:2" ht="15" customHeight="1" x14ac:dyDescent="0.3">
      <c r="A5545" t="s">
        <v>9789</v>
      </c>
      <c r="B5545">
        <f>B8414</f>
        <v>30</v>
      </c>
    </row>
    <row r="5546" spans="1:2" ht="15" customHeight="1" x14ac:dyDescent="0.3">
      <c r="A5546" t="s">
        <v>9790</v>
      </c>
      <c r="B5546">
        <f>B8417</f>
        <v>30</v>
      </c>
    </row>
    <row r="5547" spans="1:2" ht="15" customHeight="1" x14ac:dyDescent="0.3">
      <c r="A5547" t="s">
        <v>9791</v>
      </c>
      <c r="B5547">
        <f>B8420</f>
        <v>35</v>
      </c>
    </row>
    <row r="5548" spans="1:2" ht="15" customHeight="1" x14ac:dyDescent="0.3">
      <c r="A5548" t="s">
        <v>9792</v>
      </c>
      <c r="B5548">
        <f>B8429</f>
        <v>35</v>
      </c>
    </row>
    <row r="5549" spans="1:2" ht="15" customHeight="1" x14ac:dyDescent="0.3">
      <c r="A5549" t="s">
        <v>9793</v>
      </c>
      <c r="B5549">
        <f>B8437</f>
        <v>35</v>
      </c>
    </row>
    <row r="5550" spans="1:2" ht="15" customHeight="1" x14ac:dyDescent="0.3">
      <c r="A5550" t="s">
        <v>9794</v>
      </c>
      <c r="B5550">
        <f>B8432</f>
        <v>35</v>
      </c>
    </row>
    <row r="5551" spans="1:2" ht="15" customHeight="1" x14ac:dyDescent="0.3">
      <c r="A5551" t="s">
        <v>9795</v>
      </c>
      <c r="B5551">
        <f>B8435</f>
        <v>45</v>
      </c>
    </row>
    <row r="5552" spans="1:2" ht="15" customHeight="1" x14ac:dyDescent="0.3">
      <c r="A5552" t="s">
        <v>9796</v>
      </c>
      <c r="B5552">
        <f>B8486</f>
        <v>25</v>
      </c>
    </row>
    <row r="5553" spans="1:2" ht="15" customHeight="1" x14ac:dyDescent="0.3">
      <c r="A5553" t="s">
        <v>9797</v>
      </c>
      <c r="B5553">
        <f t="shared" ref="B5553:B5572" si="1214">B8486</f>
        <v>25</v>
      </c>
    </row>
    <row r="5554" spans="1:2" ht="15" customHeight="1" x14ac:dyDescent="0.3">
      <c r="A5554" t="s">
        <v>9798</v>
      </c>
      <c r="B5554">
        <f t="shared" si="1214"/>
        <v>25</v>
      </c>
    </row>
    <row r="5555" spans="1:2" ht="15" customHeight="1" x14ac:dyDescent="0.3">
      <c r="A5555" t="s">
        <v>9799</v>
      </c>
      <c r="B5555">
        <f t="shared" si="1214"/>
        <v>25</v>
      </c>
    </row>
    <row r="5556" spans="1:2" ht="15" customHeight="1" x14ac:dyDescent="0.3">
      <c r="A5556" t="s">
        <v>9800</v>
      </c>
      <c r="B5556">
        <f t="shared" si="1214"/>
        <v>25</v>
      </c>
    </row>
    <row r="5557" spans="1:2" ht="15" customHeight="1" x14ac:dyDescent="0.3">
      <c r="A5557" t="s">
        <v>9801</v>
      </c>
      <c r="B5557">
        <f t="shared" si="1214"/>
        <v>25</v>
      </c>
    </row>
    <row r="5558" spans="1:2" ht="15" customHeight="1" x14ac:dyDescent="0.3">
      <c r="A5558" t="s">
        <v>9802</v>
      </c>
      <c r="B5558">
        <f t="shared" si="1214"/>
        <v>25</v>
      </c>
    </row>
    <row r="5559" spans="1:2" ht="15" customHeight="1" x14ac:dyDescent="0.3">
      <c r="A5559" t="s">
        <v>9803</v>
      </c>
      <c r="B5559">
        <f t="shared" si="1214"/>
        <v>25</v>
      </c>
    </row>
    <row r="5560" spans="1:2" ht="15" customHeight="1" x14ac:dyDescent="0.3">
      <c r="A5560" t="s">
        <v>9804</v>
      </c>
      <c r="B5560">
        <f t="shared" si="1214"/>
        <v>30</v>
      </c>
    </row>
    <row r="5561" spans="1:2" ht="15" customHeight="1" x14ac:dyDescent="0.3">
      <c r="A5561" t="s">
        <v>9805</v>
      </c>
      <c r="B5561">
        <f t="shared" si="1214"/>
        <v>55</v>
      </c>
    </row>
    <row r="5562" spans="1:2" ht="15" customHeight="1" x14ac:dyDescent="0.3">
      <c r="A5562" t="s">
        <v>9806</v>
      </c>
      <c r="B5562">
        <f t="shared" si="1214"/>
        <v>25</v>
      </c>
    </row>
    <row r="5563" spans="1:2" ht="15" customHeight="1" x14ac:dyDescent="0.3">
      <c r="A5563" t="s">
        <v>9807</v>
      </c>
      <c r="B5563">
        <f t="shared" si="1214"/>
        <v>25</v>
      </c>
    </row>
    <row r="5564" spans="1:2" ht="15" customHeight="1" x14ac:dyDescent="0.3">
      <c r="A5564" t="s">
        <v>9808</v>
      </c>
      <c r="B5564">
        <f t="shared" si="1214"/>
        <v>25</v>
      </c>
    </row>
    <row r="5565" spans="1:2" ht="15" customHeight="1" x14ac:dyDescent="0.3">
      <c r="A5565" t="s">
        <v>9809</v>
      </c>
      <c r="B5565">
        <f t="shared" si="1214"/>
        <v>25</v>
      </c>
    </row>
    <row r="5566" spans="1:2" ht="15" customHeight="1" x14ac:dyDescent="0.3">
      <c r="A5566" t="s">
        <v>9810</v>
      </c>
      <c r="B5566">
        <f t="shared" si="1214"/>
        <v>30</v>
      </c>
    </row>
    <row r="5567" spans="1:2" ht="15" customHeight="1" x14ac:dyDescent="0.3">
      <c r="A5567" t="s">
        <v>9811</v>
      </c>
      <c r="B5567">
        <f t="shared" si="1214"/>
        <v>30</v>
      </c>
    </row>
    <row r="5568" spans="1:2" ht="15" customHeight="1" x14ac:dyDescent="0.3">
      <c r="A5568" t="s">
        <v>9812</v>
      </c>
      <c r="B5568">
        <f t="shared" si="1214"/>
        <v>30</v>
      </c>
    </row>
    <row r="5569" spans="1:2" ht="15" customHeight="1" x14ac:dyDescent="0.3">
      <c r="A5569" t="s">
        <v>9813</v>
      </c>
      <c r="B5569">
        <f t="shared" si="1214"/>
        <v>25</v>
      </c>
    </row>
    <row r="5570" spans="1:2" ht="15" customHeight="1" x14ac:dyDescent="0.3">
      <c r="A5570" t="s">
        <v>9814</v>
      </c>
      <c r="B5570">
        <f t="shared" si="1214"/>
        <v>30</v>
      </c>
    </row>
    <row r="5571" spans="1:2" ht="15" customHeight="1" x14ac:dyDescent="0.3">
      <c r="A5571" t="s">
        <v>9815</v>
      </c>
      <c r="B5571">
        <f t="shared" si="1214"/>
        <v>30</v>
      </c>
    </row>
    <row r="5572" spans="1:2" ht="15" customHeight="1" x14ac:dyDescent="0.3">
      <c r="A5572" t="s">
        <v>9816</v>
      </c>
      <c r="B5572">
        <f t="shared" si="1214"/>
        <v>25</v>
      </c>
    </row>
    <row r="5573" spans="1:2" ht="15" customHeight="1" x14ac:dyDescent="0.3">
      <c r="A5573" t="s">
        <v>9817</v>
      </c>
      <c r="B5573">
        <f t="shared" ref="B5573:B5582" si="1215">B8511</f>
        <v>25</v>
      </c>
    </row>
    <row r="5574" spans="1:2" ht="15" customHeight="1" x14ac:dyDescent="0.3">
      <c r="A5574" t="s">
        <v>9818</v>
      </c>
      <c r="B5574">
        <f t="shared" si="1215"/>
        <v>25</v>
      </c>
    </row>
    <row r="5575" spans="1:2" ht="15" customHeight="1" x14ac:dyDescent="0.3">
      <c r="A5575" t="s">
        <v>9819</v>
      </c>
      <c r="B5575">
        <f t="shared" si="1215"/>
        <v>25</v>
      </c>
    </row>
    <row r="5576" spans="1:2" ht="15" customHeight="1" x14ac:dyDescent="0.3">
      <c r="A5576" t="s">
        <v>9820</v>
      </c>
      <c r="B5576">
        <f t="shared" si="1215"/>
        <v>25</v>
      </c>
    </row>
    <row r="5577" spans="1:2" ht="15" customHeight="1" x14ac:dyDescent="0.3">
      <c r="A5577" t="s">
        <v>9821</v>
      </c>
      <c r="B5577">
        <f t="shared" si="1215"/>
        <v>25</v>
      </c>
    </row>
    <row r="5578" spans="1:2" ht="15" customHeight="1" x14ac:dyDescent="0.3">
      <c r="A5578" t="s">
        <v>9822</v>
      </c>
      <c r="B5578">
        <f t="shared" si="1215"/>
        <v>25</v>
      </c>
    </row>
    <row r="5579" spans="1:2" ht="15" customHeight="1" x14ac:dyDescent="0.3">
      <c r="A5579" t="s">
        <v>9823</v>
      </c>
      <c r="B5579">
        <f t="shared" si="1215"/>
        <v>25</v>
      </c>
    </row>
    <row r="5580" spans="1:2" ht="15" customHeight="1" x14ac:dyDescent="0.3">
      <c r="A5580" t="s">
        <v>9824</v>
      </c>
      <c r="B5580">
        <f t="shared" si="1215"/>
        <v>30</v>
      </c>
    </row>
    <row r="5581" spans="1:2" ht="15" customHeight="1" x14ac:dyDescent="0.3">
      <c r="A5581" t="s">
        <v>9825</v>
      </c>
      <c r="B5581">
        <f t="shared" si="1215"/>
        <v>30</v>
      </c>
    </row>
    <row r="5582" spans="1:2" ht="15" customHeight="1" x14ac:dyDescent="0.3">
      <c r="A5582" t="s">
        <v>9826</v>
      </c>
      <c r="B5582">
        <f t="shared" si="1215"/>
        <v>30</v>
      </c>
    </row>
    <row r="5583" spans="1:2" ht="15" customHeight="1" x14ac:dyDescent="0.3">
      <c r="A5583" t="s">
        <v>9827</v>
      </c>
      <c r="B5583">
        <f>B8526</f>
        <v>25</v>
      </c>
    </row>
    <row r="5584" spans="1:2" ht="15" customHeight="1" x14ac:dyDescent="0.3">
      <c r="A5584" t="s">
        <v>9828</v>
      </c>
      <c r="B5584">
        <f>B8526</f>
        <v>25</v>
      </c>
    </row>
    <row r="5585" spans="1:2" ht="15" customHeight="1" x14ac:dyDescent="0.3">
      <c r="A5585" t="s">
        <v>9829</v>
      </c>
      <c r="B5585">
        <f>B8527</f>
        <v>30</v>
      </c>
    </row>
    <row r="5586" spans="1:2" ht="15" customHeight="1" x14ac:dyDescent="0.3">
      <c r="A5586" t="s">
        <v>9830</v>
      </c>
      <c r="B5586">
        <f>B8528</f>
        <v>35</v>
      </c>
    </row>
    <row r="5587" spans="1:2" ht="15" customHeight="1" x14ac:dyDescent="0.3">
      <c r="A5587" t="s">
        <v>9831</v>
      </c>
      <c r="B5587">
        <f>B8529</f>
        <v>25</v>
      </c>
    </row>
    <row r="5588" spans="1:2" ht="15" customHeight="1" x14ac:dyDescent="0.3">
      <c r="A5588" t="s">
        <v>9832</v>
      </c>
      <c r="B5588">
        <f>B8534</f>
        <v>25</v>
      </c>
    </row>
    <row r="5589" spans="1:2" ht="15" customHeight="1" x14ac:dyDescent="0.3">
      <c r="A5589" t="s">
        <v>9833</v>
      </c>
      <c r="B5589">
        <f>B8535</f>
        <v>25</v>
      </c>
    </row>
    <row r="5590" spans="1:2" ht="15" customHeight="1" x14ac:dyDescent="0.3">
      <c r="A5590" t="s">
        <v>9834</v>
      </c>
      <c r="B5590">
        <f>B8536</f>
        <v>25</v>
      </c>
    </row>
    <row r="5591" spans="1:2" ht="15" customHeight="1" x14ac:dyDescent="0.3">
      <c r="A5591" t="s">
        <v>9835</v>
      </c>
      <c r="B5591">
        <f>B8537</f>
        <v>25</v>
      </c>
    </row>
    <row r="5592" spans="1:2" ht="15" customHeight="1" x14ac:dyDescent="0.3">
      <c r="A5592" t="s">
        <v>9836</v>
      </c>
      <c r="B5592">
        <f t="shared" ref="B5592:B5598" si="1216">B8542</f>
        <v>30</v>
      </c>
    </row>
    <row r="5593" spans="1:2" ht="15" customHeight="1" x14ac:dyDescent="0.3">
      <c r="A5593" t="s">
        <v>9837</v>
      </c>
      <c r="B5593">
        <f t="shared" si="1216"/>
        <v>25</v>
      </c>
    </row>
    <row r="5594" spans="1:2" ht="15" customHeight="1" x14ac:dyDescent="0.3">
      <c r="A5594" t="s">
        <v>9838</v>
      </c>
      <c r="B5594">
        <f t="shared" si="1216"/>
        <v>30</v>
      </c>
    </row>
    <row r="5595" spans="1:2" ht="15" customHeight="1" x14ac:dyDescent="0.3">
      <c r="A5595" t="s">
        <v>9839</v>
      </c>
      <c r="B5595">
        <f t="shared" si="1216"/>
        <v>30</v>
      </c>
    </row>
    <row r="5596" spans="1:2" ht="15" customHeight="1" x14ac:dyDescent="0.3">
      <c r="A5596" t="s">
        <v>9840</v>
      </c>
      <c r="B5596">
        <f t="shared" si="1216"/>
        <v>25</v>
      </c>
    </row>
    <row r="5597" spans="1:2" ht="15" customHeight="1" x14ac:dyDescent="0.3">
      <c r="A5597" t="s">
        <v>9841</v>
      </c>
      <c r="B5597">
        <f t="shared" si="1216"/>
        <v>30</v>
      </c>
    </row>
    <row r="5598" spans="1:2" ht="15" customHeight="1" x14ac:dyDescent="0.3">
      <c r="A5598" t="s">
        <v>9842</v>
      </c>
      <c r="B5598">
        <f t="shared" si="1216"/>
        <v>30</v>
      </c>
    </row>
    <row r="5599" spans="1:2" ht="15" customHeight="1" x14ac:dyDescent="0.3">
      <c r="A5599" t="s">
        <v>9843</v>
      </c>
      <c r="B5599">
        <f t="shared" ref="B5599:B5607" si="1217">B8559</f>
        <v>25</v>
      </c>
    </row>
    <row r="5600" spans="1:2" ht="15" customHeight="1" x14ac:dyDescent="0.3">
      <c r="A5600" t="s">
        <v>9844</v>
      </c>
      <c r="B5600">
        <f t="shared" si="1217"/>
        <v>25</v>
      </c>
    </row>
    <row r="5601" spans="1:2" ht="15" customHeight="1" x14ac:dyDescent="0.3">
      <c r="A5601" t="s">
        <v>9845</v>
      </c>
      <c r="B5601">
        <f t="shared" si="1217"/>
        <v>25</v>
      </c>
    </row>
    <row r="5602" spans="1:2" ht="15" customHeight="1" x14ac:dyDescent="0.3">
      <c r="A5602" t="s">
        <v>9846</v>
      </c>
      <c r="B5602">
        <f t="shared" si="1217"/>
        <v>25</v>
      </c>
    </row>
    <row r="5603" spans="1:2" ht="15" customHeight="1" x14ac:dyDescent="0.3">
      <c r="A5603" t="s">
        <v>9847</v>
      </c>
      <c r="B5603">
        <f t="shared" si="1217"/>
        <v>30</v>
      </c>
    </row>
    <row r="5604" spans="1:2" ht="15" customHeight="1" x14ac:dyDescent="0.3">
      <c r="A5604" t="s">
        <v>9848</v>
      </c>
      <c r="B5604">
        <f t="shared" si="1217"/>
        <v>25</v>
      </c>
    </row>
    <row r="5605" spans="1:2" ht="15" customHeight="1" x14ac:dyDescent="0.3">
      <c r="A5605" t="s">
        <v>9849</v>
      </c>
      <c r="B5605">
        <f t="shared" si="1217"/>
        <v>25</v>
      </c>
    </row>
    <row r="5606" spans="1:2" ht="15" customHeight="1" x14ac:dyDescent="0.3">
      <c r="A5606" t="s">
        <v>9850</v>
      </c>
      <c r="B5606">
        <f t="shared" si="1217"/>
        <v>30</v>
      </c>
    </row>
    <row r="5607" spans="1:2" ht="15" customHeight="1" x14ac:dyDescent="0.3">
      <c r="A5607" t="s">
        <v>9851</v>
      </c>
      <c r="B5607">
        <f t="shared" si="1217"/>
        <v>30</v>
      </c>
    </row>
    <row r="5608" spans="1:2" ht="15" customHeight="1" x14ac:dyDescent="0.3">
      <c r="A5608" t="s">
        <v>9852</v>
      </c>
      <c r="B5608">
        <f t="shared" ref="B5608:B5628" si="1218">B8573</f>
        <v>25</v>
      </c>
    </row>
    <row r="5609" spans="1:2" ht="15" customHeight="1" x14ac:dyDescent="0.3">
      <c r="A5609" t="s">
        <v>9853</v>
      </c>
      <c r="B5609">
        <f t="shared" si="1218"/>
        <v>25</v>
      </c>
    </row>
    <row r="5610" spans="1:2" ht="15" customHeight="1" x14ac:dyDescent="0.3">
      <c r="A5610" t="s">
        <v>9854</v>
      </c>
      <c r="B5610">
        <f t="shared" si="1218"/>
        <v>25</v>
      </c>
    </row>
    <row r="5611" spans="1:2" ht="15" customHeight="1" x14ac:dyDescent="0.3">
      <c r="A5611" t="s">
        <v>9855</v>
      </c>
      <c r="B5611">
        <f t="shared" si="1218"/>
        <v>25</v>
      </c>
    </row>
    <row r="5612" spans="1:2" ht="15" customHeight="1" x14ac:dyDescent="0.3">
      <c r="A5612" t="s">
        <v>9856</v>
      </c>
      <c r="B5612">
        <f t="shared" si="1218"/>
        <v>25</v>
      </c>
    </row>
    <row r="5613" spans="1:2" ht="15" customHeight="1" x14ac:dyDescent="0.3">
      <c r="A5613" t="s">
        <v>9857</v>
      </c>
      <c r="B5613">
        <f t="shared" si="1218"/>
        <v>25</v>
      </c>
    </row>
    <row r="5614" spans="1:2" ht="15" customHeight="1" x14ac:dyDescent="0.3">
      <c r="A5614" t="s">
        <v>9858</v>
      </c>
      <c r="B5614">
        <f t="shared" si="1218"/>
        <v>25</v>
      </c>
    </row>
    <row r="5615" spans="1:2" ht="15" customHeight="1" x14ac:dyDescent="0.3">
      <c r="A5615" t="s">
        <v>9859</v>
      </c>
      <c r="B5615">
        <f t="shared" si="1218"/>
        <v>25</v>
      </c>
    </row>
    <row r="5616" spans="1:2" ht="15" customHeight="1" x14ac:dyDescent="0.3">
      <c r="A5616" t="s">
        <v>9860</v>
      </c>
      <c r="B5616">
        <f t="shared" si="1218"/>
        <v>25</v>
      </c>
    </row>
    <row r="5617" spans="1:2" ht="15" customHeight="1" x14ac:dyDescent="0.3">
      <c r="A5617" t="s">
        <v>9861</v>
      </c>
      <c r="B5617">
        <f t="shared" si="1218"/>
        <v>30</v>
      </c>
    </row>
    <row r="5618" spans="1:2" ht="15" customHeight="1" x14ac:dyDescent="0.3">
      <c r="A5618" t="s">
        <v>9862</v>
      </c>
      <c r="B5618">
        <f t="shared" si="1218"/>
        <v>25</v>
      </c>
    </row>
    <row r="5619" spans="1:2" ht="15" customHeight="1" x14ac:dyDescent="0.3">
      <c r="A5619" t="s">
        <v>9863</v>
      </c>
      <c r="B5619">
        <f t="shared" si="1218"/>
        <v>25</v>
      </c>
    </row>
    <row r="5620" spans="1:2" ht="15" customHeight="1" x14ac:dyDescent="0.3">
      <c r="A5620" t="s">
        <v>9864</v>
      </c>
      <c r="B5620">
        <f t="shared" si="1218"/>
        <v>25</v>
      </c>
    </row>
    <row r="5621" spans="1:2" ht="15" customHeight="1" x14ac:dyDescent="0.3">
      <c r="A5621" t="s">
        <v>9865</v>
      </c>
      <c r="B5621">
        <f t="shared" si="1218"/>
        <v>25</v>
      </c>
    </row>
    <row r="5622" spans="1:2" ht="15" customHeight="1" x14ac:dyDescent="0.3">
      <c r="A5622" t="s">
        <v>9866</v>
      </c>
      <c r="B5622">
        <f t="shared" si="1218"/>
        <v>30</v>
      </c>
    </row>
    <row r="5623" spans="1:2" ht="15" customHeight="1" x14ac:dyDescent="0.3">
      <c r="A5623" t="s">
        <v>9867</v>
      </c>
      <c r="B5623">
        <f t="shared" si="1218"/>
        <v>30</v>
      </c>
    </row>
    <row r="5624" spans="1:2" ht="15" customHeight="1" x14ac:dyDescent="0.3">
      <c r="A5624" t="s">
        <v>9868</v>
      </c>
      <c r="B5624">
        <f t="shared" si="1218"/>
        <v>25</v>
      </c>
    </row>
    <row r="5625" spans="1:2" ht="15" customHeight="1" x14ac:dyDescent="0.3">
      <c r="A5625" t="s">
        <v>9869</v>
      </c>
      <c r="B5625">
        <f t="shared" si="1218"/>
        <v>25</v>
      </c>
    </row>
    <row r="5626" spans="1:2" ht="15" customHeight="1" x14ac:dyDescent="0.3">
      <c r="A5626" t="s">
        <v>9870</v>
      </c>
      <c r="B5626">
        <f t="shared" si="1218"/>
        <v>25</v>
      </c>
    </row>
    <row r="5627" spans="1:2" ht="15" customHeight="1" x14ac:dyDescent="0.3">
      <c r="A5627" t="s">
        <v>9871</v>
      </c>
      <c r="B5627">
        <f t="shared" si="1218"/>
        <v>25</v>
      </c>
    </row>
    <row r="5628" spans="1:2" ht="15" customHeight="1" x14ac:dyDescent="0.3">
      <c r="A5628" t="s">
        <v>9872</v>
      </c>
      <c r="B5628">
        <f t="shared" si="1218"/>
        <v>25</v>
      </c>
    </row>
    <row r="5629" spans="1:2" ht="15" customHeight="1" x14ac:dyDescent="0.3">
      <c r="A5629" t="s">
        <v>9873</v>
      </c>
      <c r="B5629">
        <f>B8599</f>
        <v>25</v>
      </c>
    </row>
    <row r="5630" spans="1:2" ht="15" customHeight="1" x14ac:dyDescent="0.3">
      <c r="A5630" t="s">
        <v>9874</v>
      </c>
      <c r="B5630">
        <f t="shared" ref="B5630:B5636" si="1219">B8605</f>
        <v>25</v>
      </c>
    </row>
    <row r="5631" spans="1:2" ht="15" customHeight="1" x14ac:dyDescent="0.3">
      <c r="A5631" t="s">
        <v>9875</v>
      </c>
      <c r="B5631">
        <f t="shared" si="1219"/>
        <v>25</v>
      </c>
    </row>
    <row r="5632" spans="1:2" ht="15" customHeight="1" x14ac:dyDescent="0.3">
      <c r="A5632" t="s">
        <v>9876</v>
      </c>
      <c r="B5632">
        <f t="shared" si="1219"/>
        <v>25</v>
      </c>
    </row>
    <row r="5633" spans="1:2" ht="15" customHeight="1" x14ac:dyDescent="0.3">
      <c r="A5633" t="s">
        <v>9877</v>
      </c>
      <c r="B5633">
        <f t="shared" si="1219"/>
        <v>30</v>
      </c>
    </row>
    <row r="5634" spans="1:2" ht="15" customHeight="1" x14ac:dyDescent="0.3">
      <c r="A5634" t="s">
        <v>9878</v>
      </c>
      <c r="B5634">
        <f t="shared" si="1219"/>
        <v>30</v>
      </c>
    </row>
    <row r="5635" spans="1:2" ht="15" customHeight="1" x14ac:dyDescent="0.3">
      <c r="A5635" t="s">
        <v>9879</v>
      </c>
      <c r="B5635">
        <f t="shared" si="1219"/>
        <v>30</v>
      </c>
    </row>
    <row r="5636" spans="1:2" ht="15" customHeight="1" x14ac:dyDescent="0.3">
      <c r="A5636" t="s">
        <v>9880</v>
      </c>
      <c r="B5636">
        <f t="shared" si="1219"/>
        <v>30</v>
      </c>
    </row>
    <row r="5637" spans="1:2" ht="15" customHeight="1" x14ac:dyDescent="0.3">
      <c r="A5637" t="s">
        <v>9881</v>
      </c>
      <c r="B5637">
        <f t="shared" ref="B5637:B5662" si="1220">B8617</f>
        <v>25</v>
      </c>
    </row>
    <row r="5638" spans="1:2" ht="15" customHeight="1" x14ac:dyDescent="0.3">
      <c r="A5638" t="s">
        <v>9882</v>
      </c>
      <c r="B5638">
        <f t="shared" si="1220"/>
        <v>30</v>
      </c>
    </row>
    <row r="5639" spans="1:2" ht="15" customHeight="1" x14ac:dyDescent="0.3">
      <c r="A5639" t="s">
        <v>9883</v>
      </c>
      <c r="B5639">
        <f t="shared" si="1220"/>
        <v>30</v>
      </c>
    </row>
    <row r="5640" spans="1:2" ht="15" customHeight="1" x14ac:dyDescent="0.3">
      <c r="A5640" t="s">
        <v>9884</v>
      </c>
      <c r="B5640">
        <f t="shared" si="1220"/>
        <v>30</v>
      </c>
    </row>
    <row r="5641" spans="1:2" ht="15" customHeight="1" x14ac:dyDescent="0.3">
      <c r="A5641" t="s">
        <v>9885</v>
      </c>
      <c r="B5641">
        <f t="shared" si="1220"/>
        <v>30</v>
      </c>
    </row>
    <row r="5642" spans="1:2" ht="15" customHeight="1" x14ac:dyDescent="0.3">
      <c r="A5642" t="s">
        <v>9886</v>
      </c>
      <c r="B5642">
        <f t="shared" si="1220"/>
        <v>25</v>
      </c>
    </row>
    <row r="5643" spans="1:2" ht="15" customHeight="1" x14ac:dyDescent="0.3">
      <c r="A5643" t="s">
        <v>9887</v>
      </c>
      <c r="B5643">
        <f t="shared" si="1220"/>
        <v>25</v>
      </c>
    </row>
    <row r="5644" spans="1:2" ht="15" customHeight="1" x14ac:dyDescent="0.3">
      <c r="A5644" t="s">
        <v>9888</v>
      </c>
      <c r="B5644">
        <f t="shared" si="1220"/>
        <v>25</v>
      </c>
    </row>
    <row r="5645" spans="1:2" ht="15" customHeight="1" x14ac:dyDescent="0.3">
      <c r="A5645" t="s">
        <v>9889</v>
      </c>
      <c r="B5645">
        <f t="shared" si="1220"/>
        <v>25</v>
      </c>
    </row>
    <row r="5646" spans="1:2" ht="15" customHeight="1" x14ac:dyDescent="0.3">
      <c r="A5646" t="s">
        <v>9890</v>
      </c>
      <c r="B5646">
        <f t="shared" si="1220"/>
        <v>30</v>
      </c>
    </row>
    <row r="5647" spans="1:2" ht="15" customHeight="1" x14ac:dyDescent="0.3">
      <c r="A5647" t="s">
        <v>9891</v>
      </c>
      <c r="B5647">
        <f t="shared" si="1220"/>
        <v>30</v>
      </c>
    </row>
    <row r="5648" spans="1:2" ht="15" customHeight="1" x14ac:dyDescent="0.3">
      <c r="A5648" t="s">
        <v>9892</v>
      </c>
      <c r="B5648">
        <f t="shared" si="1220"/>
        <v>30</v>
      </c>
    </row>
    <row r="5649" spans="1:2" ht="15" customHeight="1" x14ac:dyDescent="0.3">
      <c r="A5649" t="s">
        <v>9893</v>
      </c>
      <c r="B5649">
        <f t="shared" si="1220"/>
        <v>25</v>
      </c>
    </row>
    <row r="5650" spans="1:2" ht="15" customHeight="1" x14ac:dyDescent="0.3">
      <c r="A5650" t="s">
        <v>9894</v>
      </c>
      <c r="B5650">
        <f t="shared" si="1220"/>
        <v>25</v>
      </c>
    </row>
    <row r="5651" spans="1:2" ht="15" customHeight="1" x14ac:dyDescent="0.3">
      <c r="A5651" t="s">
        <v>9895</v>
      </c>
      <c r="B5651">
        <f t="shared" si="1220"/>
        <v>25</v>
      </c>
    </row>
    <row r="5652" spans="1:2" ht="15" customHeight="1" x14ac:dyDescent="0.3">
      <c r="A5652" t="s">
        <v>9896</v>
      </c>
      <c r="B5652">
        <f t="shared" si="1220"/>
        <v>25</v>
      </c>
    </row>
    <row r="5653" spans="1:2" ht="15" customHeight="1" x14ac:dyDescent="0.3">
      <c r="A5653" t="s">
        <v>9897</v>
      </c>
      <c r="B5653">
        <f t="shared" si="1220"/>
        <v>25</v>
      </c>
    </row>
    <row r="5654" spans="1:2" ht="15" customHeight="1" x14ac:dyDescent="0.3">
      <c r="A5654" t="s">
        <v>9898</v>
      </c>
      <c r="B5654">
        <f t="shared" si="1220"/>
        <v>30</v>
      </c>
    </row>
    <row r="5655" spans="1:2" ht="15" customHeight="1" x14ac:dyDescent="0.3">
      <c r="A5655" t="s">
        <v>9899</v>
      </c>
      <c r="B5655">
        <f t="shared" si="1220"/>
        <v>30</v>
      </c>
    </row>
    <row r="5656" spans="1:2" ht="15" customHeight="1" x14ac:dyDescent="0.3">
      <c r="A5656" t="s">
        <v>9900</v>
      </c>
      <c r="B5656">
        <f t="shared" si="1220"/>
        <v>30</v>
      </c>
    </row>
    <row r="5657" spans="1:2" ht="15" customHeight="1" x14ac:dyDescent="0.3">
      <c r="A5657" t="s">
        <v>9901</v>
      </c>
      <c r="B5657">
        <f t="shared" si="1220"/>
        <v>30</v>
      </c>
    </row>
    <row r="5658" spans="1:2" ht="15" customHeight="1" x14ac:dyDescent="0.3">
      <c r="A5658" t="s">
        <v>9902</v>
      </c>
      <c r="B5658">
        <f t="shared" si="1220"/>
        <v>0</v>
      </c>
    </row>
    <row r="5659" spans="1:2" ht="15" customHeight="1" x14ac:dyDescent="0.3">
      <c r="A5659" t="s">
        <v>9903</v>
      </c>
      <c r="B5659">
        <f t="shared" si="1220"/>
        <v>30</v>
      </c>
    </row>
    <row r="5660" spans="1:2" ht="15" customHeight="1" x14ac:dyDescent="0.3">
      <c r="A5660" t="s">
        <v>9904</v>
      </c>
      <c r="B5660">
        <f t="shared" si="1220"/>
        <v>30</v>
      </c>
    </row>
    <row r="5661" spans="1:2" ht="15" customHeight="1" x14ac:dyDescent="0.3">
      <c r="A5661" t="s">
        <v>9905</v>
      </c>
      <c r="B5661">
        <f t="shared" si="1220"/>
        <v>25</v>
      </c>
    </row>
    <row r="5662" spans="1:2" ht="15" customHeight="1" x14ac:dyDescent="0.3">
      <c r="A5662" t="s">
        <v>9906</v>
      </c>
      <c r="B5662">
        <f t="shared" si="1220"/>
        <v>25</v>
      </c>
    </row>
    <row r="5663" spans="1:2" ht="15" customHeight="1" x14ac:dyDescent="0.3">
      <c r="A5663" t="s">
        <v>9907</v>
      </c>
      <c r="B5663" t="e">
        <f>#REF!</f>
        <v>#REF!</v>
      </c>
    </row>
    <row r="5664" spans="1:2" ht="15" customHeight="1" x14ac:dyDescent="0.3">
      <c r="A5664" t="s">
        <v>9908</v>
      </c>
      <c r="B5664">
        <f>B8643</f>
        <v>25</v>
      </c>
    </row>
    <row r="5665" spans="1:2" ht="15" customHeight="1" x14ac:dyDescent="0.3">
      <c r="A5665" t="s">
        <v>9909</v>
      </c>
      <c r="B5665">
        <f>B8644</f>
        <v>25</v>
      </c>
    </row>
    <row r="5666" spans="1:2" ht="15" customHeight="1" x14ac:dyDescent="0.3">
      <c r="A5666" t="s">
        <v>9910</v>
      </c>
      <c r="B5666">
        <f t="shared" ref="B5666:B5672" si="1221">B8655</f>
        <v>25</v>
      </c>
    </row>
    <row r="5667" spans="1:2" ht="15" customHeight="1" x14ac:dyDescent="0.3">
      <c r="A5667" t="s">
        <v>9911</v>
      </c>
      <c r="B5667">
        <f t="shared" si="1221"/>
        <v>25</v>
      </c>
    </row>
    <row r="5668" spans="1:2" ht="15" customHeight="1" x14ac:dyDescent="0.3">
      <c r="A5668" t="s">
        <v>9912</v>
      </c>
      <c r="B5668">
        <f t="shared" si="1221"/>
        <v>25</v>
      </c>
    </row>
    <row r="5669" spans="1:2" ht="15" customHeight="1" x14ac:dyDescent="0.3">
      <c r="A5669" t="s">
        <v>9913</v>
      </c>
      <c r="B5669">
        <f t="shared" si="1221"/>
        <v>30</v>
      </c>
    </row>
    <row r="5670" spans="1:2" ht="15" customHeight="1" x14ac:dyDescent="0.3">
      <c r="A5670" t="s">
        <v>9914</v>
      </c>
      <c r="B5670">
        <f t="shared" si="1221"/>
        <v>30</v>
      </c>
    </row>
    <row r="5671" spans="1:2" ht="15" customHeight="1" x14ac:dyDescent="0.3">
      <c r="A5671" t="s">
        <v>9915</v>
      </c>
      <c r="B5671">
        <f t="shared" si="1221"/>
        <v>30</v>
      </c>
    </row>
    <row r="5672" spans="1:2" ht="15" customHeight="1" x14ac:dyDescent="0.3">
      <c r="A5672" t="s">
        <v>9916</v>
      </c>
      <c r="B5672">
        <f t="shared" si="1221"/>
        <v>25</v>
      </c>
    </row>
    <row r="5673" spans="1:2" ht="15" customHeight="1" x14ac:dyDescent="0.3">
      <c r="A5673" t="s">
        <v>9917</v>
      </c>
      <c r="B5673">
        <f t="shared" ref="B5673:B5681" si="1222">B8663</f>
        <v>30</v>
      </c>
    </row>
    <row r="5674" spans="1:2" ht="15" customHeight="1" x14ac:dyDescent="0.3">
      <c r="A5674" t="s">
        <v>9918</v>
      </c>
      <c r="B5674">
        <f t="shared" si="1222"/>
        <v>25</v>
      </c>
    </row>
    <row r="5675" spans="1:2" ht="15" customHeight="1" x14ac:dyDescent="0.3">
      <c r="A5675" t="s">
        <v>9919</v>
      </c>
      <c r="B5675">
        <f t="shared" si="1222"/>
        <v>30</v>
      </c>
    </row>
    <row r="5676" spans="1:2" ht="15" customHeight="1" x14ac:dyDescent="0.3">
      <c r="A5676" t="s">
        <v>9920</v>
      </c>
      <c r="B5676">
        <f t="shared" si="1222"/>
        <v>25</v>
      </c>
    </row>
    <row r="5677" spans="1:2" ht="15" customHeight="1" x14ac:dyDescent="0.3">
      <c r="A5677" t="s">
        <v>9921</v>
      </c>
      <c r="B5677">
        <f t="shared" si="1222"/>
        <v>30</v>
      </c>
    </row>
    <row r="5678" spans="1:2" ht="15" customHeight="1" x14ac:dyDescent="0.3">
      <c r="A5678" t="s">
        <v>9922</v>
      </c>
      <c r="B5678">
        <f t="shared" si="1222"/>
        <v>25</v>
      </c>
    </row>
    <row r="5679" spans="1:2" ht="15" customHeight="1" x14ac:dyDescent="0.3">
      <c r="A5679" t="s">
        <v>9923</v>
      </c>
      <c r="B5679">
        <f t="shared" si="1222"/>
        <v>30</v>
      </c>
    </row>
    <row r="5680" spans="1:2" ht="15" customHeight="1" x14ac:dyDescent="0.3">
      <c r="A5680" t="s">
        <v>9924</v>
      </c>
      <c r="B5680">
        <f t="shared" si="1222"/>
        <v>30</v>
      </c>
    </row>
    <row r="5681" spans="1:2" ht="15" customHeight="1" x14ac:dyDescent="0.3">
      <c r="A5681" t="s">
        <v>9925</v>
      </c>
      <c r="B5681">
        <f t="shared" si="1222"/>
        <v>25</v>
      </c>
    </row>
    <row r="5682" spans="1:2" ht="15" customHeight="1" x14ac:dyDescent="0.3">
      <c r="A5682" t="s">
        <v>9926</v>
      </c>
      <c r="B5682">
        <f t="shared" ref="B5682:B5724" si="1223">B8677</f>
        <v>25</v>
      </c>
    </row>
    <row r="5683" spans="1:2" ht="15" customHeight="1" x14ac:dyDescent="0.3">
      <c r="A5683" t="s">
        <v>9927</v>
      </c>
      <c r="B5683">
        <f t="shared" si="1223"/>
        <v>25</v>
      </c>
    </row>
    <row r="5684" spans="1:2" ht="15" customHeight="1" x14ac:dyDescent="0.3">
      <c r="A5684" t="s">
        <v>9928</v>
      </c>
      <c r="B5684">
        <f t="shared" si="1223"/>
        <v>25</v>
      </c>
    </row>
    <row r="5685" spans="1:2" ht="15" customHeight="1" x14ac:dyDescent="0.3">
      <c r="A5685" t="s">
        <v>9929</v>
      </c>
      <c r="B5685">
        <f t="shared" si="1223"/>
        <v>25</v>
      </c>
    </row>
    <row r="5686" spans="1:2" ht="15" customHeight="1" x14ac:dyDescent="0.3">
      <c r="A5686" t="s">
        <v>9930</v>
      </c>
      <c r="B5686">
        <f t="shared" si="1223"/>
        <v>25</v>
      </c>
    </row>
    <row r="5687" spans="1:2" ht="15" customHeight="1" x14ac:dyDescent="0.3">
      <c r="A5687" t="s">
        <v>9931</v>
      </c>
      <c r="B5687">
        <f t="shared" si="1223"/>
        <v>25</v>
      </c>
    </row>
    <row r="5688" spans="1:2" ht="15" customHeight="1" x14ac:dyDescent="0.3">
      <c r="A5688" t="s">
        <v>9932</v>
      </c>
      <c r="B5688">
        <f t="shared" si="1223"/>
        <v>25</v>
      </c>
    </row>
    <row r="5689" spans="1:2" ht="15" customHeight="1" x14ac:dyDescent="0.3">
      <c r="A5689" t="s">
        <v>9933</v>
      </c>
      <c r="B5689">
        <f t="shared" si="1223"/>
        <v>25</v>
      </c>
    </row>
    <row r="5690" spans="1:2" ht="15" customHeight="1" x14ac:dyDescent="0.3">
      <c r="A5690" t="s">
        <v>9934</v>
      </c>
      <c r="B5690">
        <f t="shared" si="1223"/>
        <v>25</v>
      </c>
    </row>
    <row r="5691" spans="1:2" ht="15" customHeight="1" x14ac:dyDescent="0.3">
      <c r="A5691" t="s">
        <v>9935</v>
      </c>
      <c r="B5691">
        <f t="shared" si="1223"/>
        <v>25</v>
      </c>
    </row>
    <row r="5692" spans="1:2" ht="15" customHeight="1" x14ac:dyDescent="0.3">
      <c r="A5692" t="s">
        <v>9936</v>
      </c>
      <c r="B5692">
        <f t="shared" si="1223"/>
        <v>25</v>
      </c>
    </row>
    <row r="5693" spans="1:2" ht="15" customHeight="1" x14ac:dyDescent="0.3">
      <c r="A5693" t="s">
        <v>9937</v>
      </c>
      <c r="B5693">
        <f t="shared" si="1223"/>
        <v>25</v>
      </c>
    </row>
    <row r="5694" spans="1:2" ht="15" customHeight="1" x14ac:dyDescent="0.3">
      <c r="A5694" t="s">
        <v>9938</v>
      </c>
      <c r="B5694">
        <f t="shared" si="1223"/>
        <v>25</v>
      </c>
    </row>
    <row r="5695" spans="1:2" ht="15" customHeight="1" x14ac:dyDescent="0.3">
      <c r="A5695" t="s">
        <v>9939</v>
      </c>
      <c r="B5695">
        <f t="shared" si="1223"/>
        <v>25</v>
      </c>
    </row>
    <row r="5696" spans="1:2" ht="15" customHeight="1" x14ac:dyDescent="0.3">
      <c r="A5696" t="s">
        <v>9940</v>
      </c>
      <c r="B5696">
        <f t="shared" si="1223"/>
        <v>25</v>
      </c>
    </row>
    <row r="5697" spans="1:2" ht="15" customHeight="1" x14ac:dyDescent="0.3">
      <c r="A5697" t="s">
        <v>9941</v>
      </c>
      <c r="B5697">
        <f t="shared" si="1223"/>
        <v>25</v>
      </c>
    </row>
    <row r="5698" spans="1:2" ht="15" customHeight="1" x14ac:dyDescent="0.3">
      <c r="A5698" t="s">
        <v>9942</v>
      </c>
      <c r="B5698">
        <f t="shared" si="1223"/>
        <v>25</v>
      </c>
    </row>
    <row r="5699" spans="1:2" ht="15" customHeight="1" x14ac:dyDescent="0.3">
      <c r="A5699" t="s">
        <v>9943</v>
      </c>
      <c r="B5699">
        <f t="shared" si="1223"/>
        <v>25</v>
      </c>
    </row>
    <row r="5700" spans="1:2" ht="15" customHeight="1" x14ac:dyDescent="0.3">
      <c r="A5700" t="s">
        <v>9944</v>
      </c>
      <c r="B5700">
        <f t="shared" si="1223"/>
        <v>25</v>
      </c>
    </row>
    <row r="5701" spans="1:2" ht="15" customHeight="1" x14ac:dyDescent="0.3">
      <c r="A5701" t="s">
        <v>9945</v>
      </c>
      <c r="B5701">
        <f t="shared" si="1223"/>
        <v>25</v>
      </c>
    </row>
    <row r="5702" spans="1:2" ht="15" customHeight="1" x14ac:dyDescent="0.3">
      <c r="A5702" t="s">
        <v>9946</v>
      </c>
      <c r="B5702">
        <f t="shared" si="1223"/>
        <v>25</v>
      </c>
    </row>
    <row r="5703" spans="1:2" ht="15" customHeight="1" x14ac:dyDescent="0.3">
      <c r="A5703" t="s">
        <v>9947</v>
      </c>
      <c r="B5703">
        <f t="shared" si="1223"/>
        <v>25</v>
      </c>
    </row>
    <row r="5704" spans="1:2" ht="15" customHeight="1" x14ac:dyDescent="0.3">
      <c r="A5704" t="s">
        <v>9948</v>
      </c>
      <c r="B5704">
        <f t="shared" si="1223"/>
        <v>25</v>
      </c>
    </row>
    <row r="5705" spans="1:2" ht="15" customHeight="1" x14ac:dyDescent="0.3">
      <c r="A5705" t="s">
        <v>9949</v>
      </c>
      <c r="B5705">
        <f t="shared" si="1223"/>
        <v>25</v>
      </c>
    </row>
    <row r="5706" spans="1:2" ht="15" customHeight="1" x14ac:dyDescent="0.3">
      <c r="A5706" t="s">
        <v>9950</v>
      </c>
      <c r="B5706">
        <f t="shared" si="1223"/>
        <v>25</v>
      </c>
    </row>
    <row r="5707" spans="1:2" ht="15" customHeight="1" x14ac:dyDescent="0.3">
      <c r="A5707" t="s">
        <v>9951</v>
      </c>
      <c r="B5707">
        <f t="shared" si="1223"/>
        <v>25</v>
      </c>
    </row>
    <row r="5708" spans="1:2" ht="15" customHeight="1" x14ac:dyDescent="0.3">
      <c r="A5708" t="s">
        <v>9952</v>
      </c>
      <c r="B5708">
        <f t="shared" si="1223"/>
        <v>25</v>
      </c>
    </row>
    <row r="5709" spans="1:2" ht="15" customHeight="1" x14ac:dyDescent="0.3">
      <c r="A5709" t="s">
        <v>9953</v>
      </c>
      <c r="B5709">
        <f t="shared" si="1223"/>
        <v>25</v>
      </c>
    </row>
    <row r="5710" spans="1:2" ht="15" customHeight="1" x14ac:dyDescent="0.3">
      <c r="A5710" t="s">
        <v>9954</v>
      </c>
      <c r="B5710">
        <f t="shared" si="1223"/>
        <v>35</v>
      </c>
    </row>
    <row r="5711" spans="1:2" ht="15" customHeight="1" x14ac:dyDescent="0.3">
      <c r="A5711" t="s">
        <v>9955</v>
      </c>
      <c r="B5711">
        <f t="shared" si="1223"/>
        <v>30</v>
      </c>
    </row>
    <row r="5712" spans="1:2" ht="15" customHeight="1" x14ac:dyDescent="0.3">
      <c r="A5712" t="s">
        <v>9956</v>
      </c>
      <c r="B5712">
        <f t="shared" si="1223"/>
        <v>25</v>
      </c>
    </row>
    <row r="5713" spans="1:2" ht="15" customHeight="1" x14ac:dyDescent="0.3">
      <c r="A5713" t="s">
        <v>9957</v>
      </c>
      <c r="B5713">
        <f t="shared" si="1223"/>
        <v>25</v>
      </c>
    </row>
    <row r="5714" spans="1:2" ht="15" customHeight="1" x14ac:dyDescent="0.3">
      <c r="A5714" t="s">
        <v>9958</v>
      </c>
      <c r="B5714">
        <f t="shared" si="1223"/>
        <v>25</v>
      </c>
    </row>
    <row r="5715" spans="1:2" ht="15" customHeight="1" x14ac:dyDescent="0.3">
      <c r="A5715" t="s">
        <v>9959</v>
      </c>
      <c r="B5715">
        <f t="shared" si="1223"/>
        <v>25</v>
      </c>
    </row>
    <row r="5716" spans="1:2" ht="15" customHeight="1" x14ac:dyDescent="0.3">
      <c r="A5716" t="s">
        <v>9960</v>
      </c>
      <c r="B5716">
        <f t="shared" si="1223"/>
        <v>25</v>
      </c>
    </row>
    <row r="5717" spans="1:2" ht="15" customHeight="1" x14ac:dyDescent="0.3">
      <c r="A5717" t="s">
        <v>9961</v>
      </c>
      <c r="B5717">
        <f t="shared" si="1223"/>
        <v>25</v>
      </c>
    </row>
    <row r="5718" spans="1:2" ht="15" customHeight="1" x14ac:dyDescent="0.3">
      <c r="A5718" t="s">
        <v>9962</v>
      </c>
      <c r="B5718">
        <f t="shared" si="1223"/>
        <v>25</v>
      </c>
    </row>
    <row r="5719" spans="1:2" ht="15" customHeight="1" x14ac:dyDescent="0.3">
      <c r="A5719" t="s">
        <v>9963</v>
      </c>
      <c r="B5719">
        <f t="shared" si="1223"/>
        <v>30</v>
      </c>
    </row>
    <row r="5720" spans="1:2" ht="15" customHeight="1" x14ac:dyDescent="0.3">
      <c r="A5720" t="s">
        <v>9964</v>
      </c>
      <c r="B5720">
        <f t="shared" si="1223"/>
        <v>65</v>
      </c>
    </row>
    <row r="5721" spans="1:2" ht="15" customHeight="1" x14ac:dyDescent="0.3">
      <c r="A5721" t="s">
        <v>9965</v>
      </c>
      <c r="B5721">
        <f t="shared" si="1223"/>
        <v>65</v>
      </c>
    </row>
    <row r="5722" spans="1:2" ht="15" customHeight="1" x14ac:dyDescent="0.3">
      <c r="A5722" t="s">
        <v>9966</v>
      </c>
      <c r="B5722">
        <f t="shared" si="1223"/>
        <v>65</v>
      </c>
    </row>
    <row r="5723" spans="1:2" ht="15" customHeight="1" x14ac:dyDescent="0.3">
      <c r="A5723" t="s">
        <v>9967</v>
      </c>
      <c r="B5723">
        <f t="shared" si="1223"/>
        <v>30</v>
      </c>
    </row>
    <row r="5724" spans="1:2" ht="15" customHeight="1" x14ac:dyDescent="0.3">
      <c r="A5724" t="s">
        <v>9968</v>
      </c>
      <c r="B5724">
        <f t="shared" si="1223"/>
        <v>30</v>
      </c>
    </row>
    <row r="5725" spans="1:2" ht="15" customHeight="1" x14ac:dyDescent="0.3">
      <c r="A5725" t="s">
        <v>9969</v>
      </c>
      <c r="B5725">
        <f t="shared" ref="B5725:B5746" si="1224">B8725</f>
        <v>55</v>
      </c>
    </row>
    <row r="5726" spans="1:2" ht="15" customHeight="1" x14ac:dyDescent="0.3">
      <c r="A5726" t="s">
        <v>9970</v>
      </c>
      <c r="B5726">
        <f t="shared" si="1224"/>
        <v>50</v>
      </c>
    </row>
    <row r="5727" spans="1:2" ht="15" customHeight="1" x14ac:dyDescent="0.3">
      <c r="A5727" t="s">
        <v>9971</v>
      </c>
      <c r="B5727">
        <f t="shared" si="1224"/>
        <v>70</v>
      </c>
    </row>
    <row r="5728" spans="1:2" ht="15" customHeight="1" x14ac:dyDescent="0.3">
      <c r="A5728" t="s">
        <v>9972</v>
      </c>
      <c r="B5728">
        <f t="shared" si="1224"/>
        <v>65</v>
      </c>
    </row>
    <row r="5729" spans="1:2" ht="15" customHeight="1" x14ac:dyDescent="0.3">
      <c r="A5729" t="s">
        <v>9973</v>
      </c>
      <c r="B5729">
        <f t="shared" si="1224"/>
        <v>50</v>
      </c>
    </row>
    <row r="5730" spans="1:2" ht="15" customHeight="1" x14ac:dyDescent="0.3">
      <c r="A5730" t="s">
        <v>9974</v>
      </c>
      <c r="B5730">
        <f t="shared" si="1224"/>
        <v>30</v>
      </c>
    </row>
    <row r="5731" spans="1:2" ht="15" customHeight="1" x14ac:dyDescent="0.3">
      <c r="A5731" t="s">
        <v>9975</v>
      </c>
      <c r="B5731">
        <f t="shared" si="1224"/>
        <v>30</v>
      </c>
    </row>
    <row r="5732" spans="1:2" ht="15" customHeight="1" x14ac:dyDescent="0.3">
      <c r="A5732" t="s">
        <v>9976</v>
      </c>
      <c r="B5732">
        <f t="shared" si="1224"/>
        <v>55</v>
      </c>
    </row>
    <row r="5733" spans="1:2" ht="15" customHeight="1" x14ac:dyDescent="0.3">
      <c r="A5733" t="s">
        <v>9977</v>
      </c>
      <c r="B5733">
        <f t="shared" si="1224"/>
        <v>25</v>
      </c>
    </row>
    <row r="5734" spans="1:2" ht="15" customHeight="1" x14ac:dyDescent="0.3">
      <c r="A5734" t="s">
        <v>9978</v>
      </c>
      <c r="B5734">
        <f t="shared" si="1224"/>
        <v>30</v>
      </c>
    </row>
    <row r="5735" spans="1:2" ht="15" customHeight="1" x14ac:dyDescent="0.3">
      <c r="A5735" t="s">
        <v>9979</v>
      </c>
      <c r="B5735">
        <f t="shared" si="1224"/>
        <v>30</v>
      </c>
    </row>
    <row r="5736" spans="1:2" ht="15" customHeight="1" x14ac:dyDescent="0.3">
      <c r="A5736" t="s">
        <v>9980</v>
      </c>
      <c r="B5736">
        <f t="shared" si="1224"/>
        <v>25</v>
      </c>
    </row>
    <row r="5737" spans="1:2" ht="15" customHeight="1" x14ac:dyDescent="0.3">
      <c r="A5737" t="s">
        <v>9981</v>
      </c>
      <c r="B5737">
        <f t="shared" si="1224"/>
        <v>25</v>
      </c>
    </row>
    <row r="5738" spans="1:2" ht="15" customHeight="1" x14ac:dyDescent="0.3">
      <c r="A5738" t="s">
        <v>9982</v>
      </c>
      <c r="B5738">
        <f t="shared" si="1224"/>
        <v>25</v>
      </c>
    </row>
    <row r="5739" spans="1:2" ht="15" customHeight="1" x14ac:dyDescent="0.3">
      <c r="A5739" t="s">
        <v>9983</v>
      </c>
      <c r="B5739">
        <f t="shared" si="1224"/>
        <v>25</v>
      </c>
    </row>
    <row r="5740" spans="1:2" ht="15" customHeight="1" x14ac:dyDescent="0.3">
      <c r="A5740" t="s">
        <v>9984</v>
      </c>
      <c r="B5740">
        <f t="shared" si="1224"/>
        <v>25</v>
      </c>
    </row>
    <row r="5741" spans="1:2" ht="15" customHeight="1" x14ac:dyDescent="0.3">
      <c r="A5741" t="s">
        <v>9985</v>
      </c>
      <c r="B5741">
        <f t="shared" si="1224"/>
        <v>25</v>
      </c>
    </row>
    <row r="5742" spans="1:2" ht="15" customHeight="1" x14ac:dyDescent="0.3">
      <c r="A5742" t="s">
        <v>9986</v>
      </c>
      <c r="B5742">
        <f t="shared" si="1224"/>
        <v>25</v>
      </c>
    </row>
    <row r="5743" spans="1:2" ht="15" customHeight="1" x14ac:dyDescent="0.3">
      <c r="A5743" t="s">
        <v>9987</v>
      </c>
      <c r="B5743">
        <f t="shared" si="1224"/>
        <v>45</v>
      </c>
    </row>
    <row r="5744" spans="1:2" ht="15" customHeight="1" x14ac:dyDescent="0.3">
      <c r="A5744" t="s">
        <v>9988</v>
      </c>
      <c r="B5744">
        <f t="shared" si="1224"/>
        <v>35</v>
      </c>
    </row>
    <row r="5745" spans="1:2" ht="15" customHeight="1" x14ac:dyDescent="0.3">
      <c r="A5745" t="s">
        <v>9989</v>
      </c>
      <c r="B5745">
        <f t="shared" si="1224"/>
        <v>35</v>
      </c>
    </row>
    <row r="5746" spans="1:2" ht="15" customHeight="1" x14ac:dyDescent="0.3">
      <c r="A5746" t="s">
        <v>9990</v>
      </c>
      <c r="B5746">
        <f t="shared" si="1224"/>
        <v>55</v>
      </c>
    </row>
    <row r="5747" spans="1:2" ht="15" customHeight="1" x14ac:dyDescent="0.3">
      <c r="A5747" t="s">
        <v>12605</v>
      </c>
      <c r="B5747">
        <f>F1412</f>
        <v>20</v>
      </c>
    </row>
    <row r="5748" spans="1:2" ht="15" customHeight="1" x14ac:dyDescent="0.3">
      <c r="A5748" s="23" t="s">
        <v>5066</v>
      </c>
      <c r="B5748">
        <f>F1413</f>
        <v>10</v>
      </c>
    </row>
    <row r="5749" spans="1:2" ht="15" customHeight="1" x14ac:dyDescent="0.3">
      <c r="A5749" s="23" t="s">
        <v>5067</v>
      </c>
      <c r="B5749">
        <f>F1413</f>
        <v>10</v>
      </c>
    </row>
    <row r="5750" spans="1:2" ht="15" customHeight="1" x14ac:dyDescent="0.3">
      <c r="A5750" s="34" t="s">
        <v>5102</v>
      </c>
      <c r="B5750">
        <f>F1417</f>
        <v>30</v>
      </c>
    </row>
    <row r="5751" spans="1:2" ht="15" customHeight="1" x14ac:dyDescent="0.3">
      <c r="A5751" s="34" t="s">
        <v>5099</v>
      </c>
      <c r="B5751">
        <f>F1414</f>
        <v>40</v>
      </c>
    </row>
    <row r="5752" spans="1:2" ht="15" customHeight="1" x14ac:dyDescent="0.3">
      <c r="A5752" s="34" t="s">
        <v>5100</v>
      </c>
      <c r="B5752">
        <f>F1414</f>
        <v>40</v>
      </c>
    </row>
    <row r="5753" spans="1:2" ht="15" customHeight="1" x14ac:dyDescent="0.3">
      <c r="A5753" s="34" t="s">
        <v>5101</v>
      </c>
      <c r="B5753">
        <f>F1414</f>
        <v>40</v>
      </c>
    </row>
    <row r="5754" spans="1:2" ht="15" customHeight="1" x14ac:dyDescent="0.3">
      <c r="A5754" s="34" t="s">
        <v>5103</v>
      </c>
      <c r="B5754">
        <f>F1417</f>
        <v>30</v>
      </c>
    </row>
    <row r="5755" spans="1:2" ht="15" customHeight="1" x14ac:dyDescent="0.3">
      <c r="A5755" t="s">
        <v>5104</v>
      </c>
      <c r="B5755">
        <f>F1419</f>
        <v>30</v>
      </c>
    </row>
    <row r="5756" spans="1:2" ht="15" customHeight="1" x14ac:dyDescent="0.3">
      <c r="A5756" t="s">
        <v>5105</v>
      </c>
      <c r="B5756">
        <f>F1422</f>
        <v>40</v>
      </c>
    </row>
    <row r="5757" spans="1:2" ht="15" customHeight="1" x14ac:dyDescent="0.3">
      <c r="A5757" s="34" t="s">
        <v>5106</v>
      </c>
      <c r="B5757">
        <f>F1424</f>
        <v>30</v>
      </c>
    </row>
    <row r="5758" spans="1:2" ht="15" customHeight="1" x14ac:dyDescent="0.3">
      <c r="A5758" s="34" t="s">
        <v>5107</v>
      </c>
      <c r="B5758">
        <f>F1424</f>
        <v>30</v>
      </c>
    </row>
    <row r="5759" spans="1:2" ht="15" customHeight="1" x14ac:dyDescent="0.3">
      <c r="A5759" s="34" t="s">
        <v>5108</v>
      </c>
      <c r="B5759">
        <f>F1424</f>
        <v>30</v>
      </c>
    </row>
    <row r="5760" spans="1:2" ht="15" customHeight="1" x14ac:dyDescent="0.3">
      <c r="A5760" s="34" t="s">
        <v>5109</v>
      </c>
      <c r="B5760">
        <f>F1424</f>
        <v>30</v>
      </c>
    </row>
    <row r="5761" spans="1:2" ht="15" customHeight="1" x14ac:dyDescent="0.3">
      <c r="A5761" t="s">
        <v>5110</v>
      </c>
      <c r="B5761">
        <f>F1426</f>
        <v>35</v>
      </c>
    </row>
    <row r="5762" spans="1:2" ht="15" customHeight="1" x14ac:dyDescent="0.3">
      <c r="A5762" t="s">
        <v>5111</v>
      </c>
      <c r="B5762">
        <f>F1429</f>
        <v>35</v>
      </c>
    </row>
    <row r="5763" spans="1:2" ht="15" customHeight="1" x14ac:dyDescent="0.3">
      <c r="A5763" s="34" t="s">
        <v>5112</v>
      </c>
      <c r="B5763">
        <f>F1432</f>
        <v>35</v>
      </c>
    </row>
    <row r="5764" spans="1:2" ht="15" customHeight="1" x14ac:dyDescent="0.3">
      <c r="A5764" t="s">
        <v>5113</v>
      </c>
      <c r="B5764">
        <f>F1433</f>
        <v>0</v>
      </c>
    </row>
    <row r="5765" spans="1:2" ht="15" customHeight="1" x14ac:dyDescent="0.3">
      <c r="A5765" s="34" t="s">
        <v>5114</v>
      </c>
      <c r="B5765">
        <f>F1434</f>
        <v>35</v>
      </c>
    </row>
    <row r="5766" spans="1:2" ht="15" customHeight="1" x14ac:dyDescent="0.3">
      <c r="A5766" s="34" t="s">
        <v>5115</v>
      </c>
      <c r="B5766">
        <f>F1434</f>
        <v>35</v>
      </c>
    </row>
    <row r="5767" spans="1:2" ht="15" customHeight="1" x14ac:dyDescent="0.3">
      <c r="A5767" s="34" t="s">
        <v>5116</v>
      </c>
      <c r="B5767">
        <f>F1434</f>
        <v>35</v>
      </c>
    </row>
    <row r="5768" spans="1:2" ht="15" customHeight="1" x14ac:dyDescent="0.3">
      <c r="A5768" t="s">
        <v>5403</v>
      </c>
      <c r="B5768">
        <f>F1436</f>
        <v>35</v>
      </c>
    </row>
    <row r="5769" spans="1:2" ht="15" customHeight="1" x14ac:dyDescent="0.3">
      <c r="A5769" t="s">
        <v>5117</v>
      </c>
      <c r="B5769">
        <f>F1438</f>
        <v>30</v>
      </c>
    </row>
    <row r="5770" spans="1:2" ht="15" customHeight="1" x14ac:dyDescent="0.3">
      <c r="A5770" s="23" t="s">
        <v>5256</v>
      </c>
      <c r="B5770" t="e">
        <f>#REF!</f>
        <v>#REF!</v>
      </c>
    </row>
    <row r="5771" spans="1:2" ht="15" customHeight="1" x14ac:dyDescent="0.3">
      <c r="A5771" s="23" t="s">
        <v>5257</v>
      </c>
      <c r="B5771" t="e">
        <f>#REF!</f>
        <v>#REF!</v>
      </c>
    </row>
    <row r="5772" spans="1:2" ht="15" customHeight="1" x14ac:dyDescent="0.3">
      <c r="A5772" s="23" t="s">
        <v>5879</v>
      </c>
      <c r="B5772">
        <f>F1443</f>
        <v>30</v>
      </c>
    </row>
    <row r="5773" spans="1:2" ht="15" customHeight="1" x14ac:dyDescent="0.3">
      <c r="A5773" s="23" t="s">
        <v>5880</v>
      </c>
      <c r="B5773">
        <f>F1443</f>
        <v>30</v>
      </c>
    </row>
    <row r="5774" spans="1:2" ht="15" customHeight="1" x14ac:dyDescent="0.3">
      <c r="A5774" t="s">
        <v>5920</v>
      </c>
      <c r="B5774">
        <f>F1444</f>
        <v>30</v>
      </c>
    </row>
    <row r="5775" spans="1:2" ht="15" customHeight="1" x14ac:dyDescent="0.3">
      <c r="A5775" t="s">
        <v>1334</v>
      </c>
      <c r="B5775">
        <f>F1446</f>
        <v>0</v>
      </c>
    </row>
    <row r="5776" spans="1:2" ht="15" customHeight="1" x14ac:dyDescent="0.3">
      <c r="A5776" s="23" t="s">
        <v>5405</v>
      </c>
      <c r="B5776">
        <f>F1447</f>
        <v>25</v>
      </c>
    </row>
    <row r="5777" spans="1:2" ht="15" customHeight="1" x14ac:dyDescent="0.3">
      <c r="A5777" s="23" t="s">
        <v>5404</v>
      </c>
      <c r="B5777">
        <f>F1447</f>
        <v>25</v>
      </c>
    </row>
    <row r="5778" spans="1:2" ht="15" customHeight="1" x14ac:dyDescent="0.3">
      <c r="A5778" s="23" t="s">
        <v>5406</v>
      </c>
      <c r="B5778">
        <f>F1448</f>
        <v>35</v>
      </c>
    </row>
    <row r="5779" spans="1:2" ht="15" customHeight="1" x14ac:dyDescent="0.3">
      <c r="A5779" t="s">
        <v>5407</v>
      </c>
      <c r="B5779" t="e">
        <f>#REF!</f>
        <v>#REF!</v>
      </c>
    </row>
    <row r="5780" spans="1:2" ht="15" customHeight="1" x14ac:dyDescent="0.3">
      <c r="A5780" t="s">
        <v>10863</v>
      </c>
      <c r="B5780">
        <f>F1450</f>
        <v>30</v>
      </c>
    </row>
    <row r="5781" spans="1:2" ht="15" customHeight="1" x14ac:dyDescent="0.3">
      <c r="A5781" t="s">
        <v>10864</v>
      </c>
      <c r="B5781">
        <f>F1450</f>
        <v>30</v>
      </c>
    </row>
    <row r="5782" spans="1:2" ht="15" customHeight="1" x14ac:dyDescent="0.3">
      <c r="A5782" t="s">
        <v>5408</v>
      </c>
      <c r="B5782">
        <f>F1450</f>
        <v>30</v>
      </c>
    </row>
    <row r="5783" spans="1:2" ht="15" customHeight="1" x14ac:dyDescent="0.3">
      <c r="A5783" t="s">
        <v>5118</v>
      </c>
      <c r="B5783">
        <f>F1450</f>
        <v>30</v>
      </c>
    </row>
    <row r="5784" spans="1:2" ht="15" customHeight="1" x14ac:dyDescent="0.3">
      <c r="A5784" t="s">
        <v>6078</v>
      </c>
      <c r="B5784">
        <f>F1452</f>
        <v>35</v>
      </c>
    </row>
    <row r="5785" spans="1:2" ht="15" customHeight="1" x14ac:dyDescent="0.3">
      <c r="A5785" t="s">
        <v>6075</v>
      </c>
      <c r="B5785">
        <f>F1451</f>
        <v>25</v>
      </c>
    </row>
    <row r="5786" spans="1:2" ht="15" customHeight="1" x14ac:dyDescent="0.3">
      <c r="A5786" t="s">
        <v>6076</v>
      </c>
      <c r="B5786">
        <f>F1451</f>
        <v>25</v>
      </c>
    </row>
    <row r="5787" spans="1:2" ht="15" customHeight="1" x14ac:dyDescent="0.3">
      <c r="A5787" t="s">
        <v>6077</v>
      </c>
      <c r="B5787">
        <f>F1452</f>
        <v>35</v>
      </c>
    </row>
    <row r="5788" spans="1:2" ht="15" customHeight="1" x14ac:dyDescent="0.3">
      <c r="A5788" t="s">
        <v>6239</v>
      </c>
      <c r="B5788" t="e">
        <f>#REF!</f>
        <v>#REF!</v>
      </c>
    </row>
    <row r="5789" spans="1:2" ht="15" customHeight="1" x14ac:dyDescent="0.3">
      <c r="A5789" t="s">
        <v>6240</v>
      </c>
      <c r="B5789" t="e">
        <f>#REF!</f>
        <v>#REF!</v>
      </c>
    </row>
    <row r="5790" spans="1:2" ht="15" customHeight="1" x14ac:dyDescent="0.3">
      <c r="A5790" t="s">
        <v>5881</v>
      </c>
      <c r="B5790">
        <f>F1454</f>
        <v>35</v>
      </c>
    </row>
    <row r="5791" spans="1:2" ht="15" customHeight="1" x14ac:dyDescent="0.3">
      <c r="A5791" t="s">
        <v>5258</v>
      </c>
      <c r="B5791">
        <f>F1455</f>
        <v>35</v>
      </c>
    </row>
    <row r="5792" spans="1:2" ht="15" customHeight="1" x14ac:dyDescent="0.3">
      <c r="A5792" t="s">
        <v>5259</v>
      </c>
      <c r="B5792" t="e">
        <f>#REF!</f>
        <v>#REF!</v>
      </c>
    </row>
    <row r="5793" spans="1:2" ht="15" customHeight="1" x14ac:dyDescent="0.3">
      <c r="A5793" t="s">
        <v>5409</v>
      </c>
      <c r="B5793">
        <f>F1457</f>
        <v>30</v>
      </c>
    </row>
    <row r="5794" spans="1:2" ht="15" customHeight="1" x14ac:dyDescent="0.3">
      <c r="A5794" t="s">
        <v>6079</v>
      </c>
      <c r="B5794">
        <f>F1458</f>
        <v>35</v>
      </c>
    </row>
    <row r="5795" spans="1:2" ht="15" customHeight="1" x14ac:dyDescent="0.3">
      <c r="A5795" t="s">
        <v>6080</v>
      </c>
      <c r="B5795">
        <f>F1458</f>
        <v>35</v>
      </c>
    </row>
    <row r="5796" spans="1:2" ht="15" customHeight="1" x14ac:dyDescent="0.3">
      <c r="A5796" t="s">
        <v>5119</v>
      </c>
      <c r="B5796">
        <f>F1459</f>
        <v>35</v>
      </c>
    </row>
    <row r="5797" spans="1:2" ht="15" customHeight="1" x14ac:dyDescent="0.3">
      <c r="A5797" t="s">
        <v>5410</v>
      </c>
      <c r="B5797">
        <f>F1460</f>
        <v>35</v>
      </c>
    </row>
    <row r="5798" spans="1:2" ht="15" customHeight="1" x14ac:dyDescent="0.3">
      <c r="A5798" t="s">
        <v>5120</v>
      </c>
      <c r="B5798">
        <f>F1461</f>
        <v>30</v>
      </c>
    </row>
    <row r="5799" spans="1:2" ht="15" customHeight="1" x14ac:dyDescent="0.3">
      <c r="A5799" t="s">
        <v>5411</v>
      </c>
      <c r="B5799">
        <f>F1462</f>
        <v>35</v>
      </c>
    </row>
    <row r="5800" spans="1:2" ht="15" customHeight="1" x14ac:dyDescent="0.3">
      <c r="A5800" t="s">
        <v>5882</v>
      </c>
      <c r="B5800" t="e">
        <f>#REF!</f>
        <v>#REF!</v>
      </c>
    </row>
    <row r="5801" spans="1:2" ht="15" customHeight="1" x14ac:dyDescent="0.3">
      <c r="A5801" t="s">
        <v>5121</v>
      </c>
      <c r="B5801">
        <f>F1465</f>
        <v>30</v>
      </c>
    </row>
    <row r="5802" spans="1:2" ht="15" customHeight="1" x14ac:dyDescent="0.3">
      <c r="A5802" t="s">
        <v>5412</v>
      </c>
      <c r="B5802">
        <f>F1466</f>
        <v>35</v>
      </c>
    </row>
    <row r="5803" spans="1:2" ht="15" customHeight="1" x14ac:dyDescent="0.3">
      <c r="A5803" t="s">
        <v>6067</v>
      </c>
      <c r="B5803">
        <f>F1468</f>
        <v>35</v>
      </c>
    </row>
    <row r="5804" spans="1:2" ht="15" customHeight="1" x14ac:dyDescent="0.3">
      <c r="A5804" t="s">
        <v>5413</v>
      </c>
      <c r="B5804">
        <f>F1469</f>
        <v>35</v>
      </c>
    </row>
    <row r="5805" spans="1:2" ht="15" customHeight="1" x14ac:dyDescent="0.3">
      <c r="A5805" t="s">
        <v>6081</v>
      </c>
      <c r="B5805">
        <f>F1471</f>
        <v>20</v>
      </c>
    </row>
    <row r="5806" spans="1:2" ht="15" customHeight="1" x14ac:dyDescent="0.3">
      <c r="A5806" t="s">
        <v>6083</v>
      </c>
      <c r="B5806" t="e">
        <f>#REF!</f>
        <v>#REF!</v>
      </c>
    </row>
    <row r="5807" spans="1:2" ht="15" customHeight="1" x14ac:dyDescent="0.3">
      <c r="A5807" t="s">
        <v>6084</v>
      </c>
      <c r="B5807" t="e">
        <f>#REF!</f>
        <v>#REF!</v>
      </c>
    </row>
    <row r="5808" spans="1:2" ht="15" customHeight="1" x14ac:dyDescent="0.3">
      <c r="A5808" t="s">
        <v>5416</v>
      </c>
      <c r="B5808">
        <f>F1478</f>
        <v>30</v>
      </c>
    </row>
    <row r="5809" spans="1:2" ht="15" customHeight="1" x14ac:dyDescent="0.3">
      <c r="A5809" t="s">
        <v>6082</v>
      </c>
      <c r="B5809">
        <f>F1473</f>
        <v>35</v>
      </c>
    </row>
    <row r="5810" spans="1:2" ht="15" customHeight="1" x14ac:dyDescent="0.3">
      <c r="A5810" t="s">
        <v>1342</v>
      </c>
      <c r="B5810">
        <f>F1474</f>
        <v>25</v>
      </c>
    </row>
    <row r="5811" spans="1:2" ht="15" customHeight="1" x14ac:dyDescent="0.3">
      <c r="A5811" t="s">
        <v>6085</v>
      </c>
      <c r="B5811">
        <f>F1475</f>
        <v>30</v>
      </c>
    </row>
    <row r="5812" spans="1:2" ht="15" customHeight="1" x14ac:dyDescent="0.3">
      <c r="A5812" t="s">
        <v>6086</v>
      </c>
      <c r="B5812">
        <f>F1475</f>
        <v>30</v>
      </c>
    </row>
    <row r="5813" spans="1:2" ht="15" customHeight="1" x14ac:dyDescent="0.3">
      <c r="A5813" t="s">
        <v>5414</v>
      </c>
      <c r="B5813">
        <f>F1476</f>
        <v>30</v>
      </c>
    </row>
    <row r="5814" spans="1:2" ht="15" customHeight="1" x14ac:dyDescent="0.3">
      <c r="A5814" t="s">
        <v>5415</v>
      </c>
      <c r="B5814">
        <f>F1477</f>
        <v>30</v>
      </c>
    </row>
    <row r="5815" spans="1:2" ht="15" customHeight="1" x14ac:dyDescent="0.3">
      <c r="A5815" t="s">
        <v>6087</v>
      </c>
      <c r="B5815">
        <f>F1479</f>
        <v>35</v>
      </c>
    </row>
    <row r="5816" spans="1:2" ht="15" customHeight="1" x14ac:dyDescent="0.3">
      <c r="A5816" t="s">
        <v>6088</v>
      </c>
      <c r="B5816">
        <f>F1479</f>
        <v>35</v>
      </c>
    </row>
    <row r="5817" spans="1:2" ht="15" customHeight="1" x14ac:dyDescent="0.3">
      <c r="A5817" t="s">
        <v>6089</v>
      </c>
      <c r="B5817">
        <f>F1479</f>
        <v>35</v>
      </c>
    </row>
    <row r="5818" spans="1:2" ht="15" customHeight="1" x14ac:dyDescent="0.3">
      <c r="A5818" t="s">
        <v>5122</v>
      </c>
      <c r="B5818">
        <f>F1480</f>
        <v>20</v>
      </c>
    </row>
    <row r="5819" spans="1:2" ht="15" customHeight="1" x14ac:dyDescent="0.3">
      <c r="A5819" t="s">
        <v>5123</v>
      </c>
      <c r="B5819">
        <f>F1481</f>
        <v>25</v>
      </c>
    </row>
    <row r="5820" spans="1:2" ht="15" customHeight="1" x14ac:dyDescent="0.3">
      <c r="A5820" t="s">
        <v>6090</v>
      </c>
      <c r="B5820">
        <f>F1482</f>
        <v>25</v>
      </c>
    </row>
    <row r="5821" spans="1:2" ht="15" customHeight="1" x14ac:dyDescent="0.3">
      <c r="A5821" t="s">
        <v>6091</v>
      </c>
      <c r="B5821">
        <f>F1482</f>
        <v>25</v>
      </c>
    </row>
    <row r="5822" spans="1:2" ht="15" customHeight="1" x14ac:dyDescent="0.3">
      <c r="A5822" t="s">
        <v>5124</v>
      </c>
      <c r="B5822">
        <f>F1483</f>
        <v>30</v>
      </c>
    </row>
    <row r="5823" spans="1:2" ht="15" customHeight="1" x14ac:dyDescent="0.3">
      <c r="A5823" t="s">
        <v>5417</v>
      </c>
      <c r="B5823">
        <f>F1484</f>
        <v>30</v>
      </c>
    </row>
    <row r="5824" spans="1:2" ht="15" customHeight="1" x14ac:dyDescent="0.3">
      <c r="A5824" t="s">
        <v>6092</v>
      </c>
      <c r="B5824">
        <f>F1487</f>
        <v>30</v>
      </c>
    </row>
    <row r="5825" spans="1:2" ht="15" customHeight="1" x14ac:dyDescent="0.3">
      <c r="A5825" t="s">
        <v>6093</v>
      </c>
      <c r="B5825">
        <f>F1487</f>
        <v>30</v>
      </c>
    </row>
    <row r="5826" spans="1:2" ht="15" customHeight="1" x14ac:dyDescent="0.3">
      <c r="A5826" t="s">
        <v>6094</v>
      </c>
      <c r="B5826">
        <f>F1487</f>
        <v>30</v>
      </c>
    </row>
    <row r="5827" spans="1:2" ht="15" customHeight="1" x14ac:dyDescent="0.3">
      <c r="A5827" t="s">
        <v>6095</v>
      </c>
      <c r="B5827">
        <f>F1487</f>
        <v>30</v>
      </c>
    </row>
    <row r="5828" spans="1:2" ht="15" customHeight="1" x14ac:dyDescent="0.3">
      <c r="A5828" t="s">
        <v>6096</v>
      </c>
      <c r="B5828">
        <f>F1487</f>
        <v>30</v>
      </c>
    </row>
    <row r="5829" spans="1:2" ht="15" customHeight="1" x14ac:dyDescent="0.3">
      <c r="A5829" t="s">
        <v>6097</v>
      </c>
      <c r="B5829">
        <f>F1487</f>
        <v>30</v>
      </c>
    </row>
    <row r="5830" spans="1:2" ht="15" customHeight="1" x14ac:dyDescent="0.3">
      <c r="A5830" t="s">
        <v>6098</v>
      </c>
      <c r="B5830">
        <f>F1491</f>
        <v>25</v>
      </c>
    </row>
    <row r="5831" spans="1:2" ht="15" customHeight="1" x14ac:dyDescent="0.3">
      <c r="A5831" t="s">
        <v>6099</v>
      </c>
      <c r="B5831">
        <f>F1491</f>
        <v>25</v>
      </c>
    </row>
    <row r="5832" spans="1:2" ht="15" customHeight="1" x14ac:dyDescent="0.3">
      <c r="A5832" t="s">
        <v>6100</v>
      </c>
      <c r="B5832">
        <f>F1491</f>
        <v>25</v>
      </c>
    </row>
    <row r="5833" spans="1:2" ht="15" customHeight="1" x14ac:dyDescent="0.3">
      <c r="A5833" t="s">
        <v>6101</v>
      </c>
      <c r="B5833">
        <f>F1491</f>
        <v>25</v>
      </c>
    </row>
    <row r="5834" spans="1:2" ht="15" customHeight="1" x14ac:dyDescent="0.3">
      <c r="A5834" t="s">
        <v>6102</v>
      </c>
      <c r="B5834">
        <f>F1493</f>
        <v>20</v>
      </c>
    </row>
    <row r="5835" spans="1:2" ht="15" customHeight="1" x14ac:dyDescent="0.3">
      <c r="A5835" t="s">
        <v>6103</v>
      </c>
      <c r="B5835">
        <f>F1493</f>
        <v>20</v>
      </c>
    </row>
    <row r="5836" spans="1:2" ht="15" customHeight="1" x14ac:dyDescent="0.3">
      <c r="A5836" t="s">
        <v>6104</v>
      </c>
      <c r="B5836">
        <f>F1493</f>
        <v>20</v>
      </c>
    </row>
    <row r="5837" spans="1:2" ht="15" customHeight="1" x14ac:dyDescent="0.3">
      <c r="A5837" t="s">
        <v>6105</v>
      </c>
      <c r="B5837">
        <f>F1493</f>
        <v>20</v>
      </c>
    </row>
    <row r="5838" spans="1:2" ht="15" customHeight="1" x14ac:dyDescent="0.3">
      <c r="A5838" t="s">
        <v>5418</v>
      </c>
      <c r="B5838">
        <f>F1498</f>
        <v>30</v>
      </c>
    </row>
    <row r="5839" spans="1:2" ht="15" customHeight="1" x14ac:dyDescent="0.3">
      <c r="A5839" t="s">
        <v>5419</v>
      </c>
      <c r="B5839">
        <f>F1500</f>
        <v>0</v>
      </c>
    </row>
    <row r="5840" spans="1:2" ht="15" customHeight="1" x14ac:dyDescent="0.3">
      <c r="A5840" t="s">
        <v>6106</v>
      </c>
      <c r="B5840">
        <f>F1501</f>
        <v>30</v>
      </c>
    </row>
    <row r="5841" spans="1:2" ht="15" customHeight="1" x14ac:dyDescent="0.3">
      <c r="A5841" t="s">
        <v>6107</v>
      </c>
      <c r="B5841">
        <f>F1501</f>
        <v>30</v>
      </c>
    </row>
    <row r="5842" spans="1:2" ht="15" customHeight="1" x14ac:dyDescent="0.3">
      <c r="A5842" t="s">
        <v>6108</v>
      </c>
      <c r="B5842">
        <f>F1501</f>
        <v>30</v>
      </c>
    </row>
    <row r="5843" spans="1:2" ht="15" customHeight="1" x14ac:dyDescent="0.3">
      <c r="A5843" t="s">
        <v>6109</v>
      </c>
      <c r="B5843">
        <f>F1501</f>
        <v>30</v>
      </c>
    </row>
    <row r="5844" spans="1:2" ht="15" customHeight="1" x14ac:dyDescent="0.3">
      <c r="A5844" t="s">
        <v>6110</v>
      </c>
      <c r="B5844">
        <f>F1502</f>
        <v>30</v>
      </c>
    </row>
    <row r="5845" spans="1:2" ht="15" customHeight="1" x14ac:dyDescent="0.3">
      <c r="A5845" t="s">
        <v>6111</v>
      </c>
      <c r="B5845">
        <f>F1502</f>
        <v>30</v>
      </c>
    </row>
    <row r="5846" spans="1:2" ht="15" customHeight="1" x14ac:dyDescent="0.3">
      <c r="A5846" t="s">
        <v>6112</v>
      </c>
      <c r="B5846">
        <f>F1503</f>
        <v>30</v>
      </c>
    </row>
    <row r="5847" spans="1:2" ht="15" customHeight="1" x14ac:dyDescent="0.3">
      <c r="A5847" t="s">
        <v>6113</v>
      </c>
      <c r="B5847">
        <f>F1504</f>
        <v>15</v>
      </c>
    </row>
    <row r="5848" spans="1:2" ht="15" customHeight="1" x14ac:dyDescent="0.3">
      <c r="A5848" t="s">
        <v>6114</v>
      </c>
      <c r="B5848">
        <f>F1504</f>
        <v>15</v>
      </c>
    </row>
    <row r="5849" spans="1:2" ht="15" customHeight="1" x14ac:dyDescent="0.3">
      <c r="A5849" t="s">
        <v>6115</v>
      </c>
      <c r="B5849">
        <f>F1506</f>
        <v>20</v>
      </c>
    </row>
    <row r="5850" spans="1:2" ht="15" customHeight="1" x14ac:dyDescent="0.3">
      <c r="A5850" t="s">
        <v>6116</v>
      </c>
      <c r="B5850">
        <f>F1506</f>
        <v>20</v>
      </c>
    </row>
    <row r="5851" spans="1:2" ht="15" customHeight="1" x14ac:dyDescent="0.3">
      <c r="A5851" t="s">
        <v>6117</v>
      </c>
      <c r="B5851">
        <f>F1508</f>
        <v>35</v>
      </c>
    </row>
    <row r="5852" spans="1:2" ht="15" customHeight="1" x14ac:dyDescent="0.3">
      <c r="A5852" t="s">
        <v>6118</v>
      </c>
      <c r="B5852">
        <f>F1508</f>
        <v>35</v>
      </c>
    </row>
    <row r="5853" spans="1:2" ht="15" customHeight="1" x14ac:dyDescent="0.3">
      <c r="A5853" t="s">
        <v>6119</v>
      </c>
      <c r="B5853">
        <f>F1508</f>
        <v>35</v>
      </c>
    </row>
    <row r="5854" spans="1:2" ht="15" customHeight="1" x14ac:dyDescent="0.3">
      <c r="A5854" t="s">
        <v>6120</v>
      </c>
      <c r="B5854">
        <f>F1508</f>
        <v>35</v>
      </c>
    </row>
    <row r="5855" spans="1:2" ht="15" customHeight="1" x14ac:dyDescent="0.3">
      <c r="A5855" t="s">
        <v>6121</v>
      </c>
      <c r="B5855">
        <f>F1508</f>
        <v>35</v>
      </c>
    </row>
    <row r="5856" spans="1:2" ht="15" customHeight="1" x14ac:dyDescent="0.3">
      <c r="A5856" t="s">
        <v>6122</v>
      </c>
      <c r="B5856">
        <f>F1510</f>
        <v>20</v>
      </c>
    </row>
    <row r="5857" spans="1:2" ht="15" customHeight="1" x14ac:dyDescent="0.3">
      <c r="A5857" t="s">
        <v>6123</v>
      </c>
      <c r="B5857">
        <f>F1510</f>
        <v>20</v>
      </c>
    </row>
    <row r="5858" spans="1:2" ht="15" customHeight="1" x14ac:dyDescent="0.3">
      <c r="A5858" t="s">
        <v>1367</v>
      </c>
      <c r="B5858">
        <f>F1511</f>
        <v>15</v>
      </c>
    </row>
    <row r="5859" spans="1:2" ht="15" customHeight="1" x14ac:dyDescent="0.3">
      <c r="A5859" t="s">
        <v>6124</v>
      </c>
      <c r="B5859">
        <f>F1512</f>
        <v>25</v>
      </c>
    </row>
    <row r="5860" spans="1:2" ht="15" customHeight="1" x14ac:dyDescent="0.3">
      <c r="A5860" t="s">
        <v>6125</v>
      </c>
      <c r="B5860">
        <f>F1512</f>
        <v>25</v>
      </c>
    </row>
    <row r="5861" spans="1:2" ht="15" customHeight="1" x14ac:dyDescent="0.3">
      <c r="A5861" t="s">
        <v>1369</v>
      </c>
      <c r="B5861">
        <f>F1513</f>
        <v>20</v>
      </c>
    </row>
    <row r="5862" spans="1:2" ht="15" customHeight="1" x14ac:dyDescent="0.3">
      <c r="A5862" t="s">
        <v>1370</v>
      </c>
      <c r="B5862">
        <f>F1514</f>
        <v>15</v>
      </c>
    </row>
    <row r="5863" spans="1:2" ht="15" customHeight="1" x14ac:dyDescent="0.3">
      <c r="A5863" t="s">
        <v>6126</v>
      </c>
      <c r="B5863">
        <f>F1514</f>
        <v>15</v>
      </c>
    </row>
    <row r="5864" spans="1:2" ht="15" customHeight="1" x14ac:dyDescent="0.3">
      <c r="A5864" t="s">
        <v>6127</v>
      </c>
      <c r="B5864">
        <f>F1515</f>
        <v>20</v>
      </c>
    </row>
    <row r="5865" spans="1:2" ht="15" customHeight="1" x14ac:dyDescent="0.3">
      <c r="A5865" t="s">
        <v>6128</v>
      </c>
      <c r="B5865">
        <f>F1515</f>
        <v>20</v>
      </c>
    </row>
    <row r="5866" spans="1:2" ht="15" customHeight="1" x14ac:dyDescent="0.3">
      <c r="A5866" t="s">
        <v>6129</v>
      </c>
      <c r="B5866">
        <f>F1516</f>
        <v>10</v>
      </c>
    </row>
    <row r="5867" spans="1:2" ht="15" customHeight="1" x14ac:dyDescent="0.3">
      <c r="A5867" t="s">
        <v>6130</v>
      </c>
      <c r="B5867">
        <f>F1516</f>
        <v>10</v>
      </c>
    </row>
    <row r="5868" spans="1:2" ht="15" customHeight="1" x14ac:dyDescent="0.3">
      <c r="A5868" t="s">
        <v>6131</v>
      </c>
      <c r="B5868">
        <f>F1516</f>
        <v>10</v>
      </c>
    </row>
    <row r="5869" spans="1:2" ht="15" customHeight="1" x14ac:dyDescent="0.3">
      <c r="A5869" s="34" t="s">
        <v>6454</v>
      </c>
      <c r="B5869">
        <f t="shared" ref="B5869:B5898" si="1225">B5750</f>
        <v>30</v>
      </c>
    </row>
    <row r="5870" spans="1:2" ht="15" customHeight="1" x14ac:dyDescent="0.3">
      <c r="A5870" s="34" t="s">
        <v>6455</v>
      </c>
      <c r="B5870">
        <f t="shared" si="1225"/>
        <v>40</v>
      </c>
    </row>
    <row r="5871" spans="1:2" ht="15" customHeight="1" x14ac:dyDescent="0.3">
      <c r="A5871" s="34" t="s">
        <v>6456</v>
      </c>
      <c r="B5871">
        <f t="shared" si="1225"/>
        <v>40</v>
      </c>
    </row>
    <row r="5872" spans="1:2" ht="15" customHeight="1" x14ac:dyDescent="0.3">
      <c r="A5872" s="34" t="s">
        <v>6457</v>
      </c>
      <c r="B5872">
        <f t="shared" si="1225"/>
        <v>40</v>
      </c>
    </row>
    <row r="5873" spans="1:2" ht="15" customHeight="1" x14ac:dyDescent="0.3">
      <c r="A5873" s="34" t="s">
        <v>6458</v>
      </c>
      <c r="B5873">
        <f t="shared" si="1225"/>
        <v>30</v>
      </c>
    </row>
    <row r="5874" spans="1:2" ht="15" customHeight="1" x14ac:dyDescent="0.3">
      <c r="A5874" t="s">
        <v>6459</v>
      </c>
      <c r="B5874">
        <f t="shared" si="1225"/>
        <v>30</v>
      </c>
    </row>
    <row r="5875" spans="1:2" ht="15" customHeight="1" x14ac:dyDescent="0.3">
      <c r="A5875" t="s">
        <v>6460</v>
      </c>
      <c r="B5875">
        <f t="shared" si="1225"/>
        <v>40</v>
      </c>
    </row>
    <row r="5876" spans="1:2" ht="15" customHeight="1" x14ac:dyDescent="0.3">
      <c r="A5876" s="34" t="s">
        <v>6461</v>
      </c>
      <c r="B5876">
        <f t="shared" si="1225"/>
        <v>30</v>
      </c>
    </row>
    <row r="5877" spans="1:2" ht="15" customHeight="1" x14ac:dyDescent="0.3">
      <c r="A5877" s="34" t="s">
        <v>6462</v>
      </c>
      <c r="B5877">
        <f t="shared" si="1225"/>
        <v>30</v>
      </c>
    </row>
    <row r="5878" spans="1:2" ht="15" customHeight="1" x14ac:dyDescent="0.3">
      <c r="A5878" s="34" t="s">
        <v>6463</v>
      </c>
      <c r="B5878">
        <f t="shared" si="1225"/>
        <v>30</v>
      </c>
    </row>
    <row r="5879" spans="1:2" ht="15" customHeight="1" x14ac:dyDescent="0.3">
      <c r="A5879" s="34" t="s">
        <v>6464</v>
      </c>
      <c r="B5879">
        <f t="shared" si="1225"/>
        <v>30</v>
      </c>
    </row>
    <row r="5880" spans="1:2" ht="15" customHeight="1" x14ac:dyDescent="0.3">
      <c r="A5880" t="s">
        <v>6465</v>
      </c>
      <c r="B5880">
        <f t="shared" si="1225"/>
        <v>35</v>
      </c>
    </row>
    <row r="5881" spans="1:2" ht="15" customHeight="1" x14ac:dyDescent="0.3">
      <c r="A5881" t="s">
        <v>6466</v>
      </c>
      <c r="B5881">
        <f t="shared" si="1225"/>
        <v>35</v>
      </c>
    </row>
    <row r="5882" spans="1:2" ht="15" customHeight="1" x14ac:dyDescent="0.3">
      <c r="A5882" s="34" t="s">
        <v>6467</v>
      </c>
      <c r="B5882">
        <f t="shared" si="1225"/>
        <v>35</v>
      </c>
    </row>
    <row r="5883" spans="1:2" ht="15" customHeight="1" x14ac:dyDescent="0.3">
      <c r="A5883" t="s">
        <v>6468</v>
      </c>
      <c r="B5883">
        <f t="shared" si="1225"/>
        <v>0</v>
      </c>
    </row>
    <row r="5884" spans="1:2" ht="15" customHeight="1" x14ac:dyDescent="0.3">
      <c r="A5884" s="34" t="s">
        <v>6479</v>
      </c>
      <c r="B5884">
        <f t="shared" si="1225"/>
        <v>35</v>
      </c>
    </row>
    <row r="5885" spans="1:2" ht="15" customHeight="1" x14ac:dyDescent="0.3">
      <c r="A5885" s="34" t="s">
        <v>6480</v>
      </c>
      <c r="B5885">
        <f t="shared" si="1225"/>
        <v>35</v>
      </c>
    </row>
    <row r="5886" spans="1:2" ht="15" customHeight="1" x14ac:dyDescent="0.3">
      <c r="A5886" s="34" t="s">
        <v>6481</v>
      </c>
      <c r="B5886">
        <f t="shared" si="1225"/>
        <v>35</v>
      </c>
    </row>
    <row r="5887" spans="1:2" ht="15" customHeight="1" x14ac:dyDescent="0.3">
      <c r="A5887" t="s">
        <v>6482</v>
      </c>
      <c r="B5887">
        <f t="shared" si="1225"/>
        <v>35</v>
      </c>
    </row>
    <row r="5888" spans="1:2" ht="15" customHeight="1" x14ac:dyDescent="0.3">
      <c r="A5888" t="s">
        <v>6483</v>
      </c>
      <c r="B5888">
        <f t="shared" si="1225"/>
        <v>30</v>
      </c>
    </row>
    <row r="5889" spans="1:2" ht="15" customHeight="1" x14ac:dyDescent="0.3">
      <c r="A5889" s="23" t="s">
        <v>6484</v>
      </c>
      <c r="B5889" t="e">
        <f t="shared" si="1225"/>
        <v>#REF!</v>
      </c>
    </row>
    <row r="5890" spans="1:2" ht="15" customHeight="1" x14ac:dyDescent="0.3">
      <c r="A5890" s="23" t="s">
        <v>6485</v>
      </c>
      <c r="B5890" t="e">
        <f t="shared" si="1225"/>
        <v>#REF!</v>
      </c>
    </row>
    <row r="5891" spans="1:2" ht="15" customHeight="1" x14ac:dyDescent="0.3">
      <c r="A5891" s="23" t="s">
        <v>6486</v>
      </c>
      <c r="B5891">
        <f t="shared" si="1225"/>
        <v>30</v>
      </c>
    </row>
    <row r="5892" spans="1:2" ht="15" customHeight="1" x14ac:dyDescent="0.3">
      <c r="A5892" s="23" t="s">
        <v>6487</v>
      </c>
      <c r="B5892">
        <f t="shared" si="1225"/>
        <v>30</v>
      </c>
    </row>
    <row r="5893" spans="1:2" ht="15" customHeight="1" x14ac:dyDescent="0.3">
      <c r="A5893" t="s">
        <v>6488</v>
      </c>
      <c r="B5893">
        <f t="shared" si="1225"/>
        <v>30</v>
      </c>
    </row>
    <row r="5894" spans="1:2" ht="15" customHeight="1" x14ac:dyDescent="0.3">
      <c r="A5894" t="s">
        <v>6489</v>
      </c>
      <c r="B5894">
        <f t="shared" si="1225"/>
        <v>0</v>
      </c>
    </row>
    <row r="5895" spans="1:2" ht="15" customHeight="1" x14ac:dyDescent="0.3">
      <c r="A5895" s="23" t="s">
        <v>6490</v>
      </c>
      <c r="B5895">
        <f t="shared" si="1225"/>
        <v>25</v>
      </c>
    </row>
    <row r="5896" spans="1:2" ht="15" customHeight="1" x14ac:dyDescent="0.3">
      <c r="A5896" s="23" t="s">
        <v>6491</v>
      </c>
      <c r="B5896">
        <f t="shared" si="1225"/>
        <v>25</v>
      </c>
    </row>
    <row r="5897" spans="1:2" ht="15" customHeight="1" x14ac:dyDescent="0.3">
      <c r="A5897" s="23" t="s">
        <v>6492</v>
      </c>
      <c r="B5897">
        <f t="shared" si="1225"/>
        <v>35</v>
      </c>
    </row>
    <row r="5898" spans="1:2" ht="15" customHeight="1" x14ac:dyDescent="0.3">
      <c r="A5898" t="s">
        <v>6493</v>
      </c>
      <c r="B5898" t="e">
        <f t="shared" si="1225"/>
        <v>#REF!</v>
      </c>
    </row>
    <row r="5899" spans="1:2" ht="15" customHeight="1" x14ac:dyDescent="0.3">
      <c r="A5899" t="s">
        <v>6494</v>
      </c>
      <c r="B5899">
        <f t="shared" ref="B5899:B5900" si="1226">B5782</f>
        <v>30</v>
      </c>
    </row>
    <row r="5900" spans="1:2" ht="15" customHeight="1" x14ac:dyDescent="0.3">
      <c r="A5900" t="s">
        <v>6495</v>
      </c>
      <c r="B5900">
        <f t="shared" si="1226"/>
        <v>30</v>
      </c>
    </row>
    <row r="5901" spans="1:2" ht="15" customHeight="1" x14ac:dyDescent="0.3">
      <c r="A5901" t="s">
        <v>6496</v>
      </c>
      <c r="B5901">
        <f t="shared" ref="B5901:B5932" si="1227">B5784</f>
        <v>35</v>
      </c>
    </row>
    <row r="5902" spans="1:2" ht="15" customHeight="1" x14ac:dyDescent="0.3">
      <c r="A5902" t="s">
        <v>6497</v>
      </c>
      <c r="B5902">
        <f t="shared" si="1227"/>
        <v>25</v>
      </c>
    </row>
    <row r="5903" spans="1:2" ht="15" customHeight="1" x14ac:dyDescent="0.3">
      <c r="A5903" t="s">
        <v>6498</v>
      </c>
      <c r="B5903">
        <f t="shared" si="1227"/>
        <v>25</v>
      </c>
    </row>
    <row r="5904" spans="1:2" ht="15" customHeight="1" x14ac:dyDescent="0.3">
      <c r="A5904" t="s">
        <v>6499</v>
      </c>
      <c r="B5904">
        <f t="shared" si="1227"/>
        <v>35</v>
      </c>
    </row>
    <row r="5905" spans="1:2" ht="15" customHeight="1" x14ac:dyDescent="0.3">
      <c r="A5905" t="s">
        <v>6500</v>
      </c>
      <c r="B5905" t="e">
        <f t="shared" si="1227"/>
        <v>#REF!</v>
      </c>
    </row>
    <row r="5906" spans="1:2" ht="15" customHeight="1" x14ac:dyDescent="0.3">
      <c r="A5906" t="s">
        <v>6501</v>
      </c>
      <c r="B5906" t="e">
        <f t="shared" si="1227"/>
        <v>#REF!</v>
      </c>
    </row>
    <row r="5907" spans="1:2" ht="15" customHeight="1" x14ac:dyDescent="0.3">
      <c r="A5907" t="s">
        <v>6502</v>
      </c>
      <c r="B5907">
        <f t="shared" si="1227"/>
        <v>35</v>
      </c>
    </row>
    <row r="5908" spans="1:2" ht="15" customHeight="1" x14ac:dyDescent="0.3">
      <c r="A5908" t="s">
        <v>6503</v>
      </c>
      <c r="B5908">
        <f t="shared" si="1227"/>
        <v>35</v>
      </c>
    </row>
    <row r="5909" spans="1:2" ht="15" customHeight="1" x14ac:dyDescent="0.3">
      <c r="A5909" t="s">
        <v>6504</v>
      </c>
      <c r="B5909" t="e">
        <f t="shared" si="1227"/>
        <v>#REF!</v>
      </c>
    </row>
    <row r="5910" spans="1:2" ht="15" customHeight="1" x14ac:dyDescent="0.3">
      <c r="A5910" t="s">
        <v>6505</v>
      </c>
      <c r="B5910">
        <f t="shared" si="1227"/>
        <v>30</v>
      </c>
    </row>
    <row r="5911" spans="1:2" ht="15" customHeight="1" x14ac:dyDescent="0.3">
      <c r="A5911" t="s">
        <v>6506</v>
      </c>
      <c r="B5911">
        <f t="shared" si="1227"/>
        <v>35</v>
      </c>
    </row>
    <row r="5912" spans="1:2" ht="15" customHeight="1" x14ac:dyDescent="0.3">
      <c r="A5912" t="s">
        <v>6507</v>
      </c>
      <c r="B5912">
        <f t="shared" si="1227"/>
        <v>35</v>
      </c>
    </row>
    <row r="5913" spans="1:2" ht="15" customHeight="1" x14ac:dyDescent="0.3">
      <c r="A5913" t="s">
        <v>6508</v>
      </c>
      <c r="B5913">
        <f t="shared" si="1227"/>
        <v>35</v>
      </c>
    </row>
    <row r="5914" spans="1:2" ht="15" customHeight="1" x14ac:dyDescent="0.3">
      <c r="A5914" t="s">
        <v>6509</v>
      </c>
      <c r="B5914">
        <f t="shared" si="1227"/>
        <v>35</v>
      </c>
    </row>
    <row r="5915" spans="1:2" ht="15" customHeight="1" x14ac:dyDescent="0.3">
      <c r="A5915" t="s">
        <v>6510</v>
      </c>
      <c r="B5915">
        <f t="shared" si="1227"/>
        <v>30</v>
      </c>
    </row>
    <row r="5916" spans="1:2" ht="15" customHeight="1" x14ac:dyDescent="0.3">
      <c r="A5916" t="s">
        <v>6511</v>
      </c>
      <c r="B5916">
        <f t="shared" si="1227"/>
        <v>35</v>
      </c>
    </row>
    <row r="5917" spans="1:2" ht="15" customHeight="1" x14ac:dyDescent="0.3">
      <c r="A5917" t="s">
        <v>6512</v>
      </c>
      <c r="B5917" t="e">
        <f t="shared" si="1227"/>
        <v>#REF!</v>
      </c>
    </row>
    <row r="5918" spans="1:2" ht="15" customHeight="1" x14ac:dyDescent="0.3">
      <c r="A5918" t="s">
        <v>6513</v>
      </c>
      <c r="B5918">
        <f t="shared" si="1227"/>
        <v>30</v>
      </c>
    </row>
    <row r="5919" spans="1:2" ht="15" customHeight="1" x14ac:dyDescent="0.3">
      <c r="A5919" t="s">
        <v>6514</v>
      </c>
      <c r="B5919">
        <f t="shared" si="1227"/>
        <v>35</v>
      </c>
    </row>
    <row r="5920" spans="1:2" ht="15" customHeight="1" x14ac:dyDescent="0.3">
      <c r="A5920" t="s">
        <v>6515</v>
      </c>
      <c r="B5920">
        <f t="shared" si="1227"/>
        <v>35</v>
      </c>
    </row>
    <row r="5921" spans="1:2" ht="15" customHeight="1" x14ac:dyDescent="0.3">
      <c r="A5921" t="s">
        <v>6516</v>
      </c>
      <c r="B5921">
        <f t="shared" si="1227"/>
        <v>35</v>
      </c>
    </row>
    <row r="5922" spans="1:2" ht="15" customHeight="1" x14ac:dyDescent="0.3">
      <c r="A5922" t="s">
        <v>6517</v>
      </c>
      <c r="B5922">
        <f t="shared" si="1227"/>
        <v>20</v>
      </c>
    </row>
    <row r="5923" spans="1:2" ht="15" customHeight="1" x14ac:dyDescent="0.3">
      <c r="A5923" t="s">
        <v>6399</v>
      </c>
      <c r="B5923" t="e">
        <f t="shared" si="1227"/>
        <v>#REF!</v>
      </c>
    </row>
    <row r="5924" spans="1:2" ht="15" customHeight="1" x14ac:dyDescent="0.3">
      <c r="A5924" t="s">
        <v>6400</v>
      </c>
      <c r="B5924" t="e">
        <f t="shared" si="1227"/>
        <v>#REF!</v>
      </c>
    </row>
    <row r="5925" spans="1:2" ht="15" customHeight="1" x14ac:dyDescent="0.3">
      <c r="A5925" t="s">
        <v>6401</v>
      </c>
      <c r="B5925">
        <f t="shared" si="1227"/>
        <v>30</v>
      </c>
    </row>
    <row r="5926" spans="1:2" ht="15" customHeight="1" x14ac:dyDescent="0.3">
      <c r="A5926" t="s">
        <v>6402</v>
      </c>
      <c r="B5926">
        <f t="shared" si="1227"/>
        <v>35</v>
      </c>
    </row>
    <row r="5927" spans="1:2" ht="15" customHeight="1" x14ac:dyDescent="0.3">
      <c r="A5927" t="s">
        <v>6403</v>
      </c>
      <c r="B5927">
        <f t="shared" si="1227"/>
        <v>25</v>
      </c>
    </row>
    <row r="5928" spans="1:2" ht="15" customHeight="1" x14ac:dyDescent="0.3">
      <c r="A5928" t="s">
        <v>6404</v>
      </c>
      <c r="B5928">
        <f t="shared" si="1227"/>
        <v>30</v>
      </c>
    </row>
    <row r="5929" spans="1:2" ht="15" customHeight="1" x14ac:dyDescent="0.3">
      <c r="A5929" t="s">
        <v>6405</v>
      </c>
      <c r="B5929">
        <f t="shared" si="1227"/>
        <v>30</v>
      </c>
    </row>
    <row r="5930" spans="1:2" ht="15" customHeight="1" x14ac:dyDescent="0.3">
      <c r="A5930" t="s">
        <v>6406</v>
      </c>
      <c r="B5930">
        <f t="shared" si="1227"/>
        <v>30</v>
      </c>
    </row>
    <row r="5931" spans="1:2" ht="15" customHeight="1" x14ac:dyDescent="0.3">
      <c r="A5931" t="s">
        <v>6407</v>
      </c>
      <c r="B5931">
        <f t="shared" si="1227"/>
        <v>30</v>
      </c>
    </row>
    <row r="5932" spans="1:2" ht="15" customHeight="1" x14ac:dyDescent="0.3">
      <c r="A5932" t="s">
        <v>6518</v>
      </c>
      <c r="B5932">
        <f t="shared" si="1227"/>
        <v>35</v>
      </c>
    </row>
    <row r="5933" spans="1:2" ht="15" customHeight="1" x14ac:dyDescent="0.3">
      <c r="A5933" t="s">
        <v>6519</v>
      </c>
      <c r="B5933">
        <f t="shared" ref="B5933:B5963" si="1228">B5816</f>
        <v>35</v>
      </c>
    </row>
    <row r="5934" spans="1:2" ht="15" customHeight="1" x14ac:dyDescent="0.3">
      <c r="A5934" t="s">
        <v>6520</v>
      </c>
      <c r="B5934">
        <f t="shared" si="1228"/>
        <v>35</v>
      </c>
    </row>
    <row r="5935" spans="1:2" ht="15" customHeight="1" x14ac:dyDescent="0.3">
      <c r="A5935" t="s">
        <v>6521</v>
      </c>
      <c r="B5935">
        <f t="shared" si="1228"/>
        <v>20</v>
      </c>
    </row>
    <row r="5936" spans="1:2" ht="15" customHeight="1" x14ac:dyDescent="0.3">
      <c r="A5936" t="s">
        <v>6522</v>
      </c>
      <c r="B5936">
        <f t="shared" si="1228"/>
        <v>25</v>
      </c>
    </row>
    <row r="5937" spans="1:2" ht="15" customHeight="1" x14ac:dyDescent="0.3">
      <c r="A5937" t="s">
        <v>6523</v>
      </c>
      <c r="B5937">
        <f t="shared" si="1228"/>
        <v>25</v>
      </c>
    </row>
    <row r="5938" spans="1:2" ht="15" customHeight="1" x14ac:dyDescent="0.3">
      <c r="A5938" t="s">
        <v>6524</v>
      </c>
      <c r="B5938">
        <f t="shared" si="1228"/>
        <v>25</v>
      </c>
    </row>
    <row r="5939" spans="1:2" ht="15" customHeight="1" x14ac:dyDescent="0.3">
      <c r="A5939" t="s">
        <v>6525</v>
      </c>
      <c r="B5939">
        <f t="shared" si="1228"/>
        <v>30</v>
      </c>
    </row>
    <row r="5940" spans="1:2" ht="15" customHeight="1" x14ac:dyDescent="0.3">
      <c r="A5940" t="s">
        <v>6526</v>
      </c>
      <c r="B5940">
        <f t="shared" si="1228"/>
        <v>30</v>
      </c>
    </row>
    <row r="5941" spans="1:2" ht="15" customHeight="1" x14ac:dyDescent="0.3">
      <c r="A5941" t="s">
        <v>6527</v>
      </c>
      <c r="B5941">
        <f t="shared" si="1228"/>
        <v>30</v>
      </c>
    </row>
    <row r="5942" spans="1:2" ht="15" customHeight="1" x14ac:dyDescent="0.3">
      <c r="A5942" t="s">
        <v>6528</v>
      </c>
      <c r="B5942">
        <f t="shared" si="1228"/>
        <v>30</v>
      </c>
    </row>
    <row r="5943" spans="1:2" ht="15" customHeight="1" x14ac:dyDescent="0.3">
      <c r="A5943" t="s">
        <v>6529</v>
      </c>
      <c r="B5943">
        <f t="shared" si="1228"/>
        <v>30</v>
      </c>
    </row>
    <row r="5944" spans="1:2" ht="15" customHeight="1" x14ac:dyDescent="0.3">
      <c r="A5944" t="s">
        <v>6530</v>
      </c>
      <c r="B5944">
        <f t="shared" si="1228"/>
        <v>30</v>
      </c>
    </row>
    <row r="5945" spans="1:2" ht="15" customHeight="1" x14ac:dyDescent="0.3">
      <c r="A5945" t="s">
        <v>6531</v>
      </c>
      <c r="B5945">
        <f t="shared" si="1228"/>
        <v>30</v>
      </c>
    </row>
    <row r="5946" spans="1:2" ht="15" customHeight="1" x14ac:dyDescent="0.3">
      <c r="A5946" t="s">
        <v>6532</v>
      </c>
      <c r="B5946">
        <f t="shared" si="1228"/>
        <v>30</v>
      </c>
    </row>
    <row r="5947" spans="1:2" ht="15" customHeight="1" x14ac:dyDescent="0.3">
      <c r="A5947" t="s">
        <v>6533</v>
      </c>
      <c r="B5947">
        <f t="shared" si="1228"/>
        <v>25</v>
      </c>
    </row>
    <row r="5948" spans="1:2" ht="15" customHeight="1" x14ac:dyDescent="0.3">
      <c r="A5948" t="s">
        <v>6534</v>
      </c>
      <c r="B5948">
        <f t="shared" si="1228"/>
        <v>25</v>
      </c>
    </row>
    <row r="5949" spans="1:2" ht="15" customHeight="1" x14ac:dyDescent="0.3">
      <c r="A5949" t="s">
        <v>6535</v>
      </c>
      <c r="B5949">
        <f t="shared" si="1228"/>
        <v>25</v>
      </c>
    </row>
    <row r="5950" spans="1:2" ht="15" customHeight="1" x14ac:dyDescent="0.3">
      <c r="A5950" t="s">
        <v>6536</v>
      </c>
      <c r="B5950">
        <f t="shared" si="1228"/>
        <v>25</v>
      </c>
    </row>
    <row r="5951" spans="1:2" ht="15" customHeight="1" x14ac:dyDescent="0.3">
      <c r="A5951" t="s">
        <v>6537</v>
      </c>
      <c r="B5951">
        <f t="shared" si="1228"/>
        <v>20</v>
      </c>
    </row>
    <row r="5952" spans="1:2" ht="15" customHeight="1" x14ac:dyDescent="0.3">
      <c r="A5952" t="s">
        <v>6538</v>
      </c>
      <c r="B5952">
        <f t="shared" si="1228"/>
        <v>20</v>
      </c>
    </row>
    <row r="5953" spans="1:2" ht="15" customHeight="1" x14ac:dyDescent="0.3">
      <c r="A5953" t="s">
        <v>6539</v>
      </c>
      <c r="B5953">
        <f t="shared" si="1228"/>
        <v>20</v>
      </c>
    </row>
    <row r="5954" spans="1:2" ht="15" customHeight="1" x14ac:dyDescent="0.3">
      <c r="A5954" t="s">
        <v>6540</v>
      </c>
      <c r="B5954">
        <f t="shared" si="1228"/>
        <v>20</v>
      </c>
    </row>
    <row r="5955" spans="1:2" ht="15" customHeight="1" x14ac:dyDescent="0.3">
      <c r="A5955" t="s">
        <v>6469</v>
      </c>
      <c r="B5955">
        <f t="shared" si="1228"/>
        <v>30</v>
      </c>
    </row>
    <row r="5956" spans="1:2" ht="15" customHeight="1" x14ac:dyDescent="0.3">
      <c r="A5956" t="s">
        <v>6470</v>
      </c>
      <c r="B5956">
        <f t="shared" si="1228"/>
        <v>0</v>
      </c>
    </row>
    <row r="5957" spans="1:2" ht="15" customHeight="1" x14ac:dyDescent="0.3">
      <c r="A5957" t="s">
        <v>6471</v>
      </c>
      <c r="B5957">
        <f t="shared" si="1228"/>
        <v>30</v>
      </c>
    </row>
    <row r="5958" spans="1:2" ht="15" customHeight="1" x14ac:dyDescent="0.3">
      <c r="A5958" t="s">
        <v>6472</v>
      </c>
      <c r="B5958">
        <f t="shared" si="1228"/>
        <v>30</v>
      </c>
    </row>
    <row r="5959" spans="1:2" ht="15" customHeight="1" x14ac:dyDescent="0.3">
      <c r="A5959" t="s">
        <v>6473</v>
      </c>
      <c r="B5959">
        <f t="shared" si="1228"/>
        <v>30</v>
      </c>
    </row>
    <row r="5960" spans="1:2" ht="15" customHeight="1" x14ac:dyDescent="0.3">
      <c r="A5960" t="s">
        <v>6474</v>
      </c>
      <c r="B5960">
        <f t="shared" si="1228"/>
        <v>30</v>
      </c>
    </row>
    <row r="5961" spans="1:2" ht="15" customHeight="1" x14ac:dyDescent="0.3">
      <c r="A5961" t="s">
        <v>6475</v>
      </c>
      <c r="B5961">
        <f t="shared" si="1228"/>
        <v>30</v>
      </c>
    </row>
    <row r="5962" spans="1:2" ht="15" customHeight="1" x14ac:dyDescent="0.3">
      <c r="A5962" t="s">
        <v>6476</v>
      </c>
      <c r="B5962">
        <f t="shared" si="1228"/>
        <v>30</v>
      </c>
    </row>
    <row r="5963" spans="1:2" ht="15" customHeight="1" x14ac:dyDescent="0.3">
      <c r="A5963" t="s">
        <v>6477</v>
      </c>
      <c r="B5963">
        <f t="shared" si="1228"/>
        <v>30</v>
      </c>
    </row>
    <row r="5964" spans="1:2" ht="15" customHeight="1" x14ac:dyDescent="0.3">
      <c r="A5964" t="s">
        <v>6478</v>
      </c>
      <c r="B5964" t="e">
        <f>#REF!</f>
        <v>#REF!</v>
      </c>
    </row>
    <row r="5965" spans="1:2" ht="15" customHeight="1" x14ac:dyDescent="0.3">
      <c r="A5965" t="s">
        <v>6341</v>
      </c>
      <c r="B5965">
        <f>B5848</f>
        <v>15</v>
      </c>
    </row>
    <row r="5966" spans="1:2" ht="15" customHeight="1" x14ac:dyDescent="0.3">
      <c r="A5966" t="s">
        <v>6342</v>
      </c>
      <c r="B5966">
        <f>B5850</f>
        <v>20</v>
      </c>
    </row>
    <row r="5967" spans="1:2" ht="15" customHeight="1" x14ac:dyDescent="0.3">
      <c r="A5967" t="s">
        <v>6343</v>
      </c>
      <c r="B5967">
        <f>B5852</f>
        <v>35</v>
      </c>
    </row>
    <row r="5968" spans="1:2" ht="15" customHeight="1" x14ac:dyDescent="0.3">
      <c r="A5968" t="s">
        <v>6344</v>
      </c>
      <c r="B5968">
        <f>B5854</f>
        <v>35</v>
      </c>
    </row>
    <row r="5969" spans="1:2" ht="15" customHeight="1" x14ac:dyDescent="0.3">
      <c r="A5969" t="s">
        <v>6444</v>
      </c>
      <c r="B5969">
        <f t="shared" ref="B5969:B5981" si="1229">B5856</f>
        <v>20</v>
      </c>
    </row>
    <row r="5970" spans="1:2" ht="15" customHeight="1" x14ac:dyDescent="0.3">
      <c r="A5970" t="s">
        <v>6445</v>
      </c>
      <c r="B5970">
        <f t="shared" si="1229"/>
        <v>20</v>
      </c>
    </row>
    <row r="5971" spans="1:2" ht="15" customHeight="1" x14ac:dyDescent="0.3">
      <c r="A5971" t="s">
        <v>6446</v>
      </c>
      <c r="B5971">
        <f t="shared" si="1229"/>
        <v>15</v>
      </c>
    </row>
    <row r="5972" spans="1:2" ht="15" customHeight="1" x14ac:dyDescent="0.3">
      <c r="A5972" t="s">
        <v>6447</v>
      </c>
      <c r="B5972">
        <f t="shared" si="1229"/>
        <v>25</v>
      </c>
    </row>
    <row r="5973" spans="1:2" ht="15" customHeight="1" x14ac:dyDescent="0.3">
      <c r="A5973" t="s">
        <v>6448</v>
      </c>
      <c r="B5973">
        <f t="shared" si="1229"/>
        <v>25</v>
      </c>
    </row>
    <row r="5974" spans="1:2" ht="15" customHeight="1" x14ac:dyDescent="0.3">
      <c r="A5974" t="s">
        <v>6449</v>
      </c>
      <c r="B5974">
        <f t="shared" si="1229"/>
        <v>20</v>
      </c>
    </row>
    <row r="5975" spans="1:2" ht="15" customHeight="1" x14ac:dyDescent="0.3">
      <c r="A5975" t="s">
        <v>6542</v>
      </c>
      <c r="B5975">
        <f t="shared" si="1229"/>
        <v>15</v>
      </c>
    </row>
    <row r="5976" spans="1:2" ht="15" customHeight="1" x14ac:dyDescent="0.3">
      <c r="A5976" t="s">
        <v>6543</v>
      </c>
      <c r="B5976">
        <f t="shared" si="1229"/>
        <v>15</v>
      </c>
    </row>
    <row r="5977" spans="1:2" ht="15" customHeight="1" x14ac:dyDescent="0.3">
      <c r="A5977" t="s">
        <v>6544</v>
      </c>
      <c r="B5977">
        <f t="shared" si="1229"/>
        <v>20</v>
      </c>
    </row>
    <row r="5978" spans="1:2" ht="15" customHeight="1" x14ac:dyDescent="0.3">
      <c r="A5978" t="s">
        <v>6545</v>
      </c>
      <c r="B5978">
        <f t="shared" si="1229"/>
        <v>20</v>
      </c>
    </row>
    <row r="5979" spans="1:2" ht="15" customHeight="1" x14ac:dyDescent="0.3">
      <c r="A5979" t="s">
        <v>6546</v>
      </c>
      <c r="B5979">
        <f t="shared" si="1229"/>
        <v>10</v>
      </c>
    </row>
    <row r="5980" spans="1:2" ht="15" customHeight="1" x14ac:dyDescent="0.3">
      <c r="A5980" t="s">
        <v>6547</v>
      </c>
      <c r="B5980">
        <f t="shared" si="1229"/>
        <v>10</v>
      </c>
    </row>
    <row r="5981" spans="1:2" ht="15" customHeight="1" x14ac:dyDescent="0.3">
      <c r="A5981" t="s">
        <v>6541</v>
      </c>
      <c r="B5981">
        <f t="shared" si="1229"/>
        <v>10</v>
      </c>
    </row>
    <row r="5982" spans="1:2" ht="15" customHeight="1" x14ac:dyDescent="0.3">
      <c r="A5982" s="34" t="s">
        <v>6345</v>
      </c>
      <c r="B5982">
        <f t="shared" ref="B5982:B6011" si="1230">B5750</f>
        <v>30</v>
      </c>
    </row>
    <row r="5983" spans="1:2" ht="15" customHeight="1" x14ac:dyDescent="0.3">
      <c r="A5983" s="34" t="s">
        <v>6346</v>
      </c>
      <c r="B5983">
        <f t="shared" si="1230"/>
        <v>40</v>
      </c>
    </row>
    <row r="5984" spans="1:2" ht="15" customHeight="1" x14ac:dyDescent="0.3">
      <c r="A5984" s="34" t="s">
        <v>6347</v>
      </c>
      <c r="B5984">
        <f t="shared" si="1230"/>
        <v>40</v>
      </c>
    </row>
    <row r="5985" spans="1:2" ht="15" customHeight="1" x14ac:dyDescent="0.3">
      <c r="A5985" s="34" t="s">
        <v>6348</v>
      </c>
      <c r="B5985">
        <f t="shared" si="1230"/>
        <v>40</v>
      </c>
    </row>
    <row r="5986" spans="1:2" ht="15" customHeight="1" x14ac:dyDescent="0.3">
      <c r="A5986" s="34" t="s">
        <v>6349</v>
      </c>
      <c r="B5986">
        <f t="shared" si="1230"/>
        <v>30</v>
      </c>
    </row>
    <row r="5987" spans="1:2" ht="15" customHeight="1" x14ac:dyDescent="0.3">
      <c r="A5987" t="s">
        <v>6350</v>
      </c>
      <c r="B5987">
        <f t="shared" si="1230"/>
        <v>30</v>
      </c>
    </row>
    <row r="5988" spans="1:2" ht="15" customHeight="1" x14ac:dyDescent="0.3">
      <c r="A5988" t="s">
        <v>6351</v>
      </c>
      <c r="B5988">
        <f t="shared" si="1230"/>
        <v>40</v>
      </c>
    </row>
    <row r="5989" spans="1:2" ht="15" customHeight="1" x14ac:dyDescent="0.3">
      <c r="A5989" s="34" t="s">
        <v>6352</v>
      </c>
      <c r="B5989">
        <f t="shared" si="1230"/>
        <v>30</v>
      </c>
    </row>
    <row r="5990" spans="1:2" ht="15" customHeight="1" x14ac:dyDescent="0.3">
      <c r="A5990" s="34" t="s">
        <v>6353</v>
      </c>
      <c r="B5990">
        <f t="shared" si="1230"/>
        <v>30</v>
      </c>
    </row>
    <row r="5991" spans="1:2" ht="15" customHeight="1" x14ac:dyDescent="0.3">
      <c r="A5991" s="34" t="s">
        <v>6354</v>
      </c>
      <c r="B5991">
        <f t="shared" si="1230"/>
        <v>30</v>
      </c>
    </row>
    <row r="5992" spans="1:2" ht="15" customHeight="1" x14ac:dyDescent="0.3">
      <c r="A5992" s="34" t="s">
        <v>6355</v>
      </c>
      <c r="B5992">
        <f t="shared" si="1230"/>
        <v>30</v>
      </c>
    </row>
    <row r="5993" spans="1:2" ht="15" customHeight="1" x14ac:dyDescent="0.3">
      <c r="A5993" t="s">
        <v>6356</v>
      </c>
      <c r="B5993">
        <f t="shared" si="1230"/>
        <v>35</v>
      </c>
    </row>
    <row r="5994" spans="1:2" ht="15" customHeight="1" x14ac:dyDescent="0.3">
      <c r="A5994" t="s">
        <v>6357</v>
      </c>
      <c r="B5994">
        <f t="shared" si="1230"/>
        <v>35</v>
      </c>
    </row>
    <row r="5995" spans="1:2" ht="15" customHeight="1" x14ac:dyDescent="0.3">
      <c r="A5995" s="34" t="s">
        <v>6358</v>
      </c>
      <c r="B5995">
        <f t="shared" si="1230"/>
        <v>35</v>
      </c>
    </row>
    <row r="5996" spans="1:2" ht="15" customHeight="1" x14ac:dyDescent="0.3">
      <c r="A5996" t="s">
        <v>6359</v>
      </c>
      <c r="B5996">
        <f t="shared" si="1230"/>
        <v>0</v>
      </c>
    </row>
    <row r="5997" spans="1:2" ht="15" customHeight="1" x14ac:dyDescent="0.3">
      <c r="A5997" s="34" t="s">
        <v>6360</v>
      </c>
      <c r="B5997">
        <f t="shared" si="1230"/>
        <v>35</v>
      </c>
    </row>
    <row r="5998" spans="1:2" ht="15" customHeight="1" x14ac:dyDescent="0.3">
      <c r="A5998" s="34" t="s">
        <v>6361</v>
      </c>
      <c r="B5998">
        <f t="shared" si="1230"/>
        <v>35</v>
      </c>
    </row>
    <row r="5999" spans="1:2" ht="15" customHeight="1" x14ac:dyDescent="0.3">
      <c r="A5999" s="34" t="s">
        <v>6362</v>
      </c>
      <c r="B5999">
        <f t="shared" si="1230"/>
        <v>35</v>
      </c>
    </row>
    <row r="6000" spans="1:2" ht="15" customHeight="1" x14ac:dyDescent="0.3">
      <c r="A6000" t="s">
        <v>6363</v>
      </c>
      <c r="B6000">
        <f t="shared" si="1230"/>
        <v>35</v>
      </c>
    </row>
    <row r="6001" spans="1:2" ht="15" customHeight="1" x14ac:dyDescent="0.3">
      <c r="A6001" t="s">
        <v>6364</v>
      </c>
      <c r="B6001">
        <f t="shared" si="1230"/>
        <v>30</v>
      </c>
    </row>
    <row r="6002" spans="1:2" ht="15" customHeight="1" x14ac:dyDescent="0.3">
      <c r="A6002" s="23" t="s">
        <v>6365</v>
      </c>
      <c r="B6002" t="e">
        <f t="shared" si="1230"/>
        <v>#REF!</v>
      </c>
    </row>
    <row r="6003" spans="1:2" ht="15" customHeight="1" x14ac:dyDescent="0.3">
      <c r="A6003" s="23" t="s">
        <v>6366</v>
      </c>
      <c r="B6003" t="e">
        <f t="shared" si="1230"/>
        <v>#REF!</v>
      </c>
    </row>
    <row r="6004" spans="1:2" ht="15" customHeight="1" x14ac:dyDescent="0.3">
      <c r="A6004" s="23" t="s">
        <v>6367</v>
      </c>
      <c r="B6004">
        <f t="shared" si="1230"/>
        <v>30</v>
      </c>
    </row>
    <row r="6005" spans="1:2" ht="15" customHeight="1" x14ac:dyDescent="0.3">
      <c r="A6005" s="23" t="s">
        <v>6368</v>
      </c>
      <c r="B6005">
        <f t="shared" si="1230"/>
        <v>30</v>
      </c>
    </row>
    <row r="6006" spans="1:2" ht="15" customHeight="1" x14ac:dyDescent="0.3">
      <c r="A6006" t="s">
        <v>6369</v>
      </c>
      <c r="B6006">
        <f t="shared" si="1230"/>
        <v>30</v>
      </c>
    </row>
    <row r="6007" spans="1:2" ht="15" customHeight="1" x14ac:dyDescent="0.3">
      <c r="A6007" t="s">
        <v>6370</v>
      </c>
      <c r="B6007">
        <f t="shared" si="1230"/>
        <v>0</v>
      </c>
    </row>
    <row r="6008" spans="1:2" ht="15" customHeight="1" x14ac:dyDescent="0.3">
      <c r="A6008" s="23" t="s">
        <v>6371</v>
      </c>
      <c r="B6008">
        <f t="shared" si="1230"/>
        <v>25</v>
      </c>
    </row>
    <row r="6009" spans="1:2" ht="15" customHeight="1" x14ac:dyDescent="0.3">
      <c r="A6009" s="23" t="s">
        <v>6372</v>
      </c>
      <c r="B6009">
        <f t="shared" si="1230"/>
        <v>25</v>
      </c>
    </row>
    <row r="6010" spans="1:2" ht="15" customHeight="1" x14ac:dyDescent="0.3">
      <c r="A6010" s="23" t="s">
        <v>6373</v>
      </c>
      <c r="B6010">
        <f t="shared" si="1230"/>
        <v>35</v>
      </c>
    </row>
    <row r="6011" spans="1:2" ht="15" customHeight="1" x14ac:dyDescent="0.3">
      <c r="A6011" t="s">
        <v>6374</v>
      </c>
      <c r="B6011" t="e">
        <f t="shared" si="1230"/>
        <v>#REF!</v>
      </c>
    </row>
    <row r="6012" spans="1:2" ht="15" customHeight="1" x14ac:dyDescent="0.3">
      <c r="A6012" t="s">
        <v>6375</v>
      </c>
      <c r="B6012">
        <f t="shared" ref="B6012:B6013" si="1231">B5782</f>
        <v>30</v>
      </c>
    </row>
    <row r="6013" spans="1:2" ht="15" customHeight="1" x14ac:dyDescent="0.3">
      <c r="A6013" t="s">
        <v>6376</v>
      </c>
      <c r="B6013">
        <f t="shared" si="1231"/>
        <v>30</v>
      </c>
    </row>
    <row r="6014" spans="1:2" ht="15" customHeight="1" x14ac:dyDescent="0.3">
      <c r="A6014" t="s">
        <v>6377</v>
      </c>
      <c r="B6014">
        <f t="shared" ref="B6014:B6035" si="1232">B5784</f>
        <v>35</v>
      </c>
    </row>
    <row r="6015" spans="1:2" ht="15" customHeight="1" x14ac:dyDescent="0.3">
      <c r="A6015" t="s">
        <v>6378</v>
      </c>
      <c r="B6015">
        <f t="shared" si="1232"/>
        <v>25</v>
      </c>
    </row>
    <row r="6016" spans="1:2" ht="15" customHeight="1" x14ac:dyDescent="0.3">
      <c r="A6016" t="s">
        <v>6379</v>
      </c>
      <c r="B6016">
        <f t="shared" si="1232"/>
        <v>25</v>
      </c>
    </row>
    <row r="6017" spans="1:2" ht="15" customHeight="1" x14ac:dyDescent="0.3">
      <c r="A6017" t="s">
        <v>6380</v>
      </c>
      <c r="B6017">
        <f t="shared" si="1232"/>
        <v>35</v>
      </c>
    </row>
    <row r="6018" spans="1:2" ht="15" customHeight="1" x14ac:dyDescent="0.3">
      <c r="A6018" t="s">
        <v>6381</v>
      </c>
      <c r="B6018" t="e">
        <f t="shared" si="1232"/>
        <v>#REF!</v>
      </c>
    </row>
    <row r="6019" spans="1:2" ht="15" customHeight="1" x14ac:dyDescent="0.3">
      <c r="A6019" t="s">
        <v>6382</v>
      </c>
      <c r="B6019" t="e">
        <f t="shared" si="1232"/>
        <v>#REF!</v>
      </c>
    </row>
    <row r="6020" spans="1:2" ht="15" customHeight="1" x14ac:dyDescent="0.3">
      <c r="A6020" t="s">
        <v>6383</v>
      </c>
      <c r="B6020">
        <f t="shared" si="1232"/>
        <v>35</v>
      </c>
    </row>
    <row r="6021" spans="1:2" ht="15" customHeight="1" x14ac:dyDescent="0.3">
      <c r="A6021" t="s">
        <v>6384</v>
      </c>
      <c r="B6021">
        <f t="shared" si="1232"/>
        <v>35</v>
      </c>
    </row>
    <row r="6022" spans="1:2" ht="15" customHeight="1" x14ac:dyDescent="0.3">
      <c r="A6022" t="s">
        <v>6385</v>
      </c>
      <c r="B6022" t="e">
        <f t="shared" si="1232"/>
        <v>#REF!</v>
      </c>
    </row>
    <row r="6023" spans="1:2" ht="15" customHeight="1" x14ac:dyDescent="0.3">
      <c r="A6023" t="s">
        <v>6386</v>
      </c>
      <c r="B6023">
        <f t="shared" si="1232"/>
        <v>30</v>
      </c>
    </row>
    <row r="6024" spans="1:2" ht="15" customHeight="1" x14ac:dyDescent="0.3">
      <c r="A6024" t="s">
        <v>6387</v>
      </c>
      <c r="B6024">
        <f t="shared" si="1232"/>
        <v>35</v>
      </c>
    </row>
    <row r="6025" spans="1:2" ht="15" customHeight="1" x14ac:dyDescent="0.3">
      <c r="A6025" t="s">
        <v>6388</v>
      </c>
      <c r="B6025">
        <f t="shared" si="1232"/>
        <v>35</v>
      </c>
    </row>
    <row r="6026" spans="1:2" ht="15" customHeight="1" x14ac:dyDescent="0.3">
      <c r="A6026" t="s">
        <v>6389</v>
      </c>
      <c r="B6026">
        <f t="shared" si="1232"/>
        <v>35</v>
      </c>
    </row>
    <row r="6027" spans="1:2" ht="15" customHeight="1" x14ac:dyDescent="0.3">
      <c r="A6027" t="s">
        <v>6390</v>
      </c>
      <c r="B6027">
        <f t="shared" si="1232"/>
        <v>35</v>
      </c>
    </row>
    <row r="6028" spans="1:2" ht="15" customHeight="1" x14ac:dyDescent="0.3">
      <c r="A6028" t="s">
        <v>6391</v>
      </c>
      <c r="B6028">
        <f t="shared" si="1232"/>
        <v>30</v>
      </c>
    </row>
    <row r="6029" spans="1:2" ht="15" customHeight="1" x14ac:dyDescent="0.3">
      <c r="A6029" t="s">
        <v>6392</v>
      </c>
      <c r="B6029">
        <f t="shared" si="1232"/>
        <v>35</v>
      </c>
    </row>
    <row r="6030" spans="1:2" ht="15" customHeight="1" x14ac:dyDescent="0.3">
      <c r="A6030" t="s">
        <v>6393</v>
      </c>
      <c r="B6030" t="e">
        <f t="shared" si="1232"/>
        <v>#REF!</v>
      </c>
    </row>
    <row r="6031" spans="1:2" ht="15" customHeight="1" x14ac:dyDescent="0.3">
      <c r="A6031" t="s">
        <v>6394</v>
      </c>
      <c r="B6031">
        <f t="shared" si="1232"/>
        <v>30</v>
      </c>
    </row>
    <row r="6032" spans="1:2" ht="15" customHeight="1" x14ac:dyDescent="0.3">
      <c r="A6032" t="s">
        <v>6395</v>
      </c>
      <c r="B6032">
        <f t="shared" si="1232"/>
        <v>35</v>
      </c>
    </row>
    <row r="6033" spans="1:2" ht="15" customHeight="1" x14ac:dyDescent="0.3">
      <c r="A6033" t="s">
        <v>6396</v>
      </c>
      <c r="B6033">
        <f t="shared" si="1232"/>
        <v>35</v>
      </c>
    </row>
    <row r="6034" spans="1:2" ht="15" customHeight="1" x14ac:dyDescent="0.3">
      <c r="A6034" t="s">
        <v>6397</v>
      </c>
      <c r="B6034">
        <f t="shared" si="1232"/>
        <v>35</v>
      </c>
    </row>
    <row r="6035" spans="1:2" ht="15" customHeight="1" x14ac:dyDescent="0.3">
      <c r="A6035" t="s">
        <v>6398</v>
      </c>
      <c r="B6035">
        <f t="shared" si="1232"/>
        <v>20</v>
      </c>
    </row>
    <row r="6036" spans="1:2" ht="15" customHeight="1" x14ac:dyDescent="0.3">
      <c r="A6036" t="s">
        <v>6408</v>
      </c>
      <c r="B6036">
        <f t="shared" ref="B6036:B6067" si="1233">B5815</f>
        <v>35</v>
      </c>
    </row>
    <row r="6037" spans="1:2" ht="15" customHeight="1" x14ac:dyDescent="0.3">
      <c r="A6037" t="s">
        <v>6409</v>
      </c>
      <c r="B6037">
        <f t="shared" si="1233"/>
        <v>35</v>
      </c>
    </row>
    <row r="6038" spans="1:2" ht="15" customHeight="1" x14ac:dyDescent="0.3">
      <c r="A6038" t="s">
        <v>6410</v>
      </c>
      <c r="B6038">
        <f t="shared" si="1233"/>
        <v>35</v>
      </c>
    </row>
    <row r="6039" spans="1:2" ht="15" customHeight="1" x14ac:dyDescent="0.3">
      <c r="A6039" t="s">
        <v>6411</v>
      </c>
      <c r="B6039">
        <f t="shared" si="1233"/>
        <v>20</v>
      </c>
    </row>
    <row r="6040" spans="1:2" ht="15" customHeight="1" x14ac:dyDescent="0.3">
      <c r="A6040" t="s">
        <v>6412</v>
      </c>
      <c r="B6040">
        <f t="shared" si="1233"/>
        <v>25</v>
      </c>
    </row>
    <row r="6041" spans="1:2" ht="15" customHeight="1" x14ac:dyDescent="0.3">
      <c r="A6041" t="s">
        <v>6413</v>
      </c>
      <c r="B6041">
        <f t="shared" si="1233"/>
        <v>25</v>
      </c>
    </row>
    <row r="6042" spans="1:2" ht="15" customHeight="1" x14ac:dyDescent="0.3">
      <c r="A6042" t="s">
        <v>6414</v>
      </c>
      <c r="B6042">
        <f t="shared" si="1233"/>
        <v>25</v>
      </c>
    </row>
    <row r="6043" spans="1:2" ht="15" customHeight="1" x14ac:dyDescent="0.3">
      <c r="A6043" t="s">
        <v>6415</v>
      </c>
      <c r="B6043">
        <f t="shared" si="1233"/>
        <v>30</v>
      </c>
    </row>
    <row r="6044" spans="1:2" ht="15" customHeight="1" x14ac:dyDescent="0.3">
      <c r="A6044" t="s">
        <v>6416</v>
      </c>
      <c r="B6044">
        <f t="shared" si="1233"/>
        <v>30</v>
      </c>
    </row>
    <row r="6045" spans="1:2" ht="15" customHeight="1" x14ac:dyDescent="0.3">
      <c r="A6045" t="s">
        <v>6417</v>
      </c>
      <c r="B6045">
        <f t="shared" si="1233"/>
        <v>30</v>
      </c>
    </row>
    <row r="6046" spans="1:2" ht="15" customHeight="1" x14ac:dyDescent="0.3">
      <c r="A6046" t="s">
        <v>6418</v>
      </c>
      <c r="B6046">
        <f t="shared" si="1233"/>
        <v>30</v>
      </c>
    </row>
    <row r="6047" spans="1:2" ht="15" customHeight="1" x14ac:dyDescent="0.3">
      <c r="A6047" t="s">
        <v>6419</v>
      </c>
      <c r="B6047">
        <f t="shared" si="1233"/>
        <v>30</v>
      </c>
    </row>
    <row r="6048" spans="1:2" ht="15" customHeight="1" x14ac:dyDescent="0.3">
      <c r="A6048" t="s">
        <v>6420</v>
      </c>
      <c r="B6048">
        <f t="shared" si="1233"/>
        <v>30</v>
      </c>
    </row>
    <row r="6049" spans="1:2" ht="15" customHeight="1" x14ac:dyDescent="0.3">
      <c r="A6049" t="s">
        <v>6421</v>
      </c>
      <c r="B6049">
        <f t="shared" si="1233"/>
        <v>30</v>
      </c>
    </row>
    <row r="6050" spans="1:2" ht="15" customHeight="1" x14ac:dyDescent="0.3">
      <c r="A6050" t="s">
        <v>6422</v>
      </c>
      <c r="B6050">
        <f t="shared" si="1233"/>
        <v>30</v>
      </c>
    </row>
    <row r="6051" spans="1:2" ht="15" customHeight="1" x14ac:dyDescent="0.3">
      <c r="A6051" t="s">
        <v>6423</v>
      </c>
      <c r="B6051">
        <f t="shared" si="1233"/>
        <v>25</v>
      </c>
    </row>
    <row r="6052" spans="1:2" ht="15" customHeight="1" x14ac:dyDescent="0.3">
      <c r="A6052" t="s">
        <v>6424</v>
      </c>
      <c r="B6052">
        <f t="shared" si="1233"/>
        <v>25</v>
      </c>
    </row>
    <row r="6053" spans="1:2" ht="15" customHeight="1" x14ac:dyDescent="0.3">
      <c r="A6053" t="s">
        <v>6425</v>
      </c>
      <c r="B6053">
        <f t="shared" si="1233"/>
        <v>25</v>
      </c>
    </row>
    <row r="6054" spans="1:2" ht="15" customHeight="1" x14ac:dyDescent="0.3">
      <c r="A6054" t="s">
        <v>6426</v>
      </c>
      <c r="B6054">
        <f t="shared" si="1233"/>
        <v>25</v>
      </c>
    </row>
    <row r="6055" spans="1:2" ht="15" customHeight="1" x14ac:dyDescent="0.3">
      <c r="A6055" t="s">
        <v>6427</v>
      </c>
      <c r="B6055">
        <f t="shared" si="1233"/>
        <v>20</v>
      </c>
    </row>
    <row r="6056" spans="1:2" ht="15" customHeight="1" x14ac:dyDescent="0.3">
      <c r="A6056" t="s">
        <v>6428</v>
      </c>
      <c r="B6056">
        <f t="shared" si="1233"/>
        <v>20</v>
      </c>
    </row>
    <row r="6057" spans="1:2" ht="15" customHeight="1" x14ac:dyDescent="0.3">
      <c r="A6057" t="s">
        <v>6429</v>
      </c>
      <c r="B6057">
        <f t="shared" si="1233"/>
        <v>20</v>
      </c>
    </row>
    <row r="6058" spans="1:2" ht="15" customHeight="1" x14ac:dyDescent="0.3">
      <c r="A6058" t="s">
        <v>6430</v>
      </c>
      <c r="B6058">
        <f t="shared" si="1233"/>
        <v>20</v>
      </c>
    </row>
    <row r="6059" spans="1:2" ht="15" customHeight="1" x14ac:dyDescent="0.3">
      <c r="A6059" t="s">
        <v>6431</v>
      </c>
      <c r="B6059">
        <f t="shared" si="1233"/>
        <v>30</v>
      </c>
    </row>
    <row r="6060" spans="1:2" ht="15" customHeight="1" x14ac:dyDescent="0.3">
      <c r="A6060" t="s">
        <v>6432</v>
      </c>
      <c r="B6060">
        <f t="shared" si="1233"/>
        <v>0</v>
      </c>
    </row>
    <row r="6061" spans="1:2" ht="15" customHeight="1" x14ac:dyDescent="0.3">
      <c r="A6061" t="s">
        <v>6433</v>
      </c>
      <c r="B6061">
        <f t="shared" si="1233"/>
        <v>30</v>
      </c>
    </row>
    <row r="6062" spans="1:2" ht="15" customHeight="1" x14ac:dyDescent="0.3">
      <c r="A6062" t="s">
        <v>6434</v>
      </c>
      <c r="B6062">
        <f t="shared" si="1233"/>
        <v>30</v>
      </c>
    </row>
    <row r="6063" spans="1:2" ht="15" customHeight="1" x14ac:dyDescent="0.3">
      <c r="A6063" t="s">
        <v>6435</v>
      </c>
      <c r="B6063">
        <f t="shared" si="1233"/>
        <v>30</v>
      </c>
    </row>
    <row r="6064" spans="1:2" ht="15" customHeight="1" x14ac:dyDescent="0.3">
      <c r="A6064" t="s">
        <v>6436</v>
      </c>
      <c r="B6064">
        <f t="shared" si="1233"/>
        <v>30</v>
      </c>
    </row>
    <row r="6065" spans="1:2" ht="15" customHeight="1" x14ac:dyDescent="0.3">
      <c r="A6065" t="s">
        <v>6437</v>
      </c>
      <c r="B6065">
        <f t="shared" si="1233"/>
        <v>30</v>
      </c>
    </row>
    <row r="6066" spans="1:2" ht="15" customHeight="1" x14ac:dyDescent="0.3">
      <c r="A6066" t="s">
        <v>6438</v>
      </c>
      <c r="B6066">
        <f t="shared" si="1233"/>
        <v>30</v>
      </c>
    </row>
    <row r="6067" spans="1:2" ht="15" customHeight="1" x14ac:dyDescent="0.3">
      <c r="A6067" t="s">
        <v>6439</v>
      </c>
      <c r="B6067">
        <f t="shared" si="1233"/>
        <v>30</v>
      </c>
    </row>
    <row r="6068" spans="1:2" ht="15" customHeight="1" x14ac:dyDescent="0.3">
      <c r="A6068" t="s">
        <v>6440</v>
      </c>
      <c r="B6068" t="e">
        <f>#REF!</f>
        <v>#REF!</v>
      </c>
    </row>
    <row r="6069" spans="1:2" ht="15" customHeight="1" x14ac:dyDescent="0.3">
      <c r="A6069" t="s">
        <v>6450</v>
      </c>
      <c r="B6069">
        <f t="shared" ref="B6069:B6075" si="1234">B5862</f>
        <v>15</v>
      </c>
    </row>
    <row r="6070" spans="1:2" ht="15" customHeight="1" x14ac:dyDescent="0.3">
      <c r="A6070" t="s">
        <v>6451</v>
      </c>
      <c r="B6070">
        <f t="shared" si="1234"/>
        <v>15</v>
      </c>
    </row>
    <row r="6071" spans="1:2" ht="15" customHeight="1" x14ac:dyDescent="0.3">
      <c r="A6071" t="s">
        <v>6452</v>
      </c>
      <c r="B6071">
        <f t="shared" si="1234"/>
        <v>20</v>
      </c>
    </row>
    <row r="6072" spans="1:2" ht="15" customHeight="1" x14ac:dyDescent="0.3">
      <c r="A6072" t="s">
        <v>6453</v>
      </c>
      <c r="B6072">
        <f t="shared" si="1234"/>
        <v>20</v>
      </c>
    </row>
    <row r="6073" spans="1:2" ht="15" customHeight="1" x14ac:dyDescent="0.3">
      <c r="A6073" t="s">
        <v>6441</v>
      </c>
      <c r="B6073">
        <f t="shared" si="1234"/>
        <v>10</v>
      </c>
    </row>
    <row r="6074" spans="1:2" ht="15" customHeight="1" x14ac:dyDescent="0.3">
      <c r="A6074" t="s">
        <v>6442</v>
      </c>
      <c r="B6074">
        <f t="shared" si="1234"/>
        <v>10</v>
      </c>
    </row>
    <row r="6075" spans="1:2" ht="15" customHeight="1" x14ac:dyDescent="0.3">
      <c r="A6075" t="s">
        <v>6443</v>
      </c>
      <c r="B6075">
        <f t="shared" si="1234"/>
        <v>10</v>
      </c>
    </row>
    <row r="6076" spans="1:2" ht="15" customHeight="1" x14ac:dyDescent="0.3">
      <c r="A6076" s="35" t="s">
        <v>6243</v>
      </c>
      <c r="B6076">
        <f>B5748</f>
        <v>10</v>
      </c>
    </row>
    <row r="6077" spans="1:2" ht="15" customHeight="1" x14ac:dyDescent="0.3">
      <c r="A6077" s="35" t="s">
        <v>6244</v>
      </c>
      <c r="B6077">
        <f>B5749</f>
        <v>10</v>
      </c>
    </row>
    <row r="6078" spans="1:2" ht="15" customHeight="1" x14ac:dyDescent="0.3">
      <c r="A6078" s="35" t="s">
        <v>6339</v>
      </c>
      <c r="B6078">
        <f t="shared" ref="B6078:B6109" si="1235">B5748</f>
        <v>10</v>
      </c>
    </row>
    <row r="6079" spans="1:2" ht="15" customHeight="1" x14ac:dyDescent="0.3">
      <c r="A6079" s="35" t="s">
        <v>6340</v>
      </c>
      <c r="B6079">
        <f t="shared" si="1235"/>
        <v>10</v>
      </c>
    </row>
    <row r="6080" spans="1:2" ht="15" customHeight="1" x14ac:dyDescent="0.3">
      <c r="A6080" s="34" t="s">
        <v>6245</v>
      </c>
      <c r="B6080">
        <f t="shared" si="1235"/>
        <v>30</v>
      </c>
    </row>
    <row r="6081" spans="1:2" ht="15" customHeight="1" x14ac:dyDescent="0.3">
      <c r="A6081" s="34" t="s">
        <v>6246</v>
      </c>
      <c r="B6081">
        <f t="shared" si="1235"/>
        <v>40</v>
      </c>
    </row>
    <row r="6082" spans="1:2" ht="15" customHeight="1" x14ac:dyDescent="0.3">
      <c r="A6082" s="34" t="s">
        <v>6247</v>
      </c>
      <c r="B6082">
        <f t="shared" si="1235"/>
        <v>40</v>
      </c>
    </row>
    <row r="6083" spans="1:2" ht="15" customHeight="1" x14ac:dyDescent="0.3">
      <c r="A6083" s="34" t="s">
        <v>6248</v>
      </c>
      <c r="B6083">
        <f t="shared" si="1235"/>
        <v>40</v>
      </c>
    </row>
    <row r="6084" spans="1:2" ht="15" customHeight="1" x14ac:dyDescent="0.3">
      <c r="A6084" s="34" t="s">
        <v>6249</v>
      </c>
      <c r="B6084">
        <f t="shared" si="1235"/>
        <v>30</v>
      </c>
    </row>
    <row r="6085" spans="1:2" ht="15" customHeight="1" x14ac:dyDescent="0.3">
      <c r="A6085" t="s">
        <v>6250</v>
      </c>
      <c r="B6085">
        <f t="shared" si="1235"/>
        <v>30</v>
      </c>
    </row>
    <row r="6086" spans="1:2" ht="15" customHeight="1" x14ac:dyDescent="0.3">
      <c r="A6086" t="s">
        <v>6251</v>
      </c>
      <c r="B6086">
        <f t="shared" si="1235"/>
        <v>40</v>
      </c>
    </row>
    <row r="6087" spans="1:2" ht="15" customHeight="1" x14ac:dyDescent="0.3">
      <c r="A6087" s="34" t="s">
        <v>6252</v>
      </c>
      <c r="B6087">
        <f t="shared" si="1235"/>
        <v>30</v>
      </c>
    </row>
    <row r="6088" spans="1:2" ht="15" customHeight="1" x14ac:dyDescent="0.3">
      <c r="A6088" s="34" t="s">
        <v>6253</v>
      </c>
      <c r="B6088">
        <f t="shared" si="1235"/>
        <v>30</v>
      </c>
    </row>
    <row r="6089" spans="1:2" ht="15" customHeight="1" x14ac:dyDescent="0.3">
      <c r="A6089" s="34" t="s">
        <v>6254</v>
      </c>
      <c r="B6089">
        <f t="shared" si="1235"/>
        <v>30</v>
      </c>
    </row>
    <row r="6090" spans="1:2" ht="15" customHeight="1" x14ac:dyDescent="0.3">
      <c r="A6090" s="34" t="s">
        <v>6255</v>
      </c>
      <c r="B6090">
        <f t="shared" si="1235"/>
        <v>30</v>
      </c>
    </row>
    <row r="6091" spans="1:2" ht="15" customHeight="1" x14ac:dyDescent="0.3">
      <c r="A6091" t="s">
        <v>6256</v>
      </c>
      <c r="B6091">
        <f t="shared" si="1235"/>
        <v>35</v>
      </c>
    </row>
    <row r="6092" spans="1:2" ht="15" customHeight="1" x14ac:dyDescent="0.3">
      <c r="A6092" t="s">
        <v>6257</v>
      </c>
      <c r="B6092">
        <f t="shared" si="1235"/>
        <v>35</v>
      </c>
    </row>
    <row r="6093" spans="1:2" ht="15" customHeight="1" x14ac:dyDescent="0.3">
      <c r="A6093" s="34" t="s">
        <v>6258</v>
      </c>
      <c r="B6093">
        <f t="shared" si="1235"/>
        <v>35</v>
      </c>
    </row>
    <row r="6094" spans="1:2" ht="15" customHeight="1" x14ac:dyDescent="0.3">
      <c r="A6094" t="s">
        <v>6259</v>
      </c>
      <c r="B6094">
        <f t="shared" si="1235"/>
        <v>0</v>
      </c>
    </row>
    <row r="6095" spans="1:2" ht="15" customHeight="1" x14ac:dyDescent="0.3">
      <c r="A6095" s="34" t="s">
        <v>6270</v>
      </c>
      <c r="B6095">
        <f t="shared" si="1235"/>
        <v>35</v>
      </c>
    </row>
    <row r="6096" spans="1:2" ht="15" customHeight="1" x14ac:dyDescent="0.3">
      <c r="A6096" s="34" t="s">
        <v>6271</v>
      </c>
      <c r="B6096">
        <f t="shared" si="1235"/>
        <v>35</v>
      </c>
    </row>
    <row r="6097" spans="1:2" ht="15" customHeight="1" x14ac:dyDescent="0.3">
      <c r="A6097" s="34" t="s">
        <v>6272</v>
      </c>
      <c r="B6097">
        <f t="shared" si="1235"/>
        <v>35</v>
      </c>
    </row>
    <row r="6098" spans="1:2" ht="15" customHeight="1" x14ac:dyDescent="0.3">
      <c r="A6098" t="s">
        <v>6273</v>
      </c>
      <c r="B6098">
        <f t="shared" si="1235"/>
        <v>35</v>
      </c>
    </row>
    <row r="6099" spans="1:2" ht="15" customHeight="1" x14ac:dyDescent="0.3">
      <c r="A6099" t="s">
        <v>6274</v>
      </c>
      <c r="B6099">
        <f t="shared" si="1235"/>
        <v>30</v>
      </c>
    </row>
    <row r="6100" spans="1:2" ht="15" customHeight="1" x14ac:dyDescent="0.3">
      <c r="A6100" s="23" t="s">
        <v>6275</v>
      </c>
      <c r="B6100" t="e">
        <f t="shared" si="1235"/>
        <v>#REF!</v>
      </c>
    </row>
    <row r="6101" spans="1:2" ht="15" customHeight="1" x14ac:dyDescent="0.3">
      <c r="A6101" s="23" t="s">
        <v>6276</v>
      </c>
      <c r="B6101" t="e">
        <f t="shared" si="1235"/>
        <v>#REF!</v>
      </c>
    </row>
    <row r="6102" spans="1:2" ht="15" customHeight="1" x14ac:dyDescent="0.3">
      <c r="A6102" s="23" t="s">
        <v>6277</v>
      </c>
      <c r="B6102">
        <f t="shared" si="1235"/>
        <v>30</v>
      </c>
    </row>
    <row r="6103" spans="1:2" ht="15" customHeight="1" x14ac:dyDescent="0.3">
      <c r="A6103" s="23" t="s">
        <v>6278</v>
      </c>
      <c r="B6103">
        <f t="shared" si="1235"/>
        <v>30</v>
      </c>
    </row>
    <row r="6104" spans="1:2" ht="15" customHeight="1" x14ac:dyDescent="0.3">
      <c r="A6104" t="s">
        <v>6279</v>
      </c>
      <c r="B6104">
        <f t="shared" si="1235"/>
        <v>30</v>
      </c>
    </row>
    <row r="6105" spans="1:2" ht="15" customHeight="1" x14ac:dyDescent="0.3">
      <c r="A6105" t="s">
        <v>6280</v>
      </c>
      <c r="B6105">
        <f t="shared" si="1235"/>
        <v>0</v>
      </c>
    </row>
    <row r="6106" spans="1:2" ht="15" customHeight="1" x14ac:dyDescent="0.3">
      <c r="A6106" s="23" t="s">
        <v>6281</v>
      </c>
      <c r="B6106">
        <f t="shared" si="1235"/>
        <v>25</v>
      </c>
    </row>
    <row r="6107" spans="1:2" ht="15" customHeight="1" x14ac:dyDescent="0.3">
      <c r="A6107" s="23" t="s">
        <v>6282</v>
      </c>
      <c r="B6107">
        <f t="shared" si="1235"/>
        <v>25</v>
      </c>
    </row>
    <row r="6108" spans="1:2" ht="15" customHeight="1" x14ac:dyDescent="0.3">
      <c r="A6108" s="23" t="s">
        <v>6283</v>
      </c>
      <c r="B6108">
        <f t="shared" si="1235"/>
        <v>35</v>
      </c>
    </row>
    <row r="6109" spans="1:2" ht="15" customHeight="1" x14ac:dyDescent="0.3">
      <c r="A6109" t="s">
        <v>6284</v>
      </c>
      <c r="B6109" t="e">
        <f t="shared" si="1235"/>
        <v>#REF!</v>
      </c>
    </row>
    <row r="6110" spans="1:2" ht="15" customHeight="1" x14ac:dyDescent="0.3">
      <c r="A6110" t="s">
        <v>6285</v>
      </c>
      <c r="B6110">
        <f t="shared" ref="B6110:B6141" si="1236">B5782</f>
        <v>30</v>
      </c>
    </row>
    <row r="6111" spans="1:2" ht="15" customHeight="1" x14ac:dyDescent="0.3">
      <c r="A6111" t="s">
        <v>6286</v>
      </c>
      <c r="B6111">
        <f t="shared" si="1236"/>
        <v>30</v>
      </c>
    </row>
    <row r="6112" spans="1:2" ht="15" customHeight="1" x14ac:dyDescent="0.3">
      <c r="A6112" t="s">
        <v>6287</v>
      </c>
      <c r="B6112">
        <f t="shared" si="1236"/>
        <v>35</v>
      </c>
    </row>
    <row r="6113" spans="1:2" ht="15" customHeight="1" x14ac:dyDescent="0.3">
      <c r="A6113" t="s">
        <v>6288</v>
      </c>
      <c r="B6113">
        <f t="shared" si="1236"/>
        <v>25</v>
      </c>
    </row>
    <row r="6114" spans="1:2" ht="15" customHeight="1" x14ac:dyDescent="0.3">
      <c r="A6114" t="s">
        <v>6289</v>
      </c>
      <c r="B6114">
        <f t="shared" si="1236"/>
        <v>25</v>
      </c>
    </row>
    <row r="6115" spans="1:2" ht="15" customHeight="1" x14ac:dyDescent="0.3">
      <c r="A6115" t="s">
        <v>6290</v>
      </c>
      <c r="B6115">
        <f t="shared" si="1236"/>
        <v>35</v>
      </c>
    </row>
    <row r="6116" spans="1:2" ht="15" customHeight="1" x14ac:dyDescent="0.3">
      <c r="A6116" t="s">
        <v>6291</v>
      </c>
      <c r="B6116" t="e">
        <f t="shared" si="1236"/>
        <v>#REF!</v>
      </c>
    </row>
    <row r="6117" spans="1:2" ht="15" customHeight="1" x14ac:dyDescent="0.3">
      <c r="A6117" t="s">
        <v>6292</v>
      </c>
      <c r="B6117" t="e">
        <f t="shared" si="1236"/>
        <v>#REF!</v>
      </c>
    </row>
    <row r="6118" spans="1:2" ht="15" customHeight="1" x14ac:dyDescent="0.3">
      <c r="A6118" t="s">
        <v>6293</v>
      </c>
      <c r="B6118">
        <f t="shared" si="1236"/>
        <v>35</v>
      </c>
    </row>
    <row r="6119" spans="1:2" ht="15" customHeight="1" x14ac:dyDescent="0.3">
      <c r="A6119" t="s">
        <v>6294</v>
      </c>
      <c r="B6119">
        <f t="shared" si="1236"/>
        <v>35</v>
      </c>
    </row>
    <row r="6120" spans="1:2" ht="15" customHeight="1" x14ac:dyDescent="0.3">
      <c r="A6120" t="s">
        <v>6295</v>
      </c>
      <c r="B6120" t="e">
        <f t="shared" si="1236"/>
        <v>#REF!</v>
      </c>
    </row>
    <row r="6121" spans="1:2" ht="15" customHeight="1" x14ac:dyDescent="0.3">
      <c r="A6121" t="s">
        <v>6296</v>
      </c>
      <c r="B6121">
        <f t="shared" si="1236"/>
        <v>30</v>
      </c>
    </row>
    <row r="6122" spans="1:2" ht="15" customHeight="1" x14ac:dyDescent="0.3">
      <c r="A6122" t="s">
        <v>6297</v>
      </c>
      <c r="B6122">
        <f t="shared" si="1236"/>
        <v>35</v>
      </c>
    </row>
    <row r="6123" spans="1:2" ht="15" customHeight="1" x14ac:dyDescent="0.3">
      <c r="A6123" t="s">
        <v>6298</v>
      </c>
      <c r="B6123">
        <f t="shared" si="1236"/>
        <v>35</v>
      </c>
    </row>
    <row r="6124" spans="1:2" ht="15" customHeight="1" x14ac:dyDescent="0.3">
      <c r="A6124" t="s">
        <v>6299</v>
      </c>
      <c r="B6124">
        <f t="shared" si="1236"/>
        <v>35</v>
      </c>
    </row>
    <row r="6125" spans="1:2" ht="15" customHeight="1" x14ac:dyDescent="0.3">
      <c r="A6125" t="s">
        <v>6300</v>
      </c>
      <c r="B6125">
        <f t="shared" si="1236"/>
        <v>35</v>
      </c>
    </row>
    <row r="6126" spans="1:2" ht="15" customHeight="1" x14ac:dyDescent="0.3">
      <c r="A6126" t="s">
        <v>6301</v>
      </c>
      <c r="B6126">
        <f t="shared" si="1236"/>
        <v>30</v>
      </c>
    </row>
    <row r="6127" spans="1:2" ht="15" customHeight="1" x14ac:dyDescent="0.3">
      <c r="A6127" t="s">
        <v>6302</v>
      </c>
      <c r="B6127">
        <f t="shared" si="1236"/>
        <v>35</v>
      </c>
    </row>
    <row r="6128" spans="1:2" ht="15" customHeight="1" x14ac:dyDescent="0.3">
      <c r="A6128" t="s">
        <v>6303</v>
      </c>
      <c r="B6128" t="e">
        <f t="shared" si="1236"/>
        <v>#REF!</v>
      </c>
    </row>
    <row r="6129" spans="1:2" ht="15" customHeight="1" x14ac:dyDescent="0.3">
      <c r="A6129" t="s">
        <v>6304</v>
      </c>
      <c r="B6129">
        <f t="shared" si="1236"/>
        <v>30</v>
      </c>
    </row>
    <row r="6130" spans="1:2" ht="15" customHeight="1" x14ac:dyDescent="0.3">
      <c r="A6130" t="s">
        <v>6305</v>
      </c>
      <c r="B6130">
        <f t="shared" si="1236"/>
        <v>35</v>
      </c>
    </row>
    <row r="6131" spans="1:2" ht="15" customHeight="1" x14ac:dyDescent="0.3">
      <c r="A6131" t="s">
        <v>6306</v>
      </c>
      <c r="B6131">
        <f t="shared" si="1236"/>
        <v>35</v>
      </c>
    </row>
    <row r="6132" spans="1:2" ht="15" customHeight="1" x14ac:dyDescent="0.3">
      <c r="A6132" t="s">
        <v>6307</v>
      </c>
      <c r="B6132">
        <f t="shared" si="1236"/>
        <v>35</v>
      </c>
    </row>
    <row r="6133" spans="1:2" ht="15" customHeight="1" x14ac:dyDescent="0.3">
      <c r="A6133" t="s">
        <v>6308</v>
      </c>
      <c r="B6133">
        <f t="shared" si="1236"/>
        <v>20</v>
      </c>
    </row>
    <row r="6134" spans="1:2" ht="15" customHeight="1" x14ac:dyDescent="0.3">
      <c r="A6134" t="s">
        <v>6184</v>
      </c>
      <c r="B6134" t="e">
        <f t="shared" si="1236"/>
        <v>#REF!</v>
      </c>
    </row>
    <row r="6135" spans="1:2" ht="15" customHeight="1" x14ac:dyDescent="0.3">
      <c r="A6135" t="s">
        <v>6185</v>
      </c>
      <c r="B6135" t="e">
        <f t="shared" si="1236"/>
        <v>#REF!</v>
      </c>
    </row>
    <row r="6136" spans="1:2" ht="15" customHeight="1" x14ac:dyDescent="0.3">
      <c r="A6136" t="s">
        <v>6186</v>
      </c>
      <c r="B6136">
        <f t="shared" si="1236"/>
        <v>30</v>
      </c>
    </row>
    <row r="6137" spans="1:2" ht="15" customHeight="1" x14ac:dyDescent="0.3">
      <c r="A6137" t="s">
        <v>6187</v>
      </c>
      <c r="B6137">
        <f t="shared" si="1236"/>
        <v>35</v>
      </c>
    </row>
    <row r="6138" spans="1:2" ht="15" customHeight="1" x14ac:dyDescent="0.3">
      <c r="A6138" t="s">
        <v>6188</v>
      </c>
      <c r="B6138">
        <f t="shared" si="1236"/>
        <v>25</v>
      </c>
    </row>
    <row r="6139" spans="1:2" ht="15" customHeight="1" x14ac:dyDescent="0.3">
      <c r="A6139" t="s">
        <v>6189</v>
      </c>
      <c r="B6139">
        <f t="shared" si="1236"/>
        <v>30</v>
      </c>
    </row>
    <row r="6140" spans="1:2" ht="15" customHeight="1" x14ac:dyDescent="0.3">
      <c r="A6140" t="s">
        <v>6190</v>
      </c>
      <c r="B6140">
        <f t="shared" si="1236"/>
        <v>30</v>
      </c>
    </row>
    <row r="6141" spans="1:2" ht="15" customHeight="1" x14ac:dyDescent="0.3">
      <c r="A6141" t="s">
        <v>6191</v>
      </c>
      <c r="B6141">
        <f t="shared" si="1236"/>
        <v>30</v>
      </c>
    </row>
    <row r="6142" spans="1:2" ht="15" customHeight="1" x14ac:dyDescent="0.3">
      <c r="A6142" t="s">
        <v>6192</v>
      </c>
      <c r="B6142">
        <f t="shared" ref="B6142:B6173" si="1237">B5814</f>
        <v>30</v>
      </c>
    </row>
    <row r="6143" spans="1:2" ht="15" customHeight="1" x14ac:dyDescent="0.3">
      <c r="A6143" t="s">
        <v>6309</v>
      </c>
      <c r="B6143">
        <f t="shared" si="1237"/>
        <v>35</v>
      </c>
    </row>
    <row r="6144" spans="1:2" ht="15" customHeight="1" x14ac:dyDescent="0.3">
      <c r="A6144" t="s">
        <v>6310</v>
      </c>
      <c r="B6144">
        <f t="shared" si="1237"/>
        <v>35</v>
      </c>
    </row>
    <row r="6145" spans="1:2" ht="15" customHeight="1" x14ac:dyDescent="0.3">
      <c r="A6145" t="s">
        <v>6311</v>
      </c>
      <c r="B6145">
        <f t="shared" si="1237"/>
        <v>35</v>
      </c>
    </row>
    <row r="6146" spans="1:2" ht="15" customHeight="1" x14ac:dyDescent="0.3">
      <c r="A6146" t="s">
        <v>6312</v>
      </c>
      <c r="B6146">
        <f t="shared" si="1237"/>
        <v>20</v>
      </c>
    </row>
    <row r="6147" spans="1:2" ht="15" customHeight="1" x14ac:dyDescent="0.3">
      <c r="A6147" t="s">
        <v>6313</v>
      </c>
      <c r="B6147">
        <f t="shared" si="1237"/>
        <v>25</v>
      </c>
    </row>
    <row r="6148" spans="1:2" ht="15" customHeight="1" x14ac:dyDescent="0.3">
      <c r="A6148" t="s">
        <v>6314</v>
      </c>
      <c r="B6148">
        <f t="shared" si="1237"/>
        <v>25</v>
      </c>
    </row>
    <row r="6149" spans="1:2" ht="15" customHeight="1" x14ac:dyDescent="0.3">
      <c r="A6149" t="s">
        <v>6315</v>
      </c>
      <c r="B6149">
        <f t="shared" si="1237"/>
        <v>25</v>
      </c>
    </row>
    <row r="6150" spans="1:2" ht="15" customHeight="1" x14ac:dyDescent="0.3">
      <c r="A6150" t="s">
        <v>6316</v>
      </c>
      <c r="B6150">
        <f t="shared" si="1237"/>
        <v>30</v>
      </c>
    </row>
    <row r="6151" spans="1:2" ht="15" customHeight="1" x14ac:dyDescent="0.3">
      <c r="A6151" t="s">
        <v>6317</v>
      </c>
      <c r="B6151">
        <f t="shared" si="1237"/>
        <v>30</v>
      </c>
    </row>
    <row r="6152" spans="1:2" ht="15" customHeight="1" x14ac:dyDescent="0.3">
      <c r="A6152" t="s">
        <v>6318</v>
      </c>
      <c r="B6152">
        <f t="shared" si="1237"/>
        <v>30</v>
      </c>
    </row>
    <row r="6153" spans="1:2" ht="15" customHeight="1" x14ac:dyDescent="0.3">
      <c r="A6153" t="s">
        <v>6319</v>
      </c>
      <c r="B6153">
        <f t="shared" si="1237"/>
        <v>30</v>
      </c>
    </row>
    <row r="6154" spans="1:2" ht="15" customHeight="1" x14ac:dyDescent="0.3">
      <c r="A6154" t="s">
        <v>6320</v>
      </c>
      <c r="B6154">
        <f t="shared" si="1237"/>
        <v>30</v>
      </c>
    </row>
    <row r="6155" spans="1:2" ht="15" customHeight="1" x14ac:dyDescent="0.3">
      <c r="A6155" t="s">
        <v>6321</v>
      </c>
      <c r="B6155">
        <f t="shared" si="1237"/>
        <v>30</v>
      </c>
    </row>
    <row r="6156" spans="1:2" ht="15" customHeight="1" x14ac:dyDescent="0.3">
      <c r="A6156" t="s">
        <v>6322</v>
      </c>
      <c r="B6156">
        <f t="shared" si="1237"/>
        <v>30</v>
      </c>
    </row>
    <row r="6157" spans="1:2" ht="15" customHeight="1" x14ac:dyDescent="0.3">
      <c r="A6157" t="s">
        <v>6323</v>
      </c>
      <c r="B6157">
        <f t="shared" si="1237"/>
        <v>30</v>
      </c>
    </row>
    <row r="6158" spans="1:2" ht="15" customHeight="1" x14ac:dyDescent="0.3">
      <c r="A6158" t="s">
        <v>6324</v>
      </c>
      <c r="B6158">
        <f t="shared" si="1237"/>
        <v>25</v>
      </c>
    </row>
    <row r="6159" spans="1:2" ht="15" customHeight="1" x14ac:dyDescent="0.3">
      <c r="A6159" t="s">
        <v>6325</v>
      </c>
      <c r="B6159">
        <f t="shared" si="1237"/>
        <v>25</v>
      </c>
    </row>
    <row r="6160" spans="1:2" ht="15" customHeight="1" x14ac:dyDescent="0.3">
      <c r="A6160" t="s">
        <v>6326</v>
      </c>
      <c r="B6160">
        <f t="shared" si="1237"/>
        <v>25</v>
      </c>
    </row>
    <row r="6161" spans="1:2" ht="15" customHeight="1" x14ac:dyDescent="0.3">
      <c r="A6161" t="s">
        <v>6327</v>
      </c>
      <c r="B6161">
        <f t="shared" si="1237"/>
        <v>25</v>
      </c>
    </row>
    <row r="6162" spans="1:2" ht="15" customHeight="1" x14ac:dyDescent="0.3">
      <c r="A6162" t="s">
        <v>6328</v>
      </c>
      <c r="B6162">
        <f t="shared" si="1237"/>
        <v>20</v>
      </c>
    </row>
    <row r="6163" spans="1:2" ht="15" customHeight="1" x14ac:dyDescent="0.3">
      <c r="A6163" t="s">
        <v>6329</v>
      </c>
      <c r="B6163">
        <f t="shared" si="1237"/>
        <v>20</v>
      </c>
    </row>
    <row r="6164" spans="1:2" ht="15" customHeight="1" x14ac:dyDescent="0.3">
      <c r="A6164" t="s">
        <v>6330</v>
      </c>
      <c r="B6164">
        <f t="shared" si="1237"/>
        <v>20</v>
      </c>
    </row>
    <row r="6165" spans="1:2" ht="15" customHeight="1" x14ac:dyDescent="0.3">
      <c r="A6165" t="s">
        <v>6331</v>
      </c>
      <c r="B6165">
        <f t="shared" si="1237"/>
        <v>20</v>
      </c>
    </row>
    <row r="6166" spans="1:2" ht="15" customHeight="1" x14ac:dyDescent="0.3">
      <c r="A6166" t="s">
        <v>6260</v>
      </c>
      <c r="B6166">
        <f t="shared" si="1237"/>
        <v>30</v>
      </c>
    </row>
    <row r="6167" spans="1:2" ht="15" customHeight="1" x14ac:dyDescent="0.3">
      <c r="A6167" t="s">
        <v>6261</v>
      </c>
      <c r="B6167">
        <f t="shared" si="1237"/>
        <v>0</v>
      </c>
    </row>
    <row r="6168" spans="1:2" ht="15" customHeight="1" x14ac:dyDescent="0.3">
      <c r="A6168" t="s">
        <v>6262</v>
      </c>
      <c r="B6168">
        <f t="shared" si="1237"/>
        <v>30</v>
      </c>
    </row>
    <row r="6169" spans="1:2" ht="15" customHeight="1" x14ac:dyDescent="0.3">
      <c r="A6169" t="s">
        <v>6263</v>
      </c>
      <c r="B6169">
        <f t="shared" si="1237"/>
        <v>30</v>
      </c>
    </row>
    <row r="6170" spans="1:2" ht="15" customHeight="1" x14ac:dyDescent="0.3">
      <c r="A6170" t="s">
        <v>6264</v>
      </c>
      <c r="B6170">
        <f t="shared" si="1237"/>
        <v>30</v>
      </c>
    </row>
    <row r="6171" spans="1:2" ht="15" customHeight="1" x14ac:dyDescent="0.3">
      <c r="A6171" t="s">
        <v>6265</v>
      </c>
      <c r="B6171">
        <f t="shared" si="1237"/>
        <v>30</v>
      </c>
    </row>
    <row r="6172" spans="1:2" ht="15" customHeight="1" x14ac:dyDescent="0.3">
      <c r="A6172" t="s">
        <v>6266</v>
      </c>
      <c r="B6172">
        <f t="shared" si="1237"/>
        <v>30</v>
      </c>
    </row>
    <row r="6173" spans="1:2" ht="15" customHeight="1" x14ac:dyDescent="0.3">
      <c r="A6173" t="s">
        <v>6267</v>
      </c>
      <c r="B6173">
        <f t="shared" si="1237"/>
        <v>30</v>
      </c>
    </row>
    <row r="6174" spans="1:2" ht="15" customHeight="1" x14ac:dyDescent="0.3">
      <c r="A6174" t="s">
        <v>6268</v>
      </c>
      <c r="B6174">
        <f t="shared" ref="B6174" si="1238">B5846</f>
        <v>30</v>
      </c>
    </row>
    <row r="6175" spans="1:2" ht="15" customHeight="1" x14ac:dyDescent="0.3">
      <c r="A6175" t="s">
        <v>6269</v>
      </c>
      <c r="B6175" t="e">
        <f>#REF!</f>
        <v>#REF!</v>
      </c>
    </row>
    <row r="6176" spans="1:2" ht="15" customHeight="1" x14ac:dyDescent="0.3">
      <c r="A6176" t="s">
        <v>6229</v>
      </c>
      <c r="B6176">
        <f t="shared" ref="B6176:B6188" si="1239">B5856</f>
        <v>20</v>
      </c>
    </row>
    <row r="6177" spans="1:2" ht="15" customHeight="1" x14ac:dyDescent="0.3">
      <c r="A6177" t="s">
        <v>6230</v>
      </c>
      <c r="B6177">
        <f t="shared" si="1239"/>
        <v>20</v>
      </c>
    </row>
    <row r="6178" spans="1:2" ht="15" customHeight="1" x14ac:dyDescent="0.3">
      <c r="A6178" t="s">
        <v>6231</v>
      </c>
      <c r="B6178">
        <f t="shared" si="1239"/>
        <v>15</v>
      </c>
    </row>
    <row r="6179" spans="1:2" ht="15" customHeight="1" x14ac:dyDescent="0.3">
      <c r="A6179" t="s">
        <v>6232</v>
      </c>
      <c r="B6179">
        <f t="shared" si="1239"/>
        <v>25</v>
      </c>
    </row>
    <row r="6180" spans="1:2" ht="15" customHeight="1" x14ac:dyDescent="0.3">
      <c r="A6180" t="s">
        <v>6235</v>
      </c>
      <c r="B6180">
        <f t="shared" si="1239"/>
        <v>25</v>
      </c>
    </row>
    <row r="6181" spans="1:2" ht="15" customHeight="1" x14ac:dyDescent="0.3">
      <c r="A6181" t="s">
        <v>6233</v>
      </c>
      <c r="B6181">
        <f t="shared" si="1239"/>
        <v>20</v>
      </c>
    </row>
    <row r="6182" spans="1:2" ht="15" customHeight="1" x14ac:dyDescent="0.3">
      <c r="A6182" t="s">
        <v>6332</v>
      </c>
      <c r="B6182">
        <f t="shared" si="1239"/>
        <v>15</v>
      </c>
    </row>
    <row r="6183" spans="1:2" ht="15" customHeight="1" x14ac:dyDescent="0.3">
      <c r="A6183" t="s">
        <v>6333</v>
      </c>
      <c r="B6183">
        <f t="shared" si="1239"/>
        <v>15</v>
      </c>
    </row>
    <row r="6184" spans="1:2" ht="15" customHeight="1" x14ac:dyDescent="0.3">
      <c r="A6184" t="s">
        <v>6334</v>
      </c>
      <c r="B6184">
        <f t="shared" si="1239"/>
        <v>20</v>
      </c>
    </row>
    <row r="6185" spans="1:2" ht="15" customHeight="1" x14ac:dyDescent="0.3">
      <c r="A6185" t="s">
        <v>6335</v>
      </c>
      <c r="B6185">
        <f t="shared" si="1239"/>
        <v>20</v>
      </c>
    </row>
    <row r="6186" spans="1:2" ht="15" customHeight="1" x14ac:dyDescent="0.3">
      <c r="A6186" t="s">
        <v>6336</v>
      </c>
      <c r="B6186">
        <f t="shared" si="1239"/>
        <v>10</v>
      </c>
    </row>
    <row r="6187" spans="1:2" ht="15" customHeight="1" x14ac:dyDescent="0.3">
      <c r="A6187" t="s">
        <v>6337</v>
      </c>
      <c r="B6187">
        <f t="shared" si="1239"/>
        <v>10</v>
      </c>
    </row>
    <row r="6188" spans="1:2" ht="15" customHeight="1" x14ac:dyDescent="0.3">
      <c r="A6188" t="s">
        <v>6338</v>
      </c>
      <c r="B6188">
        <f t="shared" si="1239"/>
        <v>10</v>
      </c>
    </row>
    <row r="6189" spans="1:2" ht="15" customHeight="1" x14ac:dyDescent="0.3">
      <c r="A6189" s="34" t="s">
        <v>6132</v>
      </c>
      <c r="B6189">
        <f t="shared" ref="B6189:B6218" si="1240">B5750</f>
        <v>30</v>
      </c>
    </row>
    <row r="6190" spans="1:2" ht="15" customHeight="1" x14ac:dyDescent="0.3">
      <c r="A6190" s="34" t="s">
        <v>6133</v>
      </c>
      <c r="B6190">
        <f t="shared" si="1240"/>
        <v>40</v>
      </c>
    </row>
    <row r="6191" spans="1:2" ht="15" customHeight="1" x14ac:dyDescent="0.3">
      <c r="A6191" s="34" t="s">
        <v>6134</v>
      </c>
      <c r="B6191">
        <f t="shared" si="1240"/>
        <v>40</v>
      </c>
    </row>
    <row r="6192" spans="1:2" ht="15" customHeight="1" x14ac:dyDescent="0.3">
      <c r="A6192" s="34" t="s">
        <v>6135</v>
      </c>
      <c r="B6192">
        <f t="shared" si="1240"/>
        <v>40</v>
      </c>
    </row>
    <row r="6193" spans="1:2" ht="15" customHeight="1" x14ac:dyDescent="0.3">
      <c r="A6193" s="34" t="s">
        <v>6136</v>
      </c>
      <c r="B6193">
        <f t="shared" si="1240"/>
        <v>30</v>
      </c>
    </row>
    <row r="6194" spans="1:2" ht="15" customHeight="1" x14ac:dyDescent="0.3">
      <c r="A6194" t="s">
        <v>6137</v>
      </c>
      <c r="B6194">
        <f t="shared" si="1240"/>
        <v>30</v>
      </c>
    </row>
    <row r="6195" spans="1:2" ht="15" customHeight="1" x14ac:dyDescent="0.3">
      <c r="A6195" t="s">
        <v>6138</v>
      </c>
      <c r="B6195">
        <f t="shared" si="1240"/>
        <v>40</v>
      </c>
    </row>
    <row r="6196" spans="1:2" ht="15" customHeight="1" x14ac:dyDescent="0.3">
      <c r="A6196" s="34" t="s">
        <v>6139</v>
      </c>
      <c r="B6196">
        <f t="shared" si="1240"/>
        <v>30</v>
      </c>
    </row>
    <row r="6197" spans="1:2" ht="15" customHeight="1" x14ac:dyDescent="0.3">
      <c r="A6197" s="34" t="s">
        <v>6140</v>
      </c>
      <c r="B6197">
        <f t="shared" si="1240"/>
        <v>30</v>
      </c>
    </row>
    <row r="6198" spans="1:2" ht="15" customHeight="1" x14ac:dyDescent="0.3">
      <c r="A6198" s="34" t="s">
        <v>6141</v>
      </c>
      <c r="B6198">
        <f t="shared" si="1240"/>
        <v>30</v>
      </c>
    </row>
    <row r="6199" spans="1:2" ht="15" customHeight="1" x14ac:dyDescent="0.3">
      <c r="A6199" s="34" t="s">
        <v>6142</v>
      </c>
      <c r="B6199">
        <f t="shared" si="1240"/>
        <v>30</v>
      </c>
    </row>
    <row r="6200" spans="1:2" ht="15" customHeight="1" x14ac:dyDescent="0.3">
      <c r="A6200" t="s">
        <v>6143</v>
      </c>
      <c r="B6200">
        <f t="shared" si="1240"/>
        <v>35</v>
      </c>
    </row>
    <row r="6201" spans="1:2" ht="15" customHeight="1" x14ac:dyDescent="0.3">
      <c r="A6201" t="s">
        <v>6144</v>
      </c>
      <c r="B6201">
        <f t="shared" si="1240"/>
        <v>35</v>
      </c>
    </row>
    <row r="6202" spans="1:2" ht="15" customHeight="1" x14ac:dyDescent="0.3">
      <c r="A6202" s="34" t="s">
        <v>6145</v>
      </c>
      <c r="B6202">
        <f t="shared" si="1240"/>
        <v>35</v>
      </c>
    </row>
    <row r="6203" spans="1:2" ht="15" customHeight="1" x14ac:dyDescent="0.3">
      <c r="A6203" t="s">
        <v>6146</v>
      </c>
      <c r="B6203">
        <f t="shared" si="1240"/>
        <v>0</v>
      </c>
    </row>
    <row r="6204" spans="1:2" ht="15" customHeight="1" x14ac:dyDescent="0.3">
      <c r="A6204" s="34" t="s">
        <v>6147</v>
      </c>
      <c r="B6204">
        <f t="shared" si="1240"/>
        <v>35</v>
      </c>
    </row>
    <row r="6205" spans="1:2" ht="15" customHeight="1" x14ac:dyDescent="0.3">
      <c r="A6205" s="34" t="s">
        <v>6148</v>
      </c>
      <c r="B6205">
        <f t="shared" si="1240"/>
        <v>35</v>
      </c>
    </row>
    <row r="6206" spans="1:2" ht="15" customHeight="1" x14ac:dyDescent="0.3">
      <c r="A6206" s="34" t="s">
        <v>6149</v>
      </c>
      <c r="B6206">
        <f t="shared" si="1240"/>
        <v>35</v>
      </c>
    </row>
    <row r="6207" spans="1:2" ht="15" customHeight="1" x14ac:dyDescent="0.3">
      <c r="A6207" t="s">
        <v>6150</v>
      </c>
      <c r="B6207">
        <f t="shared" si="1240"/>
        <v>35</v>
      </c>
    </row>
    <row r="6208" spans="1:2" ht="15" customHeight="1" x14ac:dyDescent="0.3">
      <c r="A6208" t="s">
        <v>6151</v>
      </c>
      <c r="B6208">
        <f t="shared" si="1240"/>
        <v>30</v>
      </c>
    </row>
    <row r="6209" spans="1:2" ht="15" customHeight="1" x14ac:dyDescent="0.3">
      <c r="A6209" s="23" t="s">
        <v>6152</v>
      </c>
      <c r="B6209" t="e">
        <f t="shared" si="1240"/>
        <v>#REF!</v>
      </c>
    </row>
    <row r="6210" spans="1:2" ht="15" customHeight="1" x14ac:dyDescent="0.3">
      <c r="A6210" s="23" t="s">
        <v>6153</v>
      </c>
      <c r="B6210" t="e">
        <f t="shared" si="1240"/>
        <v>#REF!</v>
      </c>
    </row>
    <row r="6211" spans="1:2" ht="15" customHeight="1" x14ac:dyDescent="0.3">
      <c r="A6211" s="23" t="s">
        <v>6154</v>
      </c>
      <c r="B6211">
        <f t="shared" si="1240"/>
        <v>30</v>
      </c>
    </row>
    <row r="6212" spans="1:2" ht="15" customHeight="1" x14ac:dyDescent="0.3">
      <c r="A6212" s="23" t="s">
        <v>6155</v>
      </c>
      <c r="B6212">
        <f t="shared" si="1240"/>
        <v>30</v>
      </c>
    </row>
    <row r="6213" spans="1:2" ht="15" customHeight="1" x14ac:dyDescent="0.3">
      <c r="A6213" t="s">
        <v>6156</v>
      </c>
      <c r="B6213">
        <f t="shared" si="1240"/>
        <v>30</v>
      </c>
    </row>
    <row r="6214" spans="1:2" ht="15" customHeight="1" x14ac:dyDescent="0.3">
      <c r="A6214" t="s">
        <v>6157</v>
      </c>
      <c r="B6214">
        <f t="shared" si="1240"/>
        <v>0</v>
      </c>
    </row>
    <row r="6215" spans="1:2" ht="15" customHeight="1" x14ac:dyDescent="0.3">
      <c r="A6215" s="23" t="s">
        <v>6158</v>
      </c>
      <c r="B6215">
        <f t="shared" si="1240"/>
        <v>25</v>
      </c>
    </row>
    <row r="6216" spans="1:2" ht="15" customHeight="1" x14ac:dyDescent="0.3">
      <c r="A6216" s="23" t="s">
        <v>6159</v>
      </c>
      <c r="B6216">
        <f t="shared" si="1240"/>
        <v>25</v>
      </c>
    </row>
    <row r="6217" spans="1:2" ht="15" customHeight="1" x14ac:dyDescent="0.3">
      <c r="A6217" s="23" t="s">
        <v>6160</v>
      </c>
      <c r="B6217">
        <f t="shared" si="1240"/>
        <v>35</v>
      </c>
    </row>
    <row r="6218" spans="1:2" ht="15" customHeight="1" x14ac:dyDescent="0.3">
      <c r="A6218" t="s">
        <v>6161</v>
      </c>
      <c r="B6218" t="e">
        <f t="shared" si="1240"/>
        <v>#REF!</v>
      </c>
    </row>
    <row r="6219" spans="1:2" ht="15" customHeight="1" x14ac:dyDescent="0.3">
      <c r="A6219" t="s">
        <v>6162</v>
      </c>
      <c r="B6219">
        <f t="shared" ref="B6219:B6220" si="1241">B5782</f>
        <v>30</v>
      </c>
    </row>
    <row r="6220" spans="1:2" ht="15" customHeight="1" x14ac:dyDescent="0.3">
      <c r="A6220" t="s">
        <v>6163</v>
      </c>
      <c r="B6220">
        <f t="shared" si="1241"/>
        <v>30</v>
      </c>
    </row>
    <row r="6221" spans="1:2" ht="15" customHeight="1" x14ac:dyDescent="0.3">
      <c r="A6221" t="s">
        <v>6164</v>
      </c>
      <c r="B6221">
        <f t="shared" ref="B6221:B6242" si="1242">B5784</f>
        <v>35</v>
      </c>
    </row>
    <row r="6222" spans="1:2" ht="15" customHeight="1" x14ac:dyDescent="0.3">
      <c r="A6222" t="s">
        <v>6165</v>
      </c>
      <c r="B6222">
        <f t="shared" si="1242"/>
        <v>25</v>
      </c>
    </row>
    <row r="6223" spans="1:2" ht="15" customHeight="1" x14ac:dyDescent="0.3">
      <c r="A6223" t="s">
        <v>6166</v>
      </c>
      <c r="B6223">
        <f t="shared" si="1242"/>
        <v>25</v>
      </c>
    </row>
    <row r="6224" spans="1:2" ht="15" customHeight="1" x14ac:dyDescent="0.3">
      <c r="A6224" t="s">
        <v>6167</v>
      </c>
      <c r="B6224">
        <f t="shared" si="1242"/>
        <v>35</v>
      </c>
    </row>
    <row r="6225" spans="1:2" ht="15" customHeight="1" x14ac:dyDescent="0.3">
      <c r="A6225" t="s">
        <v>6241</v>
      </c>
      <c r="B6225" t="e">
        <f t="shared" si="1242"/>
        <v>#REF!</v>
      </c>
    </row>
    <row r="6226" spans="1:2" ht="15" customHeight="1" x14ac:dyDescent="0.3">
      <c r="A6226" t="s">
        <v>6242</v>
      </c>
      <c r="B6226" t="e">
        <f t="shared" si="1242"/>
        <v>#REF!</v>
      </c>
    </row>
    <row r="6227" spans="1:2" ht="15" customHeight="1" x14ac:dyDescent="0.3">
      <c r="A6227" t="s">
        <v>6168</v>
      </c>
      <c r="B6227">
        <f t="shared" si="1242"/>
        <v>35</v>
      </c>
    </row>
    <row r="6228" spans="1:2" ht="15" customHeight="1" x14ac:dyDescent="0.3">
      <c r="A6228" t="s">
        <v>6169</v>
      </c>
      <c r="B6228">
        <f t="shared" si="1242"/>
        <v>35</v>
      </c>
    </row>
    <row r="6229" spans="1:2" ht="15" customHeight="1" x14ac:dyDescent="0.3">
      <c r="A6229" t="s">
        <v>6170</v>
      </c>
      <c r="B6229" t="e">
        <f t="shared" si="1242"/>
        <v>#REF!</v>
      </c>
    </row>
    <row r="6230" spans="1:2" ht="15" customHeight="1" x14ac:dyDescent="0.3">
      <c r="A6230" t="s">
        <v>6171</v>
      </c>
      <c r="B6230">
        <f t="shared" si="1242"/>
        <v>30</v>
      </c>
    </row>
    <row r="6231" spans="1:2" ht="15" customHeight="1" x14ac:dyDescent="0.3">
      <c r="A6231" t="s">
        <v>6172</v>
      </c>
      <c r="B6231">
        <f t="shared" si="1242"/>
        <v>35</v>
      </c>
    </row>
    <row r="6232" spans="1:2" ht="15" customHeight="1" x14ac:dyDescent="0.3">
      <c r="A6232" t="s">
        <v>6173</v>
      </c>
      <c r="B6232">
        <f t="shared" si="1242"/>
        <v>35</v>
      </c>
    </row>
    <row r="6233" spans="1:2" ht="15" customHeight="1" x14ac:dyDescent="0.3">
      <c r="A6233" t="s">
        <v>6174</v>
      </c>
      <c r="B6233">
        <f t="shared" si="1242"/>
        <v>35</v>
      </c>
    </row>
    <row r="6234" spans="1:2" ht="15" customHeight="1" x14ac:dyDescent="0.3">
      <c r="A6234" t="s">
        <v>6175</v>
      </c>
      <c r="B6234">
        <f t="shared" si="1242"/>
        <v>35</v>
      </c>
    </row>
    <row r="6235" spans="1:2" ht="15" customHeight="1" x14ac:dyDescent="0.3">
      <c r="A6235" t="s">
        <v>6176</v>
      </c>
      <c r="B6235">
        <f t="shared" si="1242"/>
        <v>30</v>
      </c>
    </row>
    <row r="6236" spans="1:2" ht="15" customHeight="1" x14ac:dyDescent="0.3">
      <c r="A6236" t="s">
        <v>6177</v>
      </c>
      <c r="B6236">
        <f t="shared" si="1242"/>
        <v>35</v>
      </c>
    </row>
    <row r="6237" spans="1:2" ht="15" customHeight="1" x14ac:dyDescent="0.3">
      <c r="A6237" t="s">
        <v>6178</v>
      </c>
      <c r="B6237" t="e">
        <f t="shared" si="1242"/>
        <v>#REF!</v>
      </c>
    </row>
    <row r="6238" spans="1:2" ht="15" customHeight="1" x14ac:dyDescent="0.3">
      <c r="A6238" t="s">
        <v>6179</v>
      </c>
      <c r="B6238">
        <f t="shared" si="1242"/>
        <v>30</v>
      </c>
    </row>
    <row r="6239" spans="1:2" ht="15" customHeight="1" x14ac:dyDescent="0.3">
      <c r="A6239" t="s">
        <v>6180</v>
      </c>
      <c r="B6239">
        <f t="shared" si="1242"/>
        <v>35</v>
      </c>
    </row>
    <row r="6240" spans="1:2" ht="15" customHeight="1" x14ac:dyDescent="0.3">
      <c r="A6240" t="s">
        <v>6181</v>
      </c>
      <c r="B6240">
        <f t="shared" si="1242"/>
        <v>35</v>
      </c>
    </row>
    <row r="6241" spans="1:2" ht="15" customHeight="1" x14ac:dyDescent="0.3">
      <c r="A6241" t="s">
        <v>6182</v>
      </c>
      <c r="B6241">
        <f t="shared" si="1242"/>
        <v>35</v>
      </c>
    </row>
    <row r="6242" spans="1:2" ht="15" customHeight="1" x14ac:dyDescent="0.3">
      <c r="A6242" t="s">
        <v>6183</v>
      </c>
      <c r="B6242">
        <f t="shared" si="1242"/>
        <v>20</v>
      </c>
    </row>
    <row r="6243" spans="1:2" ht="15" customHeight="1" x14ac:dyDescent="0.3">
      <c r="A6243" t="s">
        <v>6193</v>
      </c>
      <c r="B6243">
        <f t="shared" ref="B6243:B6274" si="1243">B5815</f>
        <v>35</v>
      </c>
    </row>
    <row r="6244" spans="1:2" ht="15" customHeight="1" x14ac:dyDescent="0.3">
      <c r="A6244" t="s">
        <v>6194</v>
      </c>
      <c r="B6244">
        <f t="shared" si="1243"/>
        <v>35</v>
      </c>
    </row>
    <row r="6245" spans="1:2" ht="15" customHeight="1" x14ac:dyDescent="0.3">
      <c r="A6245" t="s">
        <v>6195</v>
      </c>
      <c r="B6245">
        <f t="shared" si="1243"/>
        <v>35</v>
      </c>
    </row>
    <row r="6246" spans="1:2" ht="15" customHeight="1" x14ac:dyDescent="0.3">
      <c r="A6246" t="s">
        <v>6196</v>
      </c>
      <c r="B6246">
        <f t="shared" si="1243"/>
        <v>20</v>
      </c>
    </row>
    <row r="6247" spans="1:2" ht="15" customHeight="1" x14ac:dyDescent="0.3">
      <c r="A6247" t="s">
        <v>6197</v>
      </c>
      <c r="B6247">
        <f t="shared" si="1243"/>
        <v>25</v>
      </c>
    </row>
    <row r="6248" spans="1:2" ht="15" customHeight="1" x14ac:dyDescent="0.3">
      <c r="A6248" t="s">
        <v>6198</v>
      </c>
      <c r="B6248">
        <f t="shared" si="1243"/>
        <v>25</v>
      </c>
    </row>
    <row r="6249" spans="1:2" ht="15" customHeight="1" x14ac:dyDescent="0.3">
      <c r="A6249" t="s">
        <v>6199</v>
      </c>
      <c r="B6249">
        <f t="shared" si="1243"/>
        <v>25</v>
      </c>
    </row>
    <row r="6250" spans="1:2" ht="15" customHeight="1" x14ac:dyDescent="0.3">
      <c r="A6250" t="s">
        <v>6200</v>
      </c>
      <c r="B6250">
        <f t="shared" si="1243"/>
        <v>30</v>
      </c>
    </row>
    <row r="6251" spans="1:2" ht="15" customHeight="1" x14ac:dyDescent="0.3">
      <c r="A6251" t="s">
        <v>6201</v>
      </c>
      <c r="B6251">
        <f t="shared" si="1243"/>
        <v>30</v>
      </c>
    </row>
    <row r="6252" spans="1:2" ht="15" customHeight="1" x14ac:dyDescent="0.3">
      <c r="A6252" t="s">
        <v>6202</v>
      </c>
      <c r="B6252">
        <f t="shared" si="1243"/>
        <v>30</v>
      </c>
    </row>
    <row r="6253" spans="1:2" ht="15" customHeight="1" x14ac:dyDescent="0.3">
      <c r="A6253" t="s">
        <v>6203</v>
      </c>
      <c r="B6253">
        <f t="shared" si="1243"/>
        <v>30</v>
      </c>
    </row>
    <row r="6254" spans="1:2" ht="15" customHeight="1" x14ac:dyDescent="0.3">
      <c r="A6254" t="s">
        <v>6204</v>
      </c>
      <c r="B6254">
        <f t="shared" si="1243"/>
        <v>30</v>
      </c>
    </row>
    <row r="6255" spans="1:2" ht="15" customHeight="1" x14ac:dyDescent="0.3">
      <c r="A6255" t="s">
        <v>6205</v>
      </c>
      <c r="B6255">
        <f t="shared" si="1243"/>
        <v>30</v>
      </c>
    </row>
    <row r="6256" spans="1:2" ht="15" customHeight="1" x14ac:dyDescent="0.3">
      <c r="A6256" t="s">
        <v>6206</v>
      </c>
      <c r="B6256">
        <f t="shared" si="1243"/>
        <v>30</v>
      </c>
    </row>
    <row r="6257" spans="1:2" ht="15" customHeight="1" x14ac:dyDescent="0.3">
      <c r="A6257" t="s">
        <v>6207</v>
      </c>
      <c r="B6257">
        <f t="shared" si="1243"/>
        <v>30</v>
      </c>
    </row>
    <row r="6258" spans="1:2" ht="15" customHeight="1" x14ac:dyDescent="0.3">
      <c r="A6258" t="s">
        <v>6208</v>
      </c>
      <c r="B6258">
        <f t="shared" si="1243"/>
        <v>25</v>
      </c>
    </row>
    <row r="6259" spans="1:2" ht="15" customHeight="1" x14ac:dyDescent="0.3">
      <c r="A6259" t="s">
        <v>6209</v>
      </c>
      <c r="B6259">
        <f t="shared" si="1243"/>
        <v>25</v>
      </c>
    </row>
    <row r="6260" spans="1:2" ht="15" customHeight="1" x14ac:dyDescent="0.3">
      <c r="A6260" t="s">
        <v>6210</v>
      </c>
      <c r="B6260">
        <f t="shared" si="1243"/>
        <v>25</v>
      </c>
    </row>
    <row r="6261" spans="1:2" ht="15" customHeight="1" x14ac:dyDescent="0.3">
      <c r="A6261" t="s">
        <v>6211</v>
      </c>
      <c r="B6261">
        <f t="shared" si="1243"/>
        <v>25</v>
      </c>
    </row>
    <row r="6262" spans="1:2" ht="15" customHeight="1" x14ac:dyDescent="0.3">
      <c r="A6262" t="s">
        <v>6212</v>
      </c>
      <c r="B6262">
        <f t="shared" si="1243"/>
        <v>20</v>
      </c>
    </row>
    <row r="6263" spans="1:2" ht="15" customHeight="1" x14ac:dyDescent="0.3">
      <c r="A6263" t="s">
        <v>6213</v>
      </c>
      <c r="B6263">
        <f t="shared" si="1243"/>
        <v>20</v>
      </c>
    </row>
    <row r="6264" spans="1:2" ht="15" customHeight="1" x14ac:dyDescent="0.3">
      <c r="A6264" t="s">
        <v>6214</v>
      </c>
      <c r="B6264">
        <f t="shared" si="1243"/>
        <v>20</v>
      </c>
    </row>
    <row r="6265" spans="1:2" ht="15" customHeight="1" x14ac:dyDescent="0.3">
      <c r="A6265" t="s">
        <v>6215</v>
      </c>
      <c r="B6265">
        <f t="shared" si="1243"/>
        <v>20</v>
      </c>
    </row>
    <row r="6266" spans="1:2" ht="15" customHeight="1" x14ac:dyDescent="0.3">
      <c r="A6266" t="s">
        <v>6216</v>
      </c>
      <c r="B6266">
        <f t="shared" si="1243"/>
        <v>30</v>
      </c>
    </row>
    <row r="6267" spans="1:2" ht="15" customHeight="1" x14ac:dyDescent="0.3">
      <c r="A6267" t="s">
        <v>6217</v>
      </c>
      <c r="B6267">
        <f t="shared" si="1243"/>
        <v>0</v>
      </c>
    </row>
    <row r="6268" spans="1:2" ht="15" customHeight="1" x14ac:dyDescent="0.3">
      <c r="A6268" t="s">
        <v>6218</v>
      </c>
      <c r="B6268">
        <f t="shared" si="1243"/>
        <v>30</v>
      </c>
    </row>
    <row r="6269" spans="1:2" ht="15" customHeight="1" x14ac:dyDescent="0.3">
      <c r="A6269" t="s">
        <v>6219</v>
      </c>
      <c r="B6269">
        <f t="shared" si="1243"/>
        <v>30</v>
      </c>
    </row>
    <row r="6270" spans="1:2" ht="15" customHeight="1" x14ac:dyDescent="0.3">
      <c r="A6270" t="s">
        <v>6220</v>
      </c>
      <c r="B6270">
        <f t="shared" si="1243"/>
        <v>30</v>
      </c>
    </row>
    <row r="6271" spans="1:2" ht="15" customHeight="1" x14ac:dyDescent="0.3">
      <c r="A6271" t="s">
        <v>6221</v>
      </c>
      <c r="B6271">
        <f t="shared" si="1243"/>
        <v>30</v>
      </c>
    </row>
    <row r="6272" spans="1:2" ht="15" customHeight="1" x14ac:dyDescent="0.3">
      <c r="A6272" t="s">
        <v>6222</v>
      </c>
      <c r="B6272">
        <f t="shared" si="1243"/>
        <v>30</v>
      </c>
    </row>
    <row r="6273" spans="1:2" ht="15" customHeight="1" x14ac:dyDescent="0.3">
      <c r="A6273" t="s">
        <v>6223</v>
      </c>
      <c r="B6273">
        <f t="shared" si="1243"/>
        <v>30</v>
      </c>
    </row>
    <row r="6274" spans="1:2" ht="15" customHeight="1" x14ac:dyDescent="0.3">
      <c r="A6274" t="s">
        <v>6224</v>
      </c>
      <c r="B6274">
        <f t="shared" si="1243"/>
        <v>30</v>
      </c>
    </row>
    <row r="6275" spans="1:2" ht="15" customHeight="1" x14ac:dyDescent="0.3">
      <c r="A6275" t="s">
        <v>6225</v>
      </c>
      <c r="B6275" t="e">
        <f>#REF!</f>
        <v>#REF!</v>
      </c>
    </row>
    <row r="6276" spans="1:2" ht="15" customHeight="1" x14ac:dyDescent="0.3">
      <c r="A6276" t="s">
        <v>6234</v>
      </c>
      <c r="B6276">
        <f t="shared" ref="B6276:B6282" si="1244">B5862</f>
        <v>15</v>
      </c>
    </row>
    <row r="6277" spans="1:2" ht="15" customHeight="1" x14ac:dyDescent="0.3">
      <c r="A6277" t="s">
        <v>6236</v>
      </c>
      <c r="B6277">
        <f t="shared" si="1244"/>
        <v>15</v>
      </c>
    </row>
    <row r="6278" spans="1:2" ht="15" customHeight="1" x14ac:dyDescent="0.3">
      <c r="A6278" t="s">
        <v>6237</v>
      </c>
      <c r="B6278">
        <f t="shared" si="1244"/>
        <v>20</v>
      </c>
    </row>
    <row r="6279" spans="1:2" ht="15" customHeight="1" x14ac:dyDescent="0.3">
      <c r="A6279" t="s">
        <v>6238</v>
      </c>
      <c r="B6279">
        <f t="shared" si="1244"/>
        <v>20</v>
      </c>
    </row>
    <row r="6280" spans="1:2" ht="15" customHeight="1" x14ac:dyDescent="0.3">
      <c r="A6280" t="s">
        <v>6226</v>
      </c>
      <c r="B6280">
        <f t="shared" si="1244"/>
        <v>10</v>
      </c>
    </row>
    <row r="6281" spans="1:2" ht="15" customHeight="1" x14ac:dyDescent="0.3">
      <c r="A6281" t="s">
        <v>6227</v>
      </c>
      <c r="B6281">
        <f t="shared" si="1244"/>
        <v>10</v>
      </c>
    </row>
    <row r="6282" spans="1:2" ht="15" customHeight="1" x14ac:dyDescent="0.3">
      <c r="A6282" t="s">
        <v>6228</v>
      </c>
      <c r="B6282">
        <f t="shared" si="1244"/>
        <v>10</v>
      </c>
    </row>
    <row r="6283" spans="1:2" ht="15" customHeight="1" x14ac:dyDescent="0.3">
      <c r="A6283" t="s">
        <v>1373</v>
      </c>
      <c r="B6283">
        <f>F1517</f>
        <v>20</v>
      </c>
    </row>
    <row r="6284" spans="1:2" ht="15" customHeight="1" x14ac:dyDescent="0.3">
      <c r="A6284" t="s">
        <v>6548</v>
      </c>
      <c r="B6284">
        <f>F1518</f>
        <v>20</v>
      </c>
    </row>
    <row r="6285" spans="1:2" ht="15" customHeight="1" x14ac:dyDescent="0.3">
      <c r="A6285" t="s">
        <v>6549</v>
      </c>
      <c r="B6285">
        <f>F1518</f>
        <v>20</v>
      </c>
    </row>
    <row r="6286" spans="1:2" ht="15" customHeight="1" x14ac:dyDescent="0.3">
      <c r="A6286" t="s">
        <v>6550</v>
      </c>
      <c r="B6286">
        <f>F1518</f>
        <v>20</v>
      </c>
    </row>
    <row r="6287" spans="1:2" ht="15" customHeight="1" x14ac:dyDescent="0.3">
      <c r="A6287" t="s">
        <v>1374</v>
      </c>
      <c r="B6287">
        <f>F1519</f>
        <v>20</v>
      </c>
    </row>
    <row r="6288" spans="1:2" ht="15" customHeight="1" x14ac:dyDescent="0.3">
      <c r="A6288" t="s">
        <v>1375</v>
      </c>
      <c r="B6288">
        <f>F1520</f>
        <v>20</v>
      </c>
    </row>
    <row r="6289" spans="1:2" ht="15" customHeight="1" x14ac:dyDescent="0.3">
      <c r="A6289" t="s">
        <v>6551</v>
      </c>
      <c r="B6289">
        <f>F1603</f>
        <v>20</v>
      </c>
    </row>
    <row r="6290" spans="1:2" ht="15" customHeight="1" x14ac:dyDescent="0.3">
      <c r="A6290" t="s">
        <v>6552</v>
      </c>
      <c r="B6290">
        <f>F1604</f>
        <v>25</v>
      </c>
    </row>
    <row r="6291" spans="1:2" ht="15" customHeight="1" x14ac:dyDescent="0.3">
      <c r="A6291" t="s">
        <v>6553</v>
      </c>
      <c r="B6291">
        <f>F1605</f>
        <v>20</v>
      </c>
    </row>
    <row r="6292" spans="1:2" ht="15" customHeight="1" x14ac:dyDescent="0.3">
      <c r="A6292" t="s">
        <v>1376</v>
      </c>
      <c r="B6292">
        <f>F1521</f>
        <v>20</v>
      </c>
    </row>
    <row r="6293" spans="1:2" ht="15" customHeight="1" x14ac:dyDescent="0.3">
      <c r="A6293" t="s">
        <v>1377</v>
      </c>
      <c r="B6293">
        <f>F1522</f>
        <v>20</v>
      </c>
    </row>
    <row r="6294" spans="1:2" ht="15" customHeight="1" x14ac:dyDescent="0.3">
      <c r="A6294" t="s">
        <v>1378</v>
      </c>
      <c r="B6294">
        <f>F1523</f>
        <v>20</v>
      </c>
    </row>
    <row r="6295" spans="1:2" ht="15" customHeight="1" x14ac:dyDescent="0.3">
      <c r="A6295" t="s">
        <v>1379</v>
      </c>
      <c r="B6295">
        <f>F1530</f>
        <v>20</v>
      </c>
    </row>
    <row r="6296" spans="1:2" ht="15" customHeight="1" x14ac:dyDescent="0.3">
      <c r="A6296" t="s">
        <v>1380</v>
      </c>
      <c r="B6296">
        <f>F1531</f>
        <v>20</v>
      </c>
    </row>
    <row r="6297" spans="1:2" ht="15" customHeight="1" x14ac:dyDescent="0.3">
      <c r="A6297" t="s">
        <v>6554</v>
      </c>
      <c r="B6297">
        <f>F1537</f>
        <v>20</v>
      </c>
    </row>
    <row r="6298" spans="1:2" ht="15" customHeight="1" x14ac:dyDescent="0.3">
      <c r="A6298" t="s">
        <v>6555</v>
      </c>
      <c r="B6298">
        <f t="shared" ref="B6298:B6312" si="1245">F1537</f>
        <v>20</v>
      </c>
    </row>
    <row r="6299" spans="1:2" ht="15" customHeight="1" x14ac:dyDescent="0.3">
      <c r="A6299" t="s">
        <v>1381</v>
      </c>
      <c r="B6299">
        <f t="shared" si="1245"/>
        <v>20</v>
      </c>
    </row>
    <row r="6300" spans="1:2" ht="15" customHeight="1" x14ac:dyDescent="0.3">
      <c r="A6300" t="s">
        <v>1382</v>
      </c>
      <c r="B6300">
        <f t="shared" si="1245"/>
        <v>20</v>
      </c>
    </row>
    <row r="6301" spans="1:2" ht="15" customHeight="1" x14ac:dyDescent="0.3">
      <c r="A6301" t="s">
        <v>1383</v>
      </c>
      <c r="B6301">
        <f t="shared" si="1245"/>
        <v>15</v>
      </c>
    </row>
    <row r="6302" spans="1:2" ht="15" customHeight="1" x14ac:dyDescent="0.3">
      <c r="A6302" t="s">
        <v>1384</v>
      </c>
      <c r="B6302">
        <f t="shared" si="1245"/>
        <v>20</v>
      </c>
    </row>
    <row r="6303" spans="1:2" ht="15" customHeight="1" x14ac:dyDescent="0.3">
      <c r="A6303" t="s">
        <v>1385</v>
      </c>
      <c r="B6303">
        <f t="shared" si="1245"/>
        <v>20</v>
      </c>
    </row>
    <row r="6304" spans="1:2" ht="15" customHeight="1" x14ac:dyDescent="0.3">
      <c r="A6304" t="s">
        <v>1386</v>
      </c>
      <c r="B6304">
        <f t="shared" si="1245"/>
        <v>20</v>
      </c>
    </row>
    <row r="6305" spans="1:2" ht="15" customHeight="1" x14ac:dyDescent="0.3">
      <c r="A6305" t="s">
        <v>1387</v>
      </c>
      <c r="B6305">
        <f t="shared" si="1245"/>
        <v>20</v>
      </c>
    </row>
    <row r="6306" spans="1:2" ht="15" customHeight="1" x14ac:dyDescent="0.3">
      <c r="A6306" t="s">
        <v>1388</v>
      </c>
      <c r="B6306">
        <f t="shared" si="1245"/>
        <v>20</v>
      </c>
    </row>
    <row r="6307" spans="1:2" ht="15" customHeight="1" x14ac:dyDescent="0.3">
      <c r="A6307" t="s">
        <v>1389</v>
      </c>
      <c r="B6307">
        <f t="shared" si="1245"/>
        <v>20</v>
      </c>
    </row>
    <row r="6308" spans="1:2" ht="15" customHeight="1" x14ac:dyDescent="0.3">
      <c r="A6308" t="s">
        <v>1390</v>
      </c>
      <c r="B6308">
        <f t="shared" si="1245"/>
        <v>20</v>
      </c>
    </row>
    <row r="6309" spans="1:2" ht="15" customHeight="1" x14ac:dyDescent="0.3">
      <c r="A6309" t="s">
        <v>1391</v>
      </c>
      <c r="B6309">
        <f t="shared" si="1245"/>
        <v>20</v>
      </c>
    </row>
    <row r="6310" spans="1:2" ht="15" customHeight="1" x14ac:dyDescent="0.3">
      <c r="A6310" t="s">
        <v>1392</v>
      </c>
      <c r="B6310">
        <f t="shared" si="1245"/>
        <v>20</v>
      </c>
    </row>
    <row r="6311" spans="1:2" ht="15" customHeight="1" x14ac:dyDescent="0.3">
      <c r="A6311" t="s">
        <v>1393</v>
      </c>
      <c r="B6311">
        <f t="shared" si="1245"/>
        <v>20</v>
      </c>
    </row>
    <row r="6312" spans="1:2" ht="15" customHeight="1" x14ac:dyDescent="0.3">
      <c r="A6312" t="s">
        <v>6556</v>
      </c>
      <c r="B6312">
        <f t="shared" si="1245"/>
        <v>15</v>
      </c>
    </row>
    <row r="6313" spans="1:2" ht="15" customHeight="1" x14ac:dyDescent="0.3">
      <c r="A6313" t="s">
        <v>6557</v>
      </c>
      <c r="B6313">
        <f>F1551</f>
        <v>15</v>
      </c>
    </row>
    <row r="6314" spans="1:2" ht="15" customHeight="1" x14ac:dyDescent="0.3">
      <c r="A6314" t="s">
        <v>1394</v>
      </c>
      <c r="B6314">
        <f>F1552</f>
        <v>20</v>
      </c>
    </row>
    <row r="6315" spans="1:2" ht="15" customHeight="1" x14ac:dyDescent="0.3">
      <c r="A6315" t="s">
        <v>1395</v>
      </c>
      <c r="B6315">
        <f>F1553</f>
        <v>20</v>
      </c>
    </row>
    <row r="6316" spans="1:2" ht="15" customHeight="1" x14ac:dyDescent="0.3">
      <c r="A6316" t="s">
        <v>6558</v>
      </c>
      <c r="B6316">
        <f>F1554</f>
        <v>20</v>
      </c>
    </row>
    <row r="6317" spans="1:2" ht="15" customHeight="1" x14ac:dyDescent="0.3">
      <c r="A6317" t="s">
        <v>6559</v>
      </c>
      <c r="B6317">
        <f>F1555</f>
        <v>20</v>
      </c>
    </row>
    <row r="6318" spans="1:2" ht="15" customHeight="1" x14ac:dyDescent="0.3">
      <c r="A6318" t="s">
        <v>6560</v>
      </c>
      <c r="B6318">
        <f t="shared" ref="B6318:B6323" si="1246">F1555</f>
        <v>20</v>
      </c>
    </row>
    <row r="6319" spans="1:2" ht="15" customHeight="1" x14ac:dyDescent="0.3">
      <c r="A6319" t="s">
        <v>1396</v>
      </c>
      <c r="B6319">
        <f t="shared" si="1246"/>
        <v>15</v>
      </c>
    </row>
    <row r="6320" spans="1:2" ht="15" customHeight="1" x14ac:dyDescent="0.3">
      <c r="A6320" t="s">
        <v>1397</v>
      </c>
      <c r="B6320">
        <f t="shared" si="1246"/>
        <v>15</v>
      </c>
    </row>
    <row r="6321" spans="1:2" ht="15" customHeight="1" x14ac:dyDescent="0.3">
      <c r="A6321" t="s">
        <v>6562</v>
      </c>
      <c r="B6321">
        <f t="shared" si="1246"/>
        <v>15</v>
      </c>
    </row>
    <row r="6322" spans="1:2" ht="15" customHeight="1" x14ac:dyDescent="0.3">
      <c r="A6322" t="s">
        <v>6561</v>
      </c>
      <c r="B6322">
        <f t="shared" si="1246"/>
        <v>20</v>
      </c>
    </row>
    <row r="6323" spans="1:2" ht="15" customHeight="1" x14ac:dyDescent="0.3">
      <c r="A6323" t="s">
        <v>1398</v>
      </c>
      <c r="B6323">
        <f t="shared" si="1246"/>
        <v>25</v>
      </c>
    </row>
    <row r="6324" spans="1:2" ht="15" customHeight="1" x14ac:dyDescent="0.3">
      <c r="A6324" t="s">
        <v>6563</v>
      </c>
      <c r="B6324">
        <f>F1607</f>
        <v>20</v>
      </c>
    </row>
    <row r="6325" spans="1:2" ht="15" customHeight="1" x14ac:dyDescent="0.3">
      <c r="A6325" t="s">
        <v>6564</v>
      </c>
      <c r="B6325">
        <f>F1608</f>
        <v>20</v>
      </c>
    </row>
    <row r="6326" spans="1:2" ht="15" customHeight="1" x14ac:dyDescent="0.3">
      <c r="A6326" t="s">
        <v>6565</v>
      </c>
      <c r="B6326">
        <f>F1608</f>
        <v>20</v>
      </c>
    </row>
    <row r="6327" spans="1:2" ht="15" customHeight="1" x14ac:dyDescent="0.3">
      <c r="A6327" t="s">
        <v>6566</v>
      </c>
      <c r="B6327">
        <f>F1608</f>
        <v>20</v>
      </c>
    </row>
    <row r="6328" spans="1:2" ht="15" customHeight="1" x14ac:dyDescent="0.3">
      <c r="A6328" t="s">
        <v>6567</v>
      </c>
      <c r="B6328">
        <f>F1608</f>
        <v>20</v>
      </c>
    </row>
    <row r="6329" spans="1:2" ht="15" customHeight="1" x14ac:dyDescent="0.3">
      <c r="A6329" t="s">
        <v>6568</v>
      </c>
      <c r="B6329">
        <f>F1561</f>
        <v>15</v>
      </c>
    </row>
    <row r="6330" spans="1:2" ht="15" customHeight="1" x14ac:dyDescent="0.3">
      <c r="A6330" t="s">
        <v>6569</v>
      </c>
      <c r="B6330">
        <f>F1561</f>
        <v>15</v>
      </c>
    </row>
    <row r="6331" spans="1:2" ht="15" customHeight="1" x14ac:dyDescent="0.3">
      <c r="A6331" t="s">
        <v>1399</v>
      </c>
      <c r="B6331">
        <f t="shared" ref="B6331:B6337" si="1247">F1566</f>
        <v>20</v>
      </c>
    </row>
    <row r="6332" spans="1:2" ht="15" customHeight="1" x14ac:dyDescent="0.3">
      <c r="A6332" t="s">
        <v>1400</v>
      </c>
      <c r="B6332">
        <f t="shared" si="1247"/>
        <v>15</v>
      </c>
    </row>
    <row r="6333" spans="1:2" ht="15" customHeight="1" x14ac:dyDescent="0.3">
      <c r="A6333" t="s">
        <v>1401</v>
      </c>
      <c r="B6333">
        <f t="shared" si="1247"/>
        <v>15</v>
      </c>
    </row>
    <row r="6334" spans="1:2" ht="15" customHeight="1" x14ac:dyDescent="0.3">
      <c r="A6334" t="s">
        <v>1402</v>
      </c>
      <c r="B6334">
        <f t="shared" si="1247"/>
        <v>20</v>
      </c>
    </row>
    <row r="6335" spans="1:2" ht="15" customHeight="1" x14ac:dyDescent="0.3">
      <c r="A6335" t="s">
        <v>1403</v>
      </c>
      <c r="B6335">
        <f t="shared" si="1247"/>
        <v>15</v>
      </c>
    </row>
    <row r="6336" spans="1:2" ht="15" customHeight="1" x14ac:dyDescent="0.3">
      <c r="A6336" t="s">
        <v>1404</v>
      </c>
      <c r="B6336">
        <f t="shared" si="1247"/>
        <v>20</v>
      </c>
    </row>
    <row r="6337" spans="1:2" ht="15" customHeight="1" x14ac:dyDescent="0.3">
      <c r="A6337" t="s">
        <v>1405</v>
      </c>
      <c r="B6337">
        <f t="shared" si="1247"/>
        <v>15</v>
      </c>
    </row>
    <row r="6338" spans="1:2" ht="15" customHeight="1" x14ac:dyDescent="0.3">
      <c r="A6338" t="s">
        <v>1406</v>
      </c>
      <c r="B6338">
        <f>F1575</f>
        <v>15</v>
      </c>
    </row>
    <row r="6339" spans="1:2" ht="15" customHeight="1" x14ac:dyDescent="0.3">
      <c r="A6339" t="s">
        <v>1407</v>
      </c>
      <c r="B6339">
        <f>F1577</f>
        <v>15</v>
      </c>
    </row>
    <row r="6340" spans="1:2" ht="15" customHeight="1" x14ac:dyDescent="0.3">
      <c r="A6340" s="80" t="s">
        <v>12957</v>
      </c>
      <c r="B6340">
        <f>F1578</f>
        <v>15</v>
      </c>
    </row>
    <row r="6341" spans="1:2" ht="15" customHeight="1" x14ac:dyDescent="0.3">
      <c r="A6341" s="80" t="s">
        <v>12958</v>
      </c>
      <c r="B6341">
        <f>F1578</f>
        <v>15</v>
      </c>
    </row>
    <row r="6342" spans="1:2" ht="15" customHeight="1" x14ac:dyDescent="0.3">
      <c r="A6342" s="80" t="s">
        <v>12959</v>
      </c>
      <c r="B6342">
        <f>F1578</f>
        <v>15</v>
      </c>
    </row>
    <row r="6343" spans="1:2" ht="15" customHeight="1" x14ac:dyDescent="0.3">
      <c r="A6343" s="80" t="s">
        <v>12960</v>
      </c>
      <c r="B6343">
        <f>F1578</f>
        <v>15</v>
      </c>
    </row>
    <row r="6344" spans="1:2" ht="15" customHeight="1" x14ac:dyDescent="0.3">
      <c r="A6344" s="80" t="s">
        <v>1408</v>
      </c>
      <c r="B6344">
        <f>F1578</f>
        <v>15</v>
      </c>
    </row>
    <row r="6345" spans="1:2" ht="15" customHeight="1" x14ac:dyDescent="0.3">
      <c r="A6345" s="80" t="s">
        <v>12954</v>
      </c>
      <c r="B6345">
        <f>F1578</f>
        <v>15</v>
      </c>
    </row>
    <row r="6346" spans="1:2" ht="15" customHeight="1" x14ac:dyDescent="0.3">
      <c r="A6346" s="80" t="s">
        <v>12955</v>
      </c>
      <c r="B6346">
        <f>F1578</f>
        <v>15</v>
      </c>
    </row>
    <row r="6347" spans="1:2" ht="15" customHeight="1" x14ac:dyDescent="0.3">
      <c r="A6347" s="80" t="s">
        <v>12956</v>
      </c>
      <c r="B6347">
        <f>F1578</f>
        <v>15</v>
      </c>
    </row>
    <row r="6348" spans="1:2" ht="15" customHeight="1" x14ac:dyDescent="0.3">
      <c r="A6348" t="s">
        <v>6570</v>
      </c>
      <c r="B6348">
        <f>F1584</f>
        <v>15</v>
      </c>
    </row>
    <row r="6349" spans="1:2" ht="15" customHeight="1" x14ac:dyDescent="0.3">
      <c r="A6349" t="s">
        <v>6571</v>
      </c>
      <c r="B6349">
        <f>F1584</f>
        <v>15</v>
      </c>
    </row>
    <row r="6350" spans="1:2" ht="15" customHeight="1" x14ac:dyDescent="0.3">
      <c r="A6350" s="68" t="s">
        <v>12313</v>
      </c>
      <c r="B6350">
        <f>F1583</f>
        <v>35</v>
      </c>
    </row>
    <row r="6351" spans="1:2" ht="15" customHeight="1" x14ac:dyDescent="0.3">
      <c r="A6351" s="68" t="s">
        <v>12314</v>
      </c>
      <c r="B6351">
        <f>F1583</f>
        <v>35</v>
      </c>
    </row>
    <row r="6352" spans="1:2" ht="15" customHeight="1" x14ac:dyDescent="0.3">
      <c r="A6352" s="68" t="s">
        <v>12315</v>
      </c>
      <c r="B6352">
        <f>F1583</f>
        <v>35</v>
      </c>
    </row>
    <row r="6353" spans="1:2" ht="15" customHeight="1" x14ac:dyDescent="0.3">
      <c r="A6353" s="68" t="s">
        <v>12316</v>
      </c>
      <c r="B6353">
        <f>F1583</f>
        <v>35</v>
      </c>
    </row>
    <row r="6354" spans="1:2" ht="15" customHeight="1" x14ac:dyDescent="0.3">
      <c r="A6354" t="s">
        <v>6572</v>
      </c>
      <c r="B6354">
        <f>F1596</f>
        <v>20</v>
      </c>
    </row>
    <row r="6355" spans="1:2" ht="15" customHeight="1" x14ac:dyDescent="0.3">
      <c r="A6355" t="s">
        <v>6573</v>
      </c>
      <c r="B6355">
        <f>F1596</f>
        <v>20</v>
      </c>
    </row>
    <row r="6356" spans="1:2" ht="15" customHeight="1" x14ac:dyDescent="0.3">
      <c r="A6356" t="s">
        <v>1409</v>
      </c>
      <c r="B6356">
        <f>F1585</f>
        <v>20</v>
      </c>
    </row>
    <row r="6357" spans="1:2" ht="15" customHeight="1" x14ac:dyDescent="0.3">
      <c r="A6357" t="s">
        <v>1410</v>
      </c>
      <c r="B6357">
        <f>F1586</f>
        <v>20</v>
      </c>
    </row>
    <row r="6358" spans="1:2" ht="15" customHeight="1" x14ac:dyDescent="0.3">
      <c r="A6358" t="s">
        <v>1411</v>
      </c>
      <c r="B6358">
        <f>F1587</f>
        <v>20</v>
      </c>
    </row>
    <row r="6359" spans="1:2" ht="15" customHeight="1" x14ac:dyDescent="0.3">
      <c r="A6359" t="s">
        <v>1412</v>
      </c>
      <c r="B6359">
        <f>F1588</f>
        <v>25</v>
      </c>
    </row>
    <row r="6360" spans="1:2" ht="15" customHeight="1" x14ac:dyDescent="0.3">
      <c r="A6360" t="s">
        <v>6574</v>
      </c>
      <c r="B6360">
        <f>F1597</f>
        <v>20</v>
      </c>
    </row>
    <row r="6361" spans="1:2" ht="15" customHeight="1" x14ac:dyDescent="0.3">
      <c r="A6361" t="s">
        <v>6575</v>
      </c>
      <c r="B6361">
        <f>F1597</f>
        <v>20</v>
      </c>
    </row>
    <row r="6362" spans="1:2" ht="15" customHeight="1" x14ac:dyDescent="0.3">
      <c r="A6362" t="s">
        <v>1413</v>
      </c>
      <c r="B6362">
        <f>F1589</f>
        <v>15</v>
      </c>
    </row>
    <row r="6363" spans="1:2" ht="15" customHeight="1" x14ac:dyDescent="0.3">
      <c r="A6363" t="s">
        <v>1414</v>
      </c>
      <c r="B6363">
        <f>F1591</f>
        <v>20</v>
      </c>
    </row>
    <row r="6364" spans="1:2" ht="15" customHeight="1" x14ac:dyDescent="0.3">
      <c r="A6364" t="s">
        <v>6576</v>
      </c>
      <c r="B6364">
        <f>F1593</f>
        <v>15</v>
      </c>
    </row>
    <row r="6365" spans="1:2" ht="15" customHeight="1" x14ac:dyDescent="0.3">
      <c r="A6365" t="s">
        <v>6577</v>
      </c>
      <c r="B6365">
        <f>F1593</f>
        <v>15</v>
      </c>
    </row>
    <row r="6366" spans="1:2" ht="15" customHeight="1" x14ac:dyDescent="0.3">
      <c r="A6366" t="s">
        <v>1415</v>
      </c>
      <c r="B6366">
        <f>F1594</f>
        <v>15</v>
      </c>
    </row>
    <row r="6367" spans="1:2" ht="15" customHeight="1" x14ac:dyDescent="0.3">
      <c r="A6367" s="68" t="s">
        <v>10909</v>
      </c>
      <c r="B6367">
        <f>F1594</f>
        <v>15</v>
      </c>
    </row>
    <row r="6368" spans="1:2" ht="15" customHeight="1" x14ac:dyDescent="0.3">
      <c r="A6368" s="68" t="s">
        <v>10910</v>
      </c>
      <c r="B6368">
        <f>F1594</f>
        <v>15</v>
      </c>
    </row>
    <row r="6369" spans="1:2" ht="15" customHeight="1" x14ac:dyDescent="0.3">
      <c r="A6369" s="68" t="s">
        <v>10911</v>
      </c>
      <c r="B6369">
        <f>F1594</f>
        <v>15</v>
      </c>
    </row>
    <row r="6370" spans="1:2" ht="15" customHeight="1" x14ac:dyDescent="0.3">
      <c r="A6370" s="68" t="s">
        <v>10912</v>
      </c>
      <c r="B6370">
        <f>F1594</f>
        <v>15</v>
      </c>
    </row>
    <row r="6371" spans="1:2" ht="15" customHeight="1" x14ac:dyDescent="0.3">
      <c r="A6371" t="s">
        <v>1416</v>
      </c>
      <c r="B6371">
        <f>F1595</f>
        <v>20</v>
      </c>
    </row>
    <row r="6372" spans="1:2" ht="15" customHeight="1" x14ac:dyDescent="0.3">
      <c r="A6372" t="s">
        <v>1417</v>
      </c>
      <c r="B6372">
        <f>F1606</f>
        <v>25</v>
      </c>
    </row>
    <row r="6373" spans="1:2" ht="15" customHeight="1" x14ac:dyDescent="0.3">
      <c r="A6373" t="s">
        <v>1418</v>
      </c>
      <c r="B6373">
        <f>F1601</f>
        <v>15</v>
      </c>
    </row>
    <row r="6374" spans="1:2" ht="15" customHeight="1" x14ac:dyDescent="0.3">
      <c r="A6374" t="s">
        <v>6578</v>
      </c>
      <c r="B6374">
        <f>F1598</f>
        <v>20</v>
      </c>
    </row>
    <row r="6375" spans="1:2" ht="15" customHeight="1" x14ac:dyDescent="0.3">
      <c r="A6375" t="s">
        <v>6579</v>
      </c>
      <c r="B6375">
        <f>F1598</f>
        <v>20</v>
      </c>
    </row>
    <row r="6376" spans="1:2" ht="15" customHeight="1" x14ac:dyDescent="0.3">
      <c r="A6376" t="s">
        <v>6580</v>
      </c>
      <c r="B6376">
        <f>F1598</f>
        <v>20</v>
      </c>
    </row>
    <row r="6377" spans="1:2" ht="15" customHeight="1" x14ac:dyDescent="0.3">
      <c r="A6377" t="s">
        <v>1419</v>
      </c>
      <c r="B6377">
        <f>F1600</f>
        <v>20</v>
      </c>
    </row>
    <row r="6378" spans="1:2" ht="15" customHeight="1" x14ac:dyDescent="0.3">
      <c r="A6378" t="s">
        <v>6583</v>
      </c>
      <c r="B6378">
        <f>F1576</f>
        <v>15</v>
      </c>
    </row>
    <row r="6379" spans="1:2" ht="15" customHeight="1" x14ac:dyDescent="0.3">
      <c r="A6379" t="s">
        <v>6582</v>
      </c>
      <c r="B6379">
        <f>F1576</f>
        <v>15</v>
      </c>
    </row>
    <row r="6380" spans="1:2" ht="15" customHeight="1" x14ac:dyDescent="0.3">
      <c r="A6380" t="s">
        <v>6581</v>
      </c>
      <c r="B6380">
        <f>F1576</f>
        <v>15</v>
      </c>
    </row>
    <row r="6381" spans="1:2" ht="15" customHeight="1" x14ac:dyDescent="0.3">
      <c r="A6381" t="s">
        <v>6584</v>
      </c>
      <c r="B6381">
        <f>F1602</f>
        <v>15</v>
      </c>
    </row>
    <row r="6382" spans="1:2" ht="15" customHeight="1" x14ac:dyDescent="0.3">
      <c r="A6382" t="s">
        <v>1421</v>
      </c>
      <c r="B6382">
        <f>F1524</f>
        <v>15</v>
      </c>
    </row>
    <row r="6383" spans="1:2" ht="15" customHeight="1" x14ac:dyDescent="0.3">
      <c r="A6383" s="37" t="s">
        <v>7825</v>
      </c>
      <c r="B6383">
        <f>F1532</f>
        <v>15</v>
      </c>
    </row>
    <row r="6384" spans="1:2" ht="15" customHeight="1" x14ac:dyDescent="0.3">
      <c r="A6384" s="37" t="s">
        <v>7828</v>
      </c>
      <c r="B6384">
        <f>F1532</f>
        <v>15</v>
      </c>
    </row>
    <row r="6385" spans="1:2" ht="15" customHeight="1" x14ac:dyDescent="0.3">
      <c r="A6385" s="37" t="s">
        <v>7827</v>
      </c>
      <c r="B6385">
        <f>F1532</f>
        <v>15</v>
      </c>
    </row>
    <row r="6386" spans="1:2" ht="15" customHeight="1" x14ac:dyDescent="0.3">
      <c r="A6386" s="37" t="s">
        <v>7829</v>
      </c>
      <c r="B6386">
        <f>F1532</f>
        <v>15</v>
      </c>
    </row>
    <row r="6387" spans="1:2" ht="15" customHeight="1" x14ac:dyDescent="0.3">
      <c r="A6387" s="37" t="s">
        <v>7830</v>
      </c>
      <c r="B6387">
        <f>F1532</f>
        <v>15</v>
      </c>
    </row>
    <row r="6388" spans="1:2" ht="15" customHeight="1" x14ac:dyDescent="0.3">
      <c r="A6388" s="37" t="s">
        <v>7826</v>
      </c>
      <c r="B6388">
        <f>F1533</f>
        <v>15</v>
      </c>
    </row>
    <row r="6389" spans="1:2" ht="15" customHeight="1" x14ac:dyDescent="0.3">
      <c r="A6389" s="37" t="s">
        <v>7831</v>
      </c>
      <c r="B6389">
        <f>F1533</f>
        <v>15</v>
      </c>
    </row>
    <row r="6390" spans="1:2" ht="15" customHeight="1" x14ac:dyDescent="0.3">
      <c r="A6390" s="37" t="s">
        <v>7832</v>
      </c>
      <c r="B6390">
        <f>F1533</f>
        <v>15</v>
      </c>
    </row>
    <row r="6391" spans="1:2" ht="15" customHeight="1" x14ac:dyDescent="0.3">
      <c r="A6391" s="37" t="s">
        <v>7833</v>
      </c>
      <c r="B6391">
        <f>F1533</f>
        <v>15</v>
      </c>
    </row>
    <row r="6392" spans="1:2" ht="15" customHeight="1" x14ac:dyDescent="0.3">
      <c r="A6392" s="37" t="s">
        <v>7834</v>
      </c>
      <c r="B6392">
        <f>F1533</f>
        <v>15</v>
      </c>
    </row>
    <row r="6393" spans="1:2" ht="15" customHeight="1" x14ac:dyDescent="0.3">
      <c r="A6393" t="s">
        <v>1422</v>
      </c>
      <c r="B6393">
        <f>F1534</f>
        <v>15</v>
      </c>
    </row>
    <row r="6394" spans="1:2" ht="15" customHeight="1" x14ac:dyDescent="0.3">
      <c r="A6394" t="s">
        <v>1423</v>
      </c>
      <c r="B6394">
        <f>F1535</f>
        <v>15</v>
      </c>
    </row>
    <row r="6395" spans="1:2" ht="15" customHeight="1" x14ac:dyDescent="0.3">
      <c r="A6395" t="s">
        <v>1424</v>
      </c>
      <c r="B6395">
        <f>F1536</f>
        <v>20</v>
      </c>
    </row>
    <row r="6396" spans="1:2" ht="15" customHeight="1" x14ac:dyDescent="0.3">
      <c r="A6396" t="s">
        <v>6585</v>
      </c>
      <c r="B6396">
        <f>F1525</f>
        <v>20</v>
      </c>
    </row>
    <row r="6397" spans="1:2" ht="15" customHeight="1" x14ac:dyDescent="0.3">
      <c r="A6397" t="s">
        <v>1426</v>
      </c>
      <c r="B6397">
        <f>F1526</f>
        <v>20</v>
      </c>
    </row>
    <row r="6398" spans="1:2" ht="15" customHeight="1" x14ac:dyDescent="0.3">
      <c r="A6398" t="s">
        <v>1427</v>
      </c>
      <c r="B6398">
        <f>F1527</f>
        <v>20</v>
      </c>
    </row>
    <row r="6399" spans="1:2" ht="15" customHeight="1" x14ac:dyDescent="0.3">
      <c r="A6399" t="s">
        <v>1428</v>
      </c>
      <c r="B6399">
        <f>F1528</f>
        <v>15</v>
      </c>
    </row>
    <row r="6400" spans="1:2" ht="15" customHeight="1" x14ac:dyDescent="0.3">
      <c r="A6400" t="s">
        <v>6586</v>
      </c>
      <c r="B6400">
        <f>F1529</f>
        <v>20</v>
      </c>
    </row>
    <row r="6401" spans="1:2" ht="15" customHeight="1" x14ac:dyDescent="0.3">
      <c r="A6401" t="s">
        <v>6587</v>
      </c>
      <c r="B6401">
        <f>F1529</f>
        <v>20</v>
      </c>
    </row>
    <row r="6402" spans="1:2" ht="15" customHeight="1" x14ac:dyDescent="0.3">
      <c r="A6402" t="s">
        <v>6634</v>
      </c>
      <c r="B6402">
        <f>F1609</f>
        <v>15</v>
      </c>
    </row>
    <row r="6403" spans="1:2" ht="15" customHeight="1" x14ac:dyDescent="0.3">
      <c r="A6403" t="s">
        <v>6635</v>
      </c>
      <c r="B6403">
        <f>F1609</f>
        <v>15</v>
      </c>
    </row>
    <row r="6404" spans="1:2" ht="15" customHeight="1" x14ac:dyDescent="0.3">
      <c r="A6404" t="s">
        <v>6636</v>
      </c>
      <c r="B6404">
        <f>F1610</f>
        <v>15</v>
      </c>
    </row>
    <row r="6405" spans="1:2" ht="15" customHeight="1" x14ac:dyDescent="0.3">
      <c r="A6405" t="s">
        <v>6637</v>
      </c>
      <c r="B6405">
        <f>F1610</f>
        <v>15</v>
      </c>
    </row>
    <row r="6406" spans="1:2" ht="15" customHeight="1" x14ac:dyDescent="0.3">
      <c r="A6406" t="s">
        <v>6638</v>
      </c>
      <c r="B6406">
        <f>F1611</f>
        <v>20</v>
      </c>
    </row>
    <row r="6407" spans="1:2" ht="15" customHeight="1" x14ac:dyDescent="0.3">
      <c r="A6407" t="s">
        <v>6639</v>
      </c>
      <c r="B6407">
        <f>F1611</f>
        <v>20</v>
      </c>
    </row>
    <row r="6408" spans="1:2" ht="15" customHeight="1" x14ac:dyDescent="0.3">
      <c r="A6408" s="68" t="s">
        <v>12470</v>
      </c>
      <c r="B6408">
        <f>F1612</f>
        <v>15</v>
      </c>
    </row>
    <row r="6409" spans="1:2" ht="15" customHeight="1" x14ac:dyDescent="0.3">
      <c r="A6409" s="68" t="s">
        <v>12471</v>
      </c>
      <c r="B6409">
        <f>F1612</f>
        <v>15</v>
      </c>
    </row>
    <row r="6410" spans="1:2" ht="15" customHeight="1" x14ac:dyDescent="0.3">
      <c r="A6410" s="68" t="s">
        <v>12472</v>
      </c>
      <c r="B6410">
        <f>F1612</f>
        <v>15</v>
      </c>
    </row>
    <row r="6411" spans="1:2" ht="15" customHeight="1" x14ac:dyDescent="0.3">
      <c r="A6411" s="68" t="s">
        <v>12473</v>
      </c>
      <c r="B6411">
        <f>F1612</f>
        <v>15</v>
      </c>
    </row>
    <row r="6412" spans="1:2" ht="15" customHeight="1" x14ac:dyDescent="0.3">
      <c r="A6412" t="s">
        <v>12474</v>
      </c>
      <c r="B6412">
        <f>F1613</f>
        <v>15</v>
      </c>
    </row>
    <row r="6413" spans="1:2" ht="15" customHeight="1" x14ac:dyDescent="0.3">
      <c r="A6413" t="s">
        <v>12475</v>
      </c>
      <c r="B6413">
        <f>F1613</f>
        <v>15</v>
      </c>
    </row>
    <row r="6414" spans="1:2" ht="15" customHeight="1" x14ac:dyDescent="0.3">
      <c r="A6414" t="s">
        <v>12476</v>
      </c>
      <c r="B6414">
        <f>F1613</f>
        <v>15</v>
      </c>
    </row>
    <row r="6415" spans="1:2" ht="15" customHeight="1" x14ac:dyDescent="0.3">
      <c r="A6415" t="s">
        <v>12477</v>
      </c>
      <c r="B6415">
        <f>F1613</f>
        <v>15</v>
      </c>
    </row>
    <row r="6416" spans="1:2" ht="15" customHeight="1" x14ac:dyDescent="0.3">
      <c r="A6416" t="s">
        <v>6640</v>
      </c>
      <c r="B6416">
        <f>F1611</f>
        <v>20</v>
      </c>
    </row>
    <row r="6417" spans="1:2" ht="15" customHeight="1" x14ac:dyDescent="0.3">
      <c r="A6417" t="s">
        <v>1433</v>
      </c>
      <c r="B6417">
        <f>F1614</f>
        <v>15</v>
      </c>
    </row>
    <row r="6418" spans="1:2" ht="15" customHeight="1" x14ac:dyDescent="0.3">
      <c r="A6418" t="s">
        <v>6643</v>
      </c>
      <c r="B6418">
        <f>F1616</f>
        <v>15</v>
      </c>
    </row>
    <row r="6419" spans="1:2" ht="15" customHeight="1" x14ac:dyDescent="0.3">
      <c r="A6419" t="s">
        <v>6641</v>
      </c>
      <c r="B6419">
        <f>F1615</f>
        <v>15</v>
      </c>
    </row>
    <row r="6420" spans="1:2" ht="15" customHeight="1" x14ac:dyDescent="0.3">
      <c r="A6420" t="s">
        <v>6642</v>
      </c>
      <c r="B6420">
        <f>F1615</f>
        <v>15</v>
      </c>
    </row>
    <row r="6421" spans="1:2" ht="15" customHeight="1" x14ac:dyDescent="0.3">
      <c r="A6421" t="s">
        <v>6644</v>
      </c>
      <c r="B6421">
        <f>F1616</f>
        <v>15</v>
      </c>
    </row>
    <row r="6422" spans="1:2" ht="15" customHeight="1" x14ac:dyDescent="0.3">
      <c r="A6422" t="s">
        <v>6645</v>
      </c>
      <c r="B6422">
        <f>F1616</f>
        <v>15</v>
      </c>
    </row>
    <row r="6423" spans="1:2" ht="15" customHeight="1" x14ac:dyDescent="0.3">
      <c r="A6423" t="s">
        <v>6646</v>
      </c>
      <c r="B6423">
        <f>F1616</f>
        <v>15</v>
      </c>
    </row>
    <row r="6424" spans="1:2" ht="15" customHeight="1" x14ac:dyDescent="0.3">
      <c r="A6424" t="s">
        <v>1436</v>
      </c>
      <c r="B6424">
        <f>F1563</f>
        <v>12</v>
      </c>
    </row>
    <row r="6425" spans="1:2" ht="15" customHeight="1" x14ac:dyDescent="0.3">
      <c r="A6425" t="s">
        <v>1437</v>
      </c>
      <c r="B6425">
        <f>F1564</f>
        <v>15</v>
      </c>
    </row>
    <row r="6426" spans="1:2" ht="15" customHeight="1" x14ac:dyDescent="0.3">
      <c r="A6426" t="s">
        <v>1438</v>
      </c>
      <c r="B6426">
        <f>F1565</f>
        <v>12</v>
      </c>
    </row>
    <row r="6427" spans="1:2" ht="15" customHeight="1" x14ac:dyDescent="0.3">
      <c r="A6427" t="s">
        <v>1439</v>
      </c>
      <c r="B6427">
        <f>F1573</f>
        <v>15</v>
      </c>
    </row>
    <row r="6428" spans="1:2" ht="15" customHeight="1" x14ac:dyDescent="0.3">
      <c r="A6428" t="s">
        <v>1440</v>
      </c>
      <c r="B6428">
        <f>F1579</f>
        <v>15</v>
      </c>
    </row>
    <row r="6429" spans="1:2" ht="15" customHeight="1" x14ac:dyDescent="0.3">
      <c r="A6429" t="s">
        <v>1441</v>
      </c>
      <c r="B6429">
        <f>F1581</f>
        <v>20</v>
      </c>
    </row>
    <row r="6430" spans="1:2" ht="15" customHeight="1" x14ac:dyDescent="0.3">
      <c r="A6430" t="s">
        <v>1442</v>
      </c>
      <c r="B6430">
        <f>F1582</f>
        <v>15</v>
      </c>
    </row>
    <row r="6431" spans="1:2" ht="15" customHeight="1" x14ac:dyDescent="0.3">
      <c r="A6431" t="s">
        <v>1443</v>
      </c>
      <c r="B6431">
        <f>F1574</f>
        <v>20</v>
      </c>
    </row>
    <row r="6432" spans="1:2" ht="15" customHeight="1" x14ac:dyDescent="0.3">
      <c r="A6432" t="s">
        <v>1444</v>
      </c>
      <c r="B6432">
        <f>F1590</f>
        <v>12</v>
      </c>
    </row>
    <row r="6433" spans="1:2" ht="15" customHeight="1" x14ac:dyDescent="0.3">
      <c r="A6433" t="s">
        <v>6652</v>
      </c>
      <c r="B6433">
        <f>F1592</f>
        <v>15</v>
      </c>
    </row>
    <row r="6434" spans="1:2" ht="15" customHeight="1" x14ac:dyDescent="0.3">
      <c r="A6434" t="s">
        <v>6653</v>
      </c>
      <c r="B6434">
        <f>F1592</f>
        <v>15</v>
      </c>
    </row>
    <row r="6435" spans="1:2" ht="15" customHeight="1" x14ac:dyDescent="0.3">
      <c r="A6435" t="s">
        <v>1445</v>
      </c>
      <c r="B6435">
        <f>F1617</f>
        <v>15</v>
      </c>
    </row>
    <row r="6436" spans="1:2" ht="15" customHeight="1" x14ac:dyDescent="0.3">
      <c r="A6436" t="s">
        <v>1446</v>
      </c>
      <c r="B6436">
        <f>F1618</f>
        <v>15</v>
      </c>
    </row>
    <row r="6437" spans="1:2" ht="15" customHeight="1" x14ac:dyDescent="0.3">
      <c r="A6437" t="s">
        <v>6647</v>
      </c>
      <c r="B6437">
        <f>F1619</f>
        <v>20</v>
      </c>
    </row>
    <row r="6438" spans="1:2" ht="15" customHeight="1" x14ac:dyDescent="0.3">
      <c r="A6438" t="s">
        <v>6648</v>
      </c>
      <c r="B6438">
        <f>F1619</f>
        <v>20</v>
      </c>
    </row>
    <row r="6439" spans="1:2" ht="15" customHeight="1" x14ac:dyDescent="0.3">
      <c r="A6439" t="s">
        <v>6649</v>
      </c>
      <c r="B6439">
        <f>F1619</f>
        <v>20</v>
      </c>
    </row>
    <row r="6440" spans="1:2" ht="15" customHeight="1" x14ac:dyDescent="0.3">
      <c r="A6440" s="107" t="s">
        <v>13572</v>
      </c>
      <c r="B6440">
        <f>F1613</f>
        <v>15</v>
      </c>
    </row>
    <row r="6441" spans="1:2" ht="15" customHeight="1" x14ac:dyDescent="0.3">
      <c r="A6441" s="107" t="s">
        <v>13571</v>
      </c>
      <c r="B6441">
        <f>B6440</f>
        <v>15</v>
      </c>
    </row>
    <row r="6442" spans="1:2" ht="15" customHeight="1" x14ac:dyDescent="0.3">
      <c r="A6442" s="107" t="s">
        <v>13570</v>
      </c>
      <c r="B6442">
        <f>B6440</f>
        <v>15</v>
      </c>
    </row>
    <row r="6443" spans="1:2" ht="15" customHeight="1" x14ac:dyDescent="0.3">
      <c r="A6443" s="107" t="s">
        <v>13575</v>
      </c>
      <c r="B6443">
        <f>B6440</f>
        <v>15</v>
      </c>
    </row>
    <row r="6444" spans="1:2" ht="15" customHeight="1" x14ac:dyDescent="0.3">
      <c r="A6444" s="107" t="s">
        <v>13576</v>
      </c>
      <c r="B6444">
        <f>B6440</f>
        <v>15</v>
      </c>
    </row>
    <row r="6445" spans="1:2" ht="15" customHeight="1" x14ac:dyDescent="0.3">
      <c r="A6445" s="107" t="s">
        <v>13573</v>
      </c>
      <c r="B6445">
        <f>B6440</f>
        <v>15</v>
      </c>
    </row>
    <row r="6446" spans="1:2" ht="15" customHeight="1" x14ac:dyDescent="0.3">
      <c r="A6446" s="107" t="s">
        <v>13574</v>
      </c>
      <c r="B6446">
        <f>B6440</f>
        <v>15</v>
      </c>
    </row>
    <row r="6447" spans="1:2" ht="15" customHeight="1" x14ac:dyDescent="0.3">
      <c r="A6447" t="s">
        <v>6700</v>
      </c>
      <c r="B6447">
        <f>B6382</f>
        <v>15</v>
      </c>
    </row>
    <row r="6448" spans="1:2" ht="15" customHeight="1" x14ac:dyDescent="0.3">
      <c r="A6448" t="s">
        <v>6701</v>
      </c>
      <c r="B6448">
        <f t="shared" ref="B6448:B6462" si="1248">B6393</f>
        <v>15</v>
      </c>
    </row>
    <row r="6449" spans="1:2" ht="15" customHeight="1" x14ac:dyDescent="0.3">
      <c r="A6449" t="s">
        <v>6702</v>
      </c>
      <c r="B6449">
        <f t="shared" si="1248"/>
        <v>15</v>
      </c>
    </row>
    <row r="6450" spans="1:2" ht="15" customHeight="1" x14ac:dyDescent="0.3">
      <c r="A6450" t="s">
        <v>6703</v>
      </c>
      <c r="B6450">
        <f t="shared" si="1248"/>
        <v>20</v>
      </c>
    </row>
    <row r="6451" spans="1:2" ht="15" customHeight="1" x14ac:dyDescent="0.3">
      <c r="A6451" t="s">
        <v>6704</v>
      </c>
      <c r="B6451">
        <f t="shared" si="1248"/>
        <v>20</v>
      </c>
    </row>
    <row r="6452" spans="1:2" ht="15" customHeight="1" x14ac:dyDescent="0.3">
      <c r="A6452" t="s">
        <v>6705</v>
      </c>
      <c r="B6452">
        <f t="shared" si="1248"/>
        <v>20</v>
      </c>
    </row>
    <row r="6453" spans="1:2" ht="15" customHeight="1" x14ac:dyDescent="0.3">
      <c r="A6453" t="s">
        <v>6706</v>
      </c>
      <c r="B6453">
        <f t="shared" si="1248"/>
        <v>20</v>
      </c>
    </row>
    <row r="6454" spans="1:2" ht="15" customHeight="1" x14ac:dyDescent="0.3">
      <c r="A6454" t="s">
        <v>6707</v>
      </c>
      <c r="B6454">
        <f t="shared" si="1248"/>
        <v>15</v>
      </c>
    </row>
    <row r="6455" spans="1:2" ht="15" customHeight="1" x14ac:dyDescent="0.3">
      <c r="A6455" t="s">
        <v>6708</v>
      </c>
      <c r="B6455">
        <f t="shared" si="1248"/>
        <v>20</v>
      </c>
    </row>
    <row r="6456" spans="1:2" ht="15" customHeight="1" x14ac:dyDescent="0.3">
      <c r="A6456" t="s">
        <v>6709</v>
      </c>
      <c r="B6456">
        <f t="shared" si="1248"/>
        <v>20</v>
      </c>
    </row>
    <row r="6457" spans="1:2" ht="15" customHeight="1" x14ac:dyDescent="0.3">
      <c r="A6457" t="s">
        <v>6732</v>
      </c>
      <c r="B6457">
        <f t="shared" si="1248"/>
        <v>15</v>
      </c>
    </row>
    <row r="6458" spans="1:2" ht="15" customHeight="1" x14ac:dyDescent="0.3">
      <c r="A6458" t="s">
        <v>6733</v>
      </c>
      <c r="B6458">
        <f t="shared" si="1248"/>
        <v>15</v>
      </c>
    </row>
    <row r="6459" spans="1:2" ht="15" customHeight="1" x14ac:dyDescent="0.3">
      <c r="A6459" t="s">
        <v>6710</v>
      </c>
      <c r="B6459">
        <f t="shared" si="1248"/>
        <v>15</v>
      </c>
    </row>
    <row r="6460" spans="1:2" ht="15" customHeight="1" x14ac:dyDescent="0.3">
      <c r="A6460" t="s">
        <v>6711</v>
      </c>
      <c r="B6460">
        <f t="shared" si="1248"/>
        <v>15</v>
      </c>
    </row>
    <row r="6461" spans="1:2" ht="15" customHeight="1" x14ac:dyDescent="0.3">
      <c r="A6461" t="s">
        <v>6712</v>
      </c>
      <c r="B6461">
        <f t="shared" si="1248"/>
        <v>20</v>
      </c>
    </row>
    <row r="6462" spans="1:2" ht="15" customHeight="1" x14ac:dyDescent="0.3">
      <c r="A6462" t="s">
        <v>6713</v>
      </c>
      <c r="B6462">
        <f t="shared" si="1248"/>
        <v>20</v>
      </c>
    </row>
    <row r="6463" spans="1:2" ht="15" customHeight="1" x14ac:dyDescent="0.3">
      <c r="A6463" t="s">
        <v>6714</v>
      </c>
      <c r="B6463">
        <f t="shared" ref="B6463:B6486" si="1249">B6416</f>
        <v>20</v>
      </c>
    </row>
    <row r="6464" spans="1:2" ht="15" customHeight="1" x14ac:dyDescent="0.3">
      <c r="A6464" t="s">
        <v>6715</v>
      </c>
      <c r="B6464">
        <f t="shared" si="1249"/>
        <v>15</v>
      </c>
    </row>
    <row r="6465" spans="1:2" ht="15" customHeight="1" x14ac:dyDescent="0.3">
      <c r="A6465" t="s">
        <v>6716</v>
      </c>
      <c r="B6465">
        <f t="shared" si="1249"/>
        <v>15</v>
      </c>
    </row>
    <row r="6466" spans="1:2" ht="15" customHeight="1" x14ac:dyDescent="0.3">
      <c r="A6466" t="s">
        <v>6717</v>
      </c>
      <c r="B6466">
        <f t="shared" si="1249"/>
        <v>15</v>
      </c>
    </row>
    <row r="6467" spans="1:2" ht="15" customHeight="1" x14ac:dyDescent="0.3">
      <c r="A6467" t="s">
        <v>6718</v>
      </c>
      <c r="B6467">
        <f t="shared" si="1249"/>
        <v>15</v>
      </c>
    </row>
    <row r="6468" spans="1:2" ht="15" customHeight="1" x14ac:dyDescent="0.3">
      <c r="A6468" t="s">
        <v>6719</v>
      </c>
      <c r="B6468">
        <f t="shared" si="1249"/>
        <v>15</v>
      </c>
    </row>
    <row r="6469" spans="1:2" ht="15" customHeight="1" x14ac:dyDescent="0.3">
      <c r="A6469" t="s">
        <v>6720</v>
      </c>
      <c r="B6469">
        <f t="shared" si="1249"/>
        <v>15</v>
      </c>
    </row>
    <row r="6470" spans="1:2" ht="15" customHeight="1" x14ac:dyDescent="0.3">
      <c r="A6470" t="s">
        <v>6721</v>
      </c>
      <c r="B6470">
        <f t="shared" si="1249"/>
        <v>15</v>
      </c>
    </row>
    <row r="6471" spans="1:2" ht="15" customHeight="1" x14ac:dyDescent="0.3">
      <c r="A6471" t="s">
        <v>6722</v>
      </c>
      <c r="B6471">
        <f t="shared" si="1249"/>
        <v>12</v>
      </c>
    </row>
    <row r="6472" spans="1:2" ht="15" customHeight="1" x14ac:dyDescent="0.3">
      <c r="A6472" t="s">
        <v>6723</v>
      </c>
      <c r="B6472">
        <f t="shared" si="1249"/>
        <v>15</v>
      </c>
    </row>
    <row r="6473" spans="1:2" ht="15" customHeight="1" x14ac:dyDescent="0.3">
      <c r="A6473" t="s">
        <v>6724</v>
      </c>
      <c r="B6473">
        <f t="shared" si="1249"/>
        <v>12</v>
      </c>
    </row>
    <row r="6474" spans="1:2" ht="15" customHeight="1" x14ac:dyDescent="0.3">
      <c r="A6474" t="s">
        <v>6694</v>
      </c>
      <c r="B6474">
        <f t="shared" si="1249"/>
        <v>15</v>
      </c>
    </row>
    <row r="6475" spans="1:2" ht="15" customHeight="1" x14ac:dyDescent="0.3">
      <c r="A6475" t="s">
        <v>6725</v>
      </c>
      <c r="B6475">
        <f t="shared" si="1249"/>
        <v>15</v>
      </c>
    </row>
    <row r="6476" spans="1:2" ht="15" customHeight="1" x14ac:dyDescent="0.3">
      <c r="A6476" t="s">
        <v>6726</v>
      </c>
      <c r="B6476">
        <f t="shared" si="1249"/>
        <v>20</v>
      </c>
    </row>
    <row r="6477" spans="1:2" ht="15" customHeight="1" x14ac:dyDescent="0.3">
      <c r="A6477" t="s">
        <v>6695</v>
      </c>
      <c r="B6477">
        <f t="shared" si="1249"/>
        <v>15</v>
      </c>
    </row>
    <row r="6478" spans="1:2" ht="15" customHeight="1" x14ac:dyDescent="0.3">
      <c r="A6478" t="s">
        <v>6696</v>
      </c>
      <c r="B6478">
        <f t="shared" si="1249"/>
        <v>20</v>
      </c>
    </row>
    <row r="6479" spans="1:2" ht="15" customHeight="1" x14ac:dyDescent="0.3">
      <c r="A6479" t="s">
        <v>6727</v>
      </c>
      <c r="B6479">
        <f t="shared" si="1249"/>
        <v>12</v>
      </c>
    </row>
    <row r="6480" spans="1:2" ht="15" customHeight="1" x14ac:dyDescent="0.3">
      <c r="A6480" t="s">
        <v>6728</v>
      </c>
      <c r="B6480">
        <f t="shared" si="1249"/>
        <v>15</v>
      </c>
    </row>
    <row r="6481" spans="1:2" ht="15" customHeight="1" x14ac:dyDescent="0.3">
      <c r="A6481" t="s">
        <v>6729</v>
      </c>
      <c r="B6481">
        <f t="shared" si="1249"/>
        <v>15</v>
      </c>
    </row>
    <row r="6482" spans="1:2" ht="15" customHeight="1" x14ac:dyDescent="0.3">
      <c r="A6482" t="s">
        <v>6730</v>
      </c>
      <c r="B6482">
        <f t="shared" si="1249"/>
        <v>15</v>
      </c>
    </row>
    <row r="6483" spans="1:2" ht="15" customHeight="1" x14ac:dyDescent="0.3">
      <c r="A6483" t="s">
        <v>6731</v>
      </c>
      <c r="B6483">
        <f t="shared" si="1249"/>
        <v>15</v>
      </c>
    </row>
    <row r="6484" spans="1:2" ht="15" customHeight="1" x14ac:dyDescent="0.3">
      <c r="A6484" t="s">
        <v>6697</v>
      </c>
      <c r="B6484">
        <f t="shared" si="1249"/>
        <v>20</v>
      </c>
    </row>
    <row r="6485" spans="1:2" ht="15" customHeight="1" x14ac:dyDescent="0.3">
      <c r="A6485" t="s">
        <v>6698</v>
      </c>
      <c r="B6485">
        <f t="shared" si="1249"/>
        <v>20</v>
      </c>
    </row>
    <row r="6486" spans="1:2" ht="15" customHeight="1" x14ac:dyDescent="0.3">
      <c r="A6486" t="s">
        <v>6699</v>
      </c>
      <c r="B6486">
        <f t="shared" si="1249"/>
        <v>20</v>
      </c>
    </row>
    <row r="6487" spans="1:2" ht="15" customHeight="1" x14ac:dyDescent="0.3">
      <c r="A6487" t="s">
        <v>6654</v>
      </c>
      <c r="B6487">
        <f>B6382</f>
        <v>15</v>
      </c>
    </row>
    <row r="6488" spans="1:2" ht="15" customHeight="1" x14ac:dyDescent="0.3">
      <c r="A6488" t="s">
        <v>6655</v>
      </c>
      <c r="B6488">
        <f t="shared" ref="B6488:B6502" si="1250">B6393</f>
        <v>15</v>
      </c>
    </row>
    <row r="6489" spans="1:2" ht="15" customHeight="1" x14ac:dyDescent="0.3">
      <c r="A6489" t="s">
        <v>6656</v>
      </c>
      <c r="B6489">
        <f t="shared" si="1250"/>
        <v>15</v>
      </c>
    </row>
    <row r="6490" spans="1:2" ht="15" customHeight="1" x14ac:dyDescent="0.3">
      <c r="A6490" t="s">
        <v>6657</v>
      </c>
      <c r="B6490">
        <f t="shared" si="1250"/>
        <v>20</v>
      </c>
    </row>
    <row r="6491" spans="1:2" ht="15" customHeight="1" x14ac:dyDescent="0.3">
      <c r="A6491" t="s">
        <v>6658</v>
      </c>
      <c r="B6491">
        <f t="shared" si="1250"/>
        <v>20</v>
      </c>
    </row>
    <row r="6492" spans="1:2" ht="15" customHeight="1" x14ac:dyDescent="0.3">
      <c r="A6492" t="s">
        <v>6659</v>
      </c>
      <c r="B6492">
        <f t="shared" si="1250"/>
        <v>20</v>
      </c>
    </row>
    <row r="6493" spans="1:2" ht="15" customHeight="1" x14ac:dyDescent="0.3">
      <c r="A6493" t="s">
        <v>6660</v>
      </c>
      <c r="B6493">
        <f t="shared" si="1250"/>
        <v>20</v>
      </c>
    </row>
    <row r="6494" spans="1:2" ht="15" customHeight="1" x14ac:dyDescent="0.3">
      <c r="A6494" t="s">
        <v>6661</v>
      </c>
      <c r="B6494">
        <f t="shared" si="1250"/>
        <v>15</v>
      </c>
    </row>
    <row r="6495" spans="1:2" ht="15" customHeight="1" x14ac:dyDescent="0.3">
      <c r="A6495" t="s">
        <v>6662</v>
      </c>
      <c r="B6495">
        <f t="shared" si="1250"/>
        <v>20</v>
      </c>
    </row>
    <row r="6496" spans="1:2" ht="15" customHeight="1" x14ac:dyDescent="0.3">
      <c r="A6496" t="s">
        <v>6663</v>
      </c>
      <c r="B6496">
        <f t="shared" si="1250"/>
        <v>20</v>
      </c>
    </row>
    <row r="6497" spans="1:2" ht="15" customHeight="1" x14ac:dyDescent="0.3">
      <c r="A6497" t="s">
        <v>6664</v>
      </c>
      <c r="B6497">
        <f t="shared" si="1250"/>
        <v>15</v>
      </c>
    </row>
    <row r="6498" spans="1:2" ht="15" customHeight="1" x14ac:dyDescent="0.3">
      <c r="A6498" t="s">
        <v>6665</v>
      </c>
      <c r="B6498">
        <f t="shared" si="1250"/>
        <v>15</v>
      </c>
    </row>
    <row r="6499" spans="1:2" ht="15" customHeight="1" x14ac:dyDescent="0.3">
      <c r="A6499" t="s">
        <v>6666</v>
      </c>
      <c r="B6499">
        <f t="shared" si="1250"/>
        <v>15</v>
      </c>
    </row>
    <row r="6500" spans="1:2" ht="15" customHeight="1" x14ac:dyDescent="0.3">
      <c r="A6500" t="s">
        <v>6667</v>
      </c>
      <c r="B6500">
        <f t="shared" si="1250"/>
        <v>15</v>
      </c>
    </row>
    <row r="6501" spans="1:2" ht="15" customHeight="1" x14ac:dyDescent="0.3">
      <c r="A6501" t="s">
        <v>6668</v>
      </c>
      <c r="B6501">
        <f t="shared" si="1250"/>
        <v>20</v>
      </c>
    </row>
    <row r="6502" spans="1:2" ht="15" customHeight="1" x14ac:dyDescent="0.3">
      <c r="A6502" t="s">
        <v>6669</v>
      </c>
      <c r="B6502">
        <f t="shared" si="1250"/>
        <v>20</v>
      </c>
    </row>
    <row r="6503" spans="1:2" ht="15" customHeight="1" x14ac:dyDescent="0.3">
      <c r="A6503" t="s">
        <v>6670</v>
      </c>
      <c r="B6503">
        <f t="shared" ref="B6503:B6526" si="1251">B6416</f>
        <v>20</v>
      </c>
    </row>
    <row r="6504" spans="1:2" ht="15" customHeight="1" x14ac:dyDescent="0.3">
      <c r="A6504" t="s">
        <v>6671</v>
      </c>
      <c r="B6504">
        <f t="shared" si="1251"/>
        <v>15</v>
      </c>
    </row>
    <row r="6505" spans="1:2" ht="15" customHeight="1" x14ac:dyDescent="0.3">
      <c r="A6505" t="s">
        <v>6672</v>
      </c>
      <c r="B6505">
        <f t="shared" si="1251"/>
        <v>15</v>
      </c>
    </row>
    <row r="6506" spans="1:2" ht="15" customHeight="1" x14ac:dyDescent="0.3">
      <c r="A6506" t="s">
        <v>6673</v>
      </c>
      <c r="B6506">
        <f t="shared" si="1251"/>
        <v>15</v>
      </c>
    </row>
    <row r="6507" spans="1:2" ht="15" customHeight="1" x14ac:dyDescent="0.3">
      <c r="A6507" t="s">
        <v>6674</v>
      </c>
      <c r="B6507">
        <f t="shared" si="1251"/>
        <v>15</v>
      </c>
    </row>
    <row r="6508" spans="1:2" ht="15" customHeight="1" x14ac:dyDescent="0.3">
      <c r="A6508" t="s">
        <v>6675</v>
      </c>
      <c r="B6508">
        <f t="shared" si="1251"/>
        <v>15</v>
      </c>
    </row>
    <row r="6509" spans="1:2" ht="15" customHeight="1" x14ac:dyDescent="0.3">
      <c r="A6509" t="s">
        <v>6676</v>
      </c>
      <c r="B6509">
        <f t="shared" si="1251"/>
        <v>15</v>
      </c>
    </row>
    <row r="6510" spans="1:2" ht="15" customHeight="1" x14ac:dyDescent="0.3">
      <c r="A6510" t="s">
        <v>6677</v>
      </c>
      <c r="B6510">
        <f t="shared" si="1251"/>
        <v>15</v>
      </c>
    </row>
    <row r="6511" spans="1:2" ht="15" customHeight="1" x14ac:dyDescent="0.3">
      <c r="A6511" t="s">
        <v>6678</v>
      </c>
      <c r="B6511">
        <f t="shared" si="1251"/>
        <v>12</v>
      </c>
    </row>
    <row r="6512" spans="1:2" ht="15" customHeight="1" x14ac:dyDescent="0.3">
      <c r="A6512" t="s">
        <v>6679</v>
      </c>
      <c r="B6512">
        <f t="shared" si="1251"/>
        <v>15</v>
      </c>
    </row>
    <row r="6513" spans="1:2" ht="15" customHeight="1" x14ac:dyDescent="0.3">
      <c r="A6513" t="s">
        <v>6680</v>
      </c>
      <c r="B6513">
        <f t="shared" si="1251"/>
        <v>12</v>
      </c>
    </row>
    <row r="6514" spans="1:2" ht="15" customHeight="1" x14ac:dyDescent="0.3">
      <c r="A6514" t="s">
        <v>6681</v>
      </c>
      <c r="B6514">
        <f t="shared" si="1251"/>
        <v>15</v>
      </c>
    </row>
    <row r="6515" spans="1:2" ht="15" customHeight="1" x14ac:dyDescent="0.3">
      <c r="A6515" t="s">
        <v>6682</v>
      </c>
      <c r="B6515">
        <f t="shared" si="1251"/>
        <v>15</v>
      </c>
    </row>
    <row r="6516" spans="1:2" ht="15" customHeight="1" x14ac:dyDescent="0.3">
      <c r="A6516" t="s">
        <v>6683</v>
      </c>
      <c r="B6516">
        <f t="shared" si="1251"/>
        <v>20</v>
      </c>
    </row>
    <row r="6517" spans="1:2" ht="15" customHeight="1" x14ac:dyDescent="0.3">
      <c r="A6517" t="s">
        <v>6684</v>
      </c>
      <c r="B6517">
        <f t="shared" si="1251"/>
        <v>15</v>
      </c>
    </row>
    <row r="6518" spans="1:2" ht="15" customHeight="1" x14ac:dyDescent="0.3">
      <c r="A6518" t="s">
        <v>6685</v>
      </c>
      <c r="B6518">
        <f t="shared" si="1251"/>
        <v>20</v>
      </c>
    </row>
    <row r="6519" spans="1:2" ht="15" customHeight="1" x14ac:dyDescent="0.3">
      <c r="A6519" t="s">
        <v>6686</v>
      </c>
      <c r="B6519">
        <f t="shared" si="1251"/>
        <v>12</v>
      </c>
    </row>
    <row r="6520" spans="1:2" ht="15" customHeight="1" x14ac:dyDescent="0.3">
      <c r="A6520" t="s">
        <v>6687</v>
      </c>
      <c r="B6520">
        <f t="shared" si="1251"/>
        <v>15</v>
      </c>
    </row>
    <row r="6521" spans="1:2" ht="15" customHeight="1" x14ac:dyDescent="0.3">
      <c r="A6521" t="s">
        <v>6688</v>
      </c>
      <c r="B6521">
        <f t="shared" si="1251"/>
        <v>15</v>
      </c>
    </row>
    <row r="6522" spans="1:2" ht="15" customHeight="1" x14ac:dyDescent="0.3">
      <c r="A6522" t="s">
        <v>6689</v>
      </c>
      <c r="B6522">
        <f t="shared" si="1251"/>
        <v>15</v>
      </c>
    </row>
    <row r="6523" spans="1:2" ht="15" customHeight="1" x14ac:dyDescent="0.3">
      <c r="A6523" t="s">
        <v>6690</v>
      </c>
      <c r="B6523">
        <f t="shared" si="1251"/>
        <v>15</v>
      </c>
    </row>
    <row r="6524" spans="1:2" ht="15" customHeight="1" x14ac:dyDescent="0.3">
      <c r="A6524" t="s">
        <v>6691</v>
      </c>
      <c r="B6524">
        <f t="shared" si="1251"/>
        <v>20</v>
      </c>
    </row>
    <row r="6525" spans="1:2" ht="15" customHeight="1" x14ac:dyDescent="0.3">
      <c r="A6525" t="s">
        <v>6692</v>
      </c>
      <c r="B6525">
        <f t="shared" si="1251"/>
        <v>20</v>
      </c>
    </row>
    <row r="6526" spans="1:2" ht="15" customHeight="1" x14ac:dyDescent="0.3">
      <c r="A6526" t="s">
        <v>6693</v>
      </c>
      <c r="B6526">
        <f t="shared" si="1251"/>
        <v>20</v>
      </c>
    </row>
    <row r="6527" spans="1:2" ht="15" customHeight="1" x14ac:dyDescent="0.3">
      <c r="A6527" t="s">
        <v>6650</v>
      </c>
      <c r="B6527">
        <f>F1620</f>
        <v>0</v>
      </c>
    </row>
    <row r="6528" spans="1:2" ht="15" customHeight="1" x14ac:dyDescent="0.3">
      <c r="A6528" t="s">
        <v>6651</v>
      </c>
      <c r="B6528">
        <f>F1620</f>
        <v>0</v>
      </c>
    </row>
    <row r="6529" spans="1:2" ht="15" customHeight="1" x14ac:dyDescent="0.3">
      <c r="A6529" t="s">
        <v>1449</v>
      </c>
      <c r="B6529">
        <f>F1621</f>
        <v>12</v>
      </c>
    </row>
    <row r="6530" spans="1:2" ht="15" customHeight="1" x14ac:dyDescent="0.3">
      <c r="A6530" t="s">
        <v>6057</v>
      </c>
      <c r="B6530">
        <f>F1622</f>
        <v>35</v>
      </c>
    </row>
    <row r="6531" spans="1:2" ht="15" customHeight="1" x14ac:dyDescent="0.3">
      <c r="A6531" t="s">
        <v>5125</v>
      </c>
      <c r="B6531">
        <f>F1624</f>
        <v>20</v>
      </c>
    </row>
    <row r="6532" spans="1:2" ht="15" customHeight="1" x14ac:dyDescent="0.3">
      <c r="A6532" t="s">
        <v>6734</v>
      </c>
      <c r="B6532">
        <f>F1627</f>
        <v>20</v>
      </c>
    </row>
    <row r="6533" spans="1:2" ht="15" customHeight="1" x14ac:dyDescent="0.3">
      <c r="A6533" t="s">
        <v>6735</v>
      </c>
      <c r="B6533">
        <f>F1627</f>
        <v>20</v>
      </c>
    </row>
    <row r="6534" spans="1:2" ht="15" customHeight="1" x14ac:dyDescent="0.3">
      <c r="A6534" t="s">
        <v>6736</v>
      </c>
      <c r="B6534">
        <f>F1627</f>
        <v>20</v>
      </c>
    </row>
    <row r="6535" spans="1:2" ht="15" customHeight="1" x14ac:dyDescent="0.3">
      <c r="A6535" t="s">
        <v>6737</v>
      </c>
      <c r="B6535">
        <f>F1627</f>
        <v>20</v>
      </c>
    </row>
    <row r="6536" spans="1:2" ht="15" customHeight="1" x14ac:dyDescent="0.3">
      <c r="A6536" t="s">
        <v>6738</v>
      </c>
      <c r="B6536">
        <f>F1627</f>
        <v>20</v>
      </c>
    </row>
    <row r="6537" spans="1:2" ht="15" customHeight="1" x14ac:dyDescent="0.3">
      <c r="A6537" t="s">
        <v>6739</v>
      </c>
      <c r="B6537">
        <f>F1627</f>
        <v>20</v>
      </c>
    </row>
    <row r="6538" spans="1:2" ht="15" customHeight="1" x14ac:dyDescent="0.3">
      <c r="A6538" t="s">
        <v>1461</v>
      </c>
      <c r="B6538">
        <f>F1633</f>
        <v>30</v>
      </c>
    </row>
    <row r="6539" spans="1:2" ht="15" customHeight="1" x14ac:dyDescent="0.3">
      <c r="A6539" t="s">
        <v>6740</v>
      </c>
      <c r="B6539">
        <f>F1634</f>
        <v>20</v>
      </c>
    </row>
    <row r="6540" spans="1:2" ht="15" customHeight="1" x14ac:dyDescent="0.3">
      <c r="A6540" t="s">
        <v>5883</v>
      </c>
      <c r="B6540">
        <f>F1635</f>
        <v>15</v>
      </c>
    </row>
    <row r="6541" spans="1:2" ht="15" customHeight="1" x14ac:dyDescent="0.3">
      <c r="A6541" t="s">
        <v>6741</v>
      </c>
      <c r="B6541">
        <f>F1636</f>
        <v>20</v>
      </c>
    </row>
    <row r="6542" spans="1:2" ht="15" customHeight="1" x14ac:dyDescent="0.3">
      <c r="A6542" t="s">
        <v>6742</v>
      </c>
      <c r="B6542">
        <f>F1636</f>
        <v>20</v>
      </c>
    </row>
    <row r="6543" spans="1:2" ht="15" customHeight="1" x14ac:dyDescent="0.3">
      <c r="A6543" t="s">
        <v>5260</v>
      </c>
      <c r="B6543">
        <f>F1638</f>
        <v>20</v>
      </c>
    </row>
    <row r="6544" spans="1:2" ht="15" customHeight="1" x14ac:dyDescent="0.3">
      <c r="A6544" t="s">
        <v>6743</v>
      </c>
      <c r="B6544">
        <f>F1638</f>
        <v>20</v>
      </c>
    </row>
    <row r="6545" spans="1:2" ht="15" customHeight="1" x14ac:dyDescent="0.3">
      <c r="A6545" t="s">
        <v>5420</v>
      </c>
      <c r="B6545">
        <f>F1643</f>
        <v>20</v>
      </c>
    </row>
    <row r="6546" spans="1:2" ht="15" customHeight="1" x14ac:dyDescent="0.3">
      <c r="A6546" t="s">
        <v>6744</v>
      </c>
      <c r="B6546">
        <f>F1641</f>
        <v>25</v>
      </c>
    </row>
    <row r="6547" spans="1:2" ht="15" customHeight="1" x14ac:dyDescent="0.3">
      <c r="A6547" t="s">
        <v>6745</v>
      </c>
      <c r="B6547">
        <f>F1641</f>
        <v>25</v>
      </c>
    </row>
    <row r="6548" spans="1:2" ht="15" customHeight="1" x14ac:dyDescent="0.3">
      <c r="A6548" t="s">
        <v>6746</v>
      </c>
      <c r="B6548">
        <f>F1641</f>
        <v>25</v>
      </c>
    </row>
    <row r="6549" spans="1:2" ht="15" customHeight="1" x14ac:dyDescent="0.3">
      <c r="A6549" t="s">
        <v>6747</v>
      </c>
      <c r="B6549">
        <f>F1641</f>
        <v>25</v>
      </c>
    </row>
    <row r="6550" spans="1:2" ht="15" customHeight="1" x14ac:dyDescent="0.3">
      <c r="A6550" t="s">
        <v>6748</v>
      </c>
      <c r="B6550">
        <f>F1643</f>
        <v>20</v>
      </c>
    </row>
    <row r="6551" spans="1:2" ht="15" customHeight="1" x14ac:dyDescent="0.3">
      <c r="A6551" t="s">
        <v>6749</v>
      </c>
      <c r="B6551">
        <f>F1643</f>
        <v>20</v>
      </c>
    </row>
    <row r="6552" spans="1:2" ht="15" customHeight="1" x14ac:dyDescent="0.3">
      <c r="A6552" t="s">
        <v>6750</v>
      </c>
      <c r="B6552">
        <f>F1643</f>
        <v>20</v>
      </c>
    </row>
    <row r="6553" spans="1:2" ht="15" customHeight="1" x14ac:dyDescent="0.3">
      <c r="A6553" t="s">
        <v>6751</v>
      </c>
      <c r="B6553">
        <f>F1643</f>
        <v>20</v>
      </c>
    </row>
    <row r="6554" spans="1:2" ht="15" customHeight="1" x14ac:dyDescent="0.3">
      <c r="A6554" t="s">
        <v>10715</v>
      </c>
      <c r="B6554">
        <f>F1643</f>
        <v>20</v>
      </c>
    </row>
    <row r="6555" spans="1:2" ht="15" customHeight="1" x14ac:dyDescent="0.3">
      <c r="A6555" t="s">
        <v>6752</v>
      </c>
      <c r="B6555">
        <f>F1645</f>
        <v>25</v>
      </c>
    </row>
    <row r="6556" spans="1:2" ht="15" customHeight="1" x14ac:dyDescent="0.3">
      <c r="A6556" t="s">
        <v>6753</v>
      </c>
      <c r="B6556">
        <f>F1645</f>
        <v>25</v>
      </c>
    </row>
    <row r="6557" spans="1:2" ht="15" customHeight="1" x14ac:dyDescent="0.3">
      <c r="A6557" t="s">
        <v>1471</v>
      </c>
      <c r="B6557">
        <f>F1646</f>
        <v>0</v>
      </c>
    </row>
    <row r="6558" spans="1:2" ht="15" customHeight="1" x14ac:dyDescent="0.3">
      <c r="A6558" t="s">
        <v>6754</v>
      </c>
      <c r="B6558">
        <f>F1647</f>
        <v>15</v>
      </c>
    </row>
    <row r="6559" spans="1:2" ht="15" customHeight="1" x14ac:dyDescent="0.3">
      <c r="A6559" t="s">
        <v>6755</v>
      </c>
      <c r="B6559">
        <f>F1647</f>
        <v>15</v>
      </c>
    </row>
    <row r="6560" spans="1:2" ht="15" customHeight="1" x14ac:dyDescent="0.3">
      <c r="A6560" t="s">
        <v>1473</v>
      </c>
      <c r="B6560">
        <f>F1648</f>
        <v>35</v>
      </c>
    </row>
    <row r="6561" spans="1:2" ht="15" customHeight="1" x14ac:dyDescent="0.3">
      <c r="A6561" t="s">
        <v>1474</v>
      </c>
      <c r="B6561">
        <f>F1649</f>
        <v>35</v>
      </c>
    </row>
    <row r="6562" spans="1:2" ht="15" customHeight="1" x14ac:dyDescent="0.3">
      <c r="A6562" t="s">
        <v>11057</v>
      </c>
      <c r="B6562">
        <f>F1650</f>
        <v>0</v>
      </c>
    </row>
    <row r="6563" spans="1:2" ht="15" customHeight="1" x14ac:dyDescent="0.3">
      <c r="A6563" t="s">
        <v>11060</v>
      </c>
      <c r="B6563">
        <f>F1650</f>
        <v>0</v>
      </c>
    </row>
    <row r="6564" spans="1:2" ht="15" customHeight="1" x14ac:dyDescent="0.3">
      <c r="A6564" t="s">
        <v>11059</v>
      </c>
      <c r="B6564">
        <f>F1650</f>
        <v>0</v>
      </c>
    </row>
    <row r="6565" spans="1:2" ht="15" customHeight="1" x14ac:dyDescent="0.3">
      <c r="A6565" t="s">
        <v>11058</v>
      </c>
      <c r="B6565">
        <f>F1650</f>
        <v>0</v>
      </c>
    </row>
    <row r="6566" spans="1:2" ht="15" customHeight="1" x14ac:dyDescent="0.3">
      <c r="A6566" t="s">
        <v>1475</v>
      </c>
      <c r="B6566">
        <f>F1651</f>
        <v>10</v>
      </c>
    </row>
    <row r="6567" spans="1:2" ht="15" customHeight="1" x14ac:dyDescent="0.3">
      <c r="A6567" t="s">
        <v>6756</v>
      </c>
      <c r="B6567">
        <f>F1652</f>
        <v>12</v>
      </c>
    </row>
    <row r="6568" spans="1:2" ht="15" customHeight="1" x14ac:dyDescent="0.3">
      <c r="A6568" t="s">
        <v>6757</v>
      </c>
      <c r="B6568">
        <f>F1652</f>
        <v>12</v>
      </c>
    </row>
    <row r="6569" spans="1:2" ht="15" customHeight="1" x14ac:dyDescent="0.3">
      <c r="A6569" t="s">
        <v>1477</v>
      </c>
      <c r="B6569">
        <f>F1653</f>
        <v>15</v>
      </c>
    </row>
    <row r="6570" spans="1:2" ht="15" customHeight="1" x14ac:dyDescent="0.3">
      <c r="A6570" t="s">
        <v>1478</v>
      </c>
      <c r="B6570">
        <f>F1654</f>
        <v>12</v>
      </c>
    </row>
    <row r="6571" spans="1:2" ht="15" customHeight="1" x14ac:dyDescent="0.3">
      <c r="A6571" t="s">
        <v>6758</v>
      </c>
      <c r="B6571">
        <f>F1655</f>
        <v>15</v>
      </c>
    </row>
    <row r="6572" spans="1:2" ht="15" customHeight="1" x14ac:dyDescent="0.3">
      <c r="A6572" t="s">
        <v>6759</v>
      </c>
      <c r="B6572">
        <f>F1655</f>
        <v>15</v>
      </c>
    </row>
    <row r="6573" spans="1:2" ht="15" customHeight="1" x14ac:dyDescent="0.3">
      <c r="A6573" t="s">
        <v>6760</v>
      </c>
      <c r="B6573">
        <f t="shared" ref="B6573:B6580" si="1252">F1655</f>
        <v>15</v>
      </c>
    </row>
    <row r="6574" spans="1:2" ht="15" customHeight="1" x14ac:dyDescent="0.3">
      <c r="A6574" t="s">
        <v>1480</v>
      </c>
      <c r="B6574">
        <f t="shared" si="1252"/>
        <v>15</v>
      </c>
    </row>
    <row r="6575" spans="1:2" ht="15" customHeight="1" x14ac:dyDescent="0.3">
      <c r="A6575" t="s">
        <v>1481</v>
      </c>
      <c r="B6575">
        <f t="shared" si="1252"/>
        <v>15</v>
      </c>
    </row>
    <row r="6576" spans="1:2" ht="15" customHeight="1" x14ac:dyDescent="0.3">
      <c r="A6576" t="s">
        <v>6761</v>
      </c>
      <c r="B6576">
        <f t="shared" si="1252"/>
        <v>15</v>
      </c>
    </row>
    <row r="6577" spans="1:2" ht="15" customHeight="1" x14ac:dyDescent="0.3">
      <c r="A6577" t="s">
        <v>1483</v>
      </c>
      <c r="B6577">
        <f t="shared" si="1252"/>
        <v>15</v>
      </c>
    </row>
    <row r="6578" spans="1:2" ht="15" customHeight="1" x14ac:dyDescent="0.3">
      <c r="A6578" t="s">
        <v>1484</v>
      </c>
      <c r="B6578">
        <f t="shared" si="1252"/>
        <v>15</v>
      </c>
    </row>
    <row r="6579" spans="1:2" ht="15" customHeight="1" x14ac:dyDescent="0.3">
      <c r="A6579" t="s">
        <v>1485</v>
      </c>
      <c r="B6579">
        <f t="shared" si="1252"/>
        <v>15</v>
      </c>
    </row>
    <row r="6580" spans="1:2" ht="15" customHeight="1" x14ac:dyDescent="0.3">
      <c r="A6580" t="s">
        <v>7061</v>
      </c>
      <c r="B6580">
        <f t="shared" si="1252"/>
        <v>12</v>
      </c>
    </row>
    <row r="6581" spans="1:2" ht="15" customHeight="1" x14ac:dyDescent="0.3">
      <c r="A6581" t="s">
        <v>6762</v>
      </c>
      <c r="B6581">
        <f t="shared" ref="B6581:B6586" si="1253">F1662</f>
        <v>12</v>
      </c>
    </row>
    <row r="6582" spans="1:2" ht="15" customHeight="1" x14ac:dyDescent="0.3">
      <c r="A6582" t="s">
        <v>1487</v>
      </c>
      <c r="B6582">
        <f t="shared" si="1253"/>
        <v>15</v>
      </c>
    </row>
    <row r="6583" spans="1:2" ht="15" customHeight="1" x14ac:dyDescent="0.3">
      <c r="A6583" t="s">
        <v>6763</v>
      </c>
      <c r="B6583">
        <f t="shared" si="1253"/>
        <v>15</v>
      </c>
    </row>
    <row r="6584" spans="1:2" ht="15" customHeight="1" x14ac:dyDescent="0.3">
      <c r="A6584" t="s">
        <v>1489</v>
      </c>
      <c r="B6584">
        <f t="shared" si="1253"/>
        <v>15</v>
      </c>
    </row>
    <row r="6585" spans="1:2" ht="15" customHeight="1" x14ac:dyDescent="0.3">
      <c r="A6585" t="s">
        <v>1490</v>
      </c>
      <c r="B6585">
        <f t="shared" si="1253"/>
        <v>12</v>
      </c>
    </row>
    <row r="6586" spans="1:2" ht="15" customHeight="1" x14ac:dyDescent="0.3">
      <c r="A6586" t="s">
        <v>6765</v>
      </c>
      <c r="B6586">
        <f t="shared" si="1253"/>
        <v>12</v>
      </c>
    </row>
    <row r="6587" spans="1:2" ht="15" customHeight="1" x14ac:dyDescent="0.3">
      <c r="A6587" t="s">
        <v>6764</v>
      </c>
      <c r="B6587">
        <f>F1667</f>
        <v>12</v>
      </c>
    </row>
    <row r="6588" spans="1:2" ht="15" customHeight="1" x14ac:dyDescent="0.3">
      <c r="A6588" t="s">
        <v>6766</v>
      </c>
      <c r="B6588">
        <f>F1667</f>
        <v>12</v>
      </c>
    </row>
    <row r="6589" spans="1:2" ht="15" customHeight="1" x14ac:dyDescent="0.3">
      <c r="A6589" t="s">
        <v>1492</v>
      </c>
      <c r="B6589">
        <f>F1668</f>
        <v>12</v>
      </c>
    </row>
    <row r="6590" spans="1:2" ht="15" customHeight="1" x14ac:dyDescent="0.3">
      <c r="A6590" t="s">
        <v>6767</v>
      </c>
      <c r="B6590">
        <f>F1669</f>
        <v>15</v>
      </c>
    </row>
    <row r="6591" spans="1:2" ht="15" customHeight="1" x14ac:dyDescent="0.3">
      <c r="A6591" t="s">
        <v>6768</v>
      </c>
      <c r="B6591">
        <f>F1669</f>
        <v>15</v>
      </c>
    </row>
    <row r="6592" spans="1:2" ht="15" customHeight="1" x14ac:dyDescent="0.3">
      <c r="A6592" t="s">
        <v>6769</v>
      </c>
      <c r="B6592">
        <f>F1669</f>
        <v>15</v>
      </c>
    </row>
    <row r="6593" spans="1:2" ht="15" customHeight="1" x14ac:dyDescent="0.3">
      <c r="A6593" t="s">
        <v>1494</v>
      </c>
      <c r="B6593">
        <f>F1670</f>
        <v>12</v>
      </c>
    </row>
    <row r="6594" spans="1:2" ht="15" customHeight="1" x14ac:dyDescent="0.3">
      <c r="A6594" t="s">
        <v>6770</v>
      </c>
      <c r="B6594">
        <f>F1671</f>
        <v>10</v>
      </c>
    </row>
    <row r="6595" spans="1:2" ht="15" customHeight="1" x14ac:dyDescent="0.3">
      <c r="A6595" t="s">
        <v>6771</v>
      </c>
      <c r="B6595">
        <f>F1671</f>
        <v>10</v>
      </c>
    </row>
    <row r="6596" spans="1:2" ht="15" customHeight="1" x14ac:dyDescent="0.3">
      <c r="A6596" t="s">
        <v>1496</v>
      </c>
      <c r="B6596">
        <f>F1672</f>
        <v>12</v>
      </c>
    </row>
    <row r="6597" spans="1:2" ht="15" customHeight="1" x14ac:dyDescent="0.3">
      <c r="A6597" t="s">
        <v>6772</v>
      </c>
      <c r="B6597">
        <f>F1673</f>
        <v>15</v>
      </c>
    </row>
    <row r="6598" spans="1:2" ht="15" customHeight="1" x14ac:dyDescent="0.3">
      <c r="A6598" t="s">
        <v>6773</v>
      </c>
      <c r="B6598">
        <f>F1674</f>
        <v>15</v>
      </c>
    </row>
    <row r="6599" spans="1:2" ht="15" customHeight="1" x14ac:dyDescent="0.3">
      <c r="A6599" t="s">
        <v>6774</v>
      </c>
      <c r="B6599">
        <f>F1674</f>
        <v>15</v>
      </c>
    </row>
    <row r="6600" spans="1:2" ht="15" customHeight="1" x14ac:dyDescent="0.3">
      <c r="A6600" t="s">
        <v>6775</v>
      </c>
      <c r="B6600">
        <f>F1675</f>
        <v>15</v>
      </c>
    </row>
    <row r="6601" spans="1:2" ht="15" customHeight="1" x14ac:dyDescent="0.3">
      <c r="A6601" t="s">
        <v>6776</v>
      </c>
      <c r="B6601">
        <f>F1675</f>
        <v>15</v>
      </c>
    </row>
    <row r="6602" spans="1:2" ht="15" customHeight="1" x14ac:dyDescent="0.3">
      <c r="A6602" t="s">
        <v>6777</v>
      </c>
      <c r="B6602">
        <f>F1676</f>
        <v>15</v>
      </c>
    </row>
    <row r="6603" spans="1:2" ht="15" customHeight="1" x14ac:dyDescent="0.3">
      <c r="A6603" t="s">
        <v>1500</v>
      </c>
      <c r="B6603">
        <f>F1677</f>
        <v>10</v>
      </c>
    </row>
    <row r="6604" spans="1:2" ht="15" customHeight="1" x14ac:dyDescent="0.3">
      <c r="A6604" t="s">
        <v>6778</v>
      </c>
      <c r="B6604">
        <f>F1678</f>
        <v>10</v>
      </c>
    </row>
    <row r="6605" spans="1:2" ht="15" customHeight="1" x14ac:dyDescent="0.3">
      <c r="A6605" t="s">
        <v>6779</v>
      </c>
      <c r="B6605">
        <f>F1678</f>
        <v>10</v>
      </c>
    </row>
    <row r="6606" spans="1:2" ht="15" customHeight="1" x14ac:dyDescent="0.3">
      <c r="A6606" t="s">
        <v>1502</v>
      </c>
      <c r="B6606">
        <f>F1679</f>
        <v>15</v>
      </c>
    </row>
    <row r="6607" spans="1:2" ht="15" customHeight="1" x14ac:dyDescent="0.3">
      <c r="A6607" t="s">
        <v>6780</v>
      </c>
      <c r="B6607">
        <f>F1680</f>
        <v>12</v>
      </c>
    </row>
    <row r="6608" spans="1:2" ht="15" customHeight="1" x14ac:dyDescent="0.3">
      <c r="A6608" t="s">
        <v>6781</v>
      </c>
      <c r="B6608">
        <f>F1680</f>
        <v>12</v>
      </c>
    </row>
    <row r="6609" spans="1:2" ht="15" customHeight="1" x14ac:dyDescent="0.3">
      <c r="A6609" t="s">
        <v>1504</v>
      </c>
      <c r="B6609">
        <f>F1681</f>
        <v>12</v>
      </c>
    </row>
    <row r="6610" spans="1:2" ht="15" customHeight="1" x14ac:dyDescent="0.3">
      <c r="A6610" t="s">
        <v>6782</v>
      </c>
      <c r="B6610">
        <f>F1682</f>
        <v>15</v>
      </c>
    </row>
    <row r="6611" spans="1:2" ht="15" customHeight="1" x14ac:dyDescent="0.3">
      <c r="A6611" t="s">
        <v>6783</v>
      </c>
      <c r="B6611">
        <f>F1682</f>
        <v>15</v>
      </c>
    </row>
    <row r="6612" spans="1:2" ht="15" customHeight="1" x14ac:dyDescent="0.3">
      <c r="A6612" t="s">
        <v>1506</v>
      </c>
      <c r="B6612">
        <f>F1683</f>
        <v>15</v>
      </c>
    </row>
    <row r="6613" spans="1:2" ht="15" customHeight="1" x14ac:dyDescent="0.3">
      <c r="A6613" t="s">
        <v>6784</v>
      </c>
      <c r="B6613">
        <f>F1685</f>
        <v>15</v>
      </c>
    </row>
    <row r="6614" spans="1:2" ht="15" customHeight="1" x14ac:dyDescent="0.3">
      <c r="A6614" t="s">
        <v>1507</v>
      </c>
      <c r="B6614">
        <f t="shared" ref="B6614:B6623" si="1254">F1684</f>
        <v>15</v>
      </c>
    </row>
    <row r="6615" spans="1:2" ht="15" customHeight="1" x14ac:dyDescent="0.3">
      <c r="A6615" t="s">
        <v>6785</v>
      </c>
      <c r="B6615">
        <f t="shared" si="1254"/>
        <v>15</v>
      </c>
    </row>
    <row r="6616" spans="1:2" ht="15" customHeight="1" x14ac:dyDescent="0.3">
      <c r="A6616" t="s">
        <v>1509</v>
      </c>
      <c r="B6616">
        <f t="shared" si="1254"/>
        <v>15</v>
      </c>
    </row>
    <row r="6617" spans="1:2" ht="15" customHeight="1" x14ac:dyDescent="0.3">
      <c r="A6617" t="s">
        <v>1510</v>
      </c>
      <c r="B6617">
        <f t="shared" si="1254"/>
        <v>15</v>
      </c>
    </row>
    <row r="6618" spans="1:2" ht="15" customHeight="1" x14ac:dyDescent="0.3">
      <c r="A6618" t="s">
        <v>1511</v>
      </c>
      <c r="B6618">
        <f t="shared" si="1254"/>
        <v>0</v>
      </c>
    </row>
    <row r="6619" spans="1:2" ht="15" customHeight="1" x14ac:dyDescent="0.3">
      <c r="A6619" t="s">
        <v>1512</v>
      </c>
      <c r="B6619">
        <f t="shared" si="1254"/>
        <v>15</v>
      </c>
    </row>
    <row r="6620" spans="1:2" ht="15" customHeight="1" x14ac:dyDescent="0.3">
      <c r="A6620" t="s">
        <v>1513</v>
      </c>
      <c r="B6620">
        <f t="shared" si="1254"/>
        <v>15</v>
      </c>
    </row>
    <row r="6621" spans="1:2" ht="15" customHeight="1" x14ac:dyDescent="0.3">
      <c r="A6621" t="s">
        <v>1514</v>
      </c>
      <c r="B6621">
        <f t="shared" si="1254"/>
        <v>15</v>
      </c>
    </row>
    <row r="6622" spans="1:2" ht="15" customHeight="1" x14ac:dyDescent="0.3">
      <c r="A6622" t="s">
        <v>1515</v>
      </c>
      <c r="B6622">
        <f t="shared" si="1254"/>
        <v>15</v>
      </c>
    </row>
    <row r="6623" spans="1:2" ht="15" customHeight="1" x14ac:dyDescent="0.3">
      <c r="A6623" t="s">
        <v>6786</v>
      </c>
      <c r="B6623">
        <f t="shared" si="1254"/>
        <v>12</v>
      </c>
    </row>
    <row r="6624" spans="1:2" ht="15" customHeight="1" x14ac:dyDescent="0.3">
      <c r="A6624" t="s">
        <v>6787</v>
      </c>
      <c r="B6624">
        <f t="shared" ref="B6624:B6631" si="1255">F1693</f>
        <v>12</v>
      </c>
    </row>
    <row r="6625" spans="1:2" ht="15" customHeight="1" x14ac:dyDescent="0.3">
      <c r="A6625" t="s">
        <v>1516</v>
      </c>
      <c r="B6625">
        <f t="shared" si="1255"/>
        <v>15</v>
      </c>
    </row>
    <row r="6626" spans="1:2" ht="15" customHeight="1" x14ac:dyDescent="0.3">
      <c r="A6626" t="s">
        <v>1517</v>
      </c>
      <c r="B6626">
        <f t="shared" si="1255"/>
        <v>15</v>
      </c>
    </row>
    <row r="6627" spans="1:2" ht="15" customHeight="1" x14ac:dyDescent="0.3">
      <c r="A6627" t="s">
        <v>1518</v>
      </c>
      <c r="B6627">
        <f t="shared" si="1255"/>
        <v>15</v>
      </c>
    </row>
    <row r="6628" spans="1:2" ht="15" customHeight="1" x14ac:dyDescent="0.3">
      <c r="A6628" t="s">
        <v>1519</v>
      </c>
      <c r="B6628">
        <f t="shared" si="1255"/>
        <v>15</v>
      </c>
    </row>
    <row r="6629" spans="1:2" ht="15" customHeight="1" x14ac:dyDescent="0.3">
      <c r="A6629" t="s">
        <v>1520</v>
      </c>
      <c r="B6629">
        <f t="shared" si="1255"/>
        <v>12</v>
      </c>
    </row>
    <row r="6630" spans="1:2" ht="15" customHeight="1" x14ac:dyDescent="0.3">
      <c r="A6630" t="s">
        <v>1521</v>
      </c>
      <c r="B6630">
        <f t="shared" si="1255"/>
        <v>15</v>
      </c>
    </row>
    <row r="6631" spans="1:2" ht="15" customHeight="1" x14ac:dyDescent="0.3">
      <c r="A6631" t="s">
        <v>6788</v>
      </c>
      <c r="B6631">
        <f t="shared" si="1255"/>
        <v>12</v>
      </c>
    </row>
    <row r="6632" spans="1:2" ht="15" customHeight="1" x14ac:dyDescent="0.3">
      <c r="A6632" t="s">
        <v>6789</v>
      </c>
      <c r="B6632">
        <f>F1700</f>
        <v>12</v>
      </c>
    </row>
    <row r="6633" spans="1:2" ht="15" customHeight="1" x14ac:dyDescent="0.3">
      <c r="A6633" t="s">
        <v>6791</v>
      </c>
      <c r="B6633">
        <f>F1701</f>
        <v>15</v>
      </c>
    </row>
    <row r="6634" spans="1:2" ht="15" customHeight="1" x14ac:dyDescent="0.3">
      <c r="A6634" t="s">
        <v>6790</v>
      </c>
      <c r="B6634">
        <f>F1701</f>
        <v>15</v>
      </c>
    </row>
    <row r="6635" spans="1:2" ht="15" customHeight="1" x14ac:dyDescent="0.3">
      <c r="A6635" t="s">
        <v>1524</v>
      </c>
      <c r="B6635">
        <f>F1702</f>
        <v>15</v>
      </c>
    </row>
    <row r="6636" spans="1:2" ht="15" customHeight="1" x14ac:dyDescent="0.3">
      <c r="A6636" t="s">
        <v>6792</v>
      </c>
      <c r="B6636">
        <f>F1703</f>
        <v>12</v>
      </c>
    </row>
    <row r="6637" spans="1:2" ht="15" customHeight="1" x14ac:dyDescent="0.3">
      <c r="A6637" t="s">
        <v>6793</v>
      </c>
      <c r="B6637">
        <f>F1703</f>
        <v>12</v>
      </c>
    </row>
    <row r="6638" spans="1:2" ht="15" customHeight="1" x14ac:dyDescent="0.3">
      <c r="A6638" t="s">
        <v>1526</v>
      </c>
      <c r="B6638">
        <f>F1704</f>
        <v>12</v>
      </c>
    </row>
    <row r="6639" spans="1:2" ht="15" customHeight="1" x14ac:dyDescent="0.3">
      <c r="A6639" t="s">
        <v>6794</v>
      </c>
      <c r="B6639">
        <f>F1705</f>
        <v>12</v>
      </c>
    </row>
    <row r="6640" spans="1:2" ht="15" customHeight="1" x14ac:dyDescent="0.3">
      <c r="A6640" t="s">
        <v>6795</v>
      </c>
      <c r="B6640">
        <f>B6639</f>
        <v>12</v>
      </c>
    </row>
    <row r="6641" spans="1:2" ht="15" customHeight="1" x14ac:dyDescent="0.3">
      <c r="A6641" t="s">
        <v>6796</v>
      </c>
      <c r="B6641">
        <f>B6639</f>
        <v>12</v>
      </c>
    </row>
    <row r="6642" spans="1:2" ht="15" customHeight="1" x14ac:dyDescent="0.3">
      <c r="A6642" s="79" t="s">
        <v>12950</v>
      </c>
      <c r="B6642" s="62">
        <f>B6639</f>
        <v>12</v>
      </c>
    </row>
    <row r="6643" spans="1:2" ht="15" customHeight="1" x14ac:dyDescent="0.3">
      <c r="A6643" s="79" t="s">
        <v>12951</v>
      </c>
      <c r="B6643" s="62">
        <f>B6639</f>
        <v>12</v>
      </c>
    </row>
    <row r="6644" spans="1:2" ht="15" customHeight="1" x14ac:dyDescent="0.3">
      <c r="A6644" s="79" t="s">
        <v>12952</v>
      </c>
      <c r="B6644" s="62">
        <f>B6639</f>
        <v>12</v>
      </c>
    </row>
    <row r="6645" spans="1:2" ht="15" customHeight="1" x14ac:dyDescent="0.3">
      <c r="A6645" t="s">
        <v>6797</v>
      </c>
      <c r="B6645">
        <f>F1706</f>
        <v>12</v>
      </c>
    </row>
    <row r="6646" spans="1:2" ht="15" customHeight="1" x14ac:dyDescent="0.3">
      <c r="A6646" t="s">
        <v>6798</v>
      </c>
      <c r="B6646">
        <f>F1706</f>
        <v>12</v>
      </c>
    </row>
    <row r="6647" spans="1:2" ht="15" customHeight="1" x14ac:dyDescent="0.3">
      <c r="A6647" t="s">
        <v>6799</v>
      </c>
      <c r="B6647">
        <f>F1707</f>
        <v>12</v>
      </c>
    </row>
    <row r="6648" spans="1:2" ht="15" customHeight="1" x14ac:dyDescent="0.3">
      <c r="A6648" t="s">
        <v>6800</v>
      </c>
      <c r="B6648">
        <f>F1707</f>
        <v>12</v>
      </c>
    </row>
    <row r="6649" spans="1:2" ht="15" customHeight="1" x14ac:dyDescent="0.3">
      <c r="A6649" t="s">
        <v>6801</v>
      </c>
      <c r="B6649">
        <f>F1707</f>
        <v>12</v>
      </c>
    </row>
    <row r="6650" spans="1:2" ht="15" customHeight="1" x14ac:dyDescent="0.3">
      <c r="A6650" t="s">
        <v>1528</v>
      </c>
      <c r="B6650">
        <f>F1708</f>
        <v>12</v>
      </c>
    </row>
    <row r="6651" spans="1:2" ht="15" customHeight="1" x14ac:dyDescent="0.3">
      <c r="A6651" t="s">
        <v>1529</v>
      </c>
      <c r="B6651">
        <f>F1709</f>
        <v>15</v>
      </c>
    </row>
    <row r="6652" spans="1:2" ht="15" customHeight="1" x14ac:dyDescent="0.3">
      <c r="A6652" s="108" t="s">
        <v>13578</v>
      </c>
      <c r="B6652">
        <f>F1707</f>
        <v>12</v>
      </c>
    </row>
    <row r="6653" spans="1:2" ht="15" customHeight="1" x14ac:dyDescent="0.3">
      <c r="A6653" s="108" t="s">
        <v>13579</v>
      </c>
      <c r="B6653">
        <f>B6652</f>
        <v>12</v>
      </c>
    </row>
    <row r="6654" spans="1:2" ht="15" customHeight="1" x14ac:dyDescent="0.3">
      <c r="A6654" s="108" t="s">
        <v>13580</v>
      </c>
      <c r="B6654">
        <f>B6652</f>
        <v>12</v>
      </c>
    </row>
    <row r="6655" spans="1:2" ht="15" customHeight="1" x14ac:dyDescent="0.3">
      <c r="A6655" t="s">
        <v>6802</v>
      </c>
      <c r="B6655">
        <f>F1710</f>
        <v>12</v>
      </c>
    </row>
    <row r="6656" spans="1:2" ht="15" customHeight="1" x14ac:dyDescent="0.3">
      <c r="A6656" t="s">
        <v>6803</v>
      </c>
      <c r="B6656">
        <f>F1710</f>
        <v>12</v>
      </c>
    </row>
    <row r="6657" spans="1:2" ht="15" customHeight="1" x14ac:dyDescent="0.3">
      <c r="A6657" t="s">
        <v>6804</v>
      </c>
      <c r="B6657">
        <f>F1710</f>
        <v>12</v>
      </c>
    </row>
    <row r="6658" spans="1:2" ht="15" customHeight="1" x14ac:dyDescent="0.3">
      <c r="A6658" t="s">
        <v>6805</v>
      </c>
      <c r="B6658">
        <f>F1710</f>
        <v>12</v>
      </c>
    </row>
    <row r="6659" spans="1:2" ht="15" customHeight="1" x14ac:dyDescent="0.3">
      <c r="A6659" t="s">
        <v>1531</v>
      </c>
      <c r="B6659">
        <f>F1711</f>
        <v>12</v>
      </c>
    </row>
    <row r="6660" spans="1:2" ht="15" customHeight="1" x14ac:dyDescent="0.3">
      <c r="A6660" t="s">
        <v>6806</v>
      </c>
      <c r="B6660">
        <f>F1712</f>
        <v>12</v>
      </c>
    </row>
    <row r="6661" spans="1:2" ht="15" customHeight="1" x14ac:dyDescent="0.3">
      <c r="A6661" t="s">
        <v>6807</v>
      </c>
      <c r="B6661">
        <f>F1712</f>
        <v>12</v>
      </c>
    </row>
    <row r="6662" spans="1:2" ht="15" customHeight="1" x14ac:dyDescent="0.3">
      <c r="A6662" t="s">
        <v>6808</v>
      </c>
      <c r="B6662">
        <f>F1713</f>
        <v>12</v>
      </c>
    </row>
    <row r="6663" spans="1:2" ht="15" customHeight="1" x14ac:dyDescent="0.3">
      <c r="A6663" t="s">
        <v>6809</v>
      </c>
      <c r="B6663">
        <f>F1713</f>
        <v>12</v>
      </c>
    </row>
    <row r="6664" spans="1:2" ht="15" customHeight="1" x14ac:dyDescent="0.3">
      <c r="A6664" t="s">
        <v>6810</v>
      </c>
      <c r="B6664">
        <f>F1715</f>
        <v>15</v>
      </c>
    </row>
    <row r="6665" spans="1:2" ht="15" customHeight="1" x14ac:dyDescent="0.3">
      <c r="A6665" t="s">
        <v>1533</v>
      </c>
      <c r="B6665">
        <f>F1714</f>
        <v>15</v>
      </c>
    </row>
    <row r="6666" spans="1:2" ht="15" customHeight="1" x14ac:dyDescent="0.3">
      <c r="A6666" t="s">
        <v>6811</v>
      </c>
      <c r="B6666">
        <f>F1715</f>
        <v>15</v>
      </c>
    </row>
    <row r="6667" spans="1:2" ht="15" customHeight="1" x14ac:dyDescent="0.3">
      <c r="A6667" t="s">
        <v>6812</v>
      </c>
      <c r="B6667">
        <f>F1715</f>
        <v>15</v>
      </c>
    </row>
    <row r="6668" spans="1:2" ht="15" customHeight="1" x14ac:dyDescent="0.3">
      <c r="A6668" t="s">
        <v>1535</v>
      </c>
      <c r="B6668">
        <f>F1716</f>
        <v>12</v>
      </c>
    </row>
    <row r="6669" spans="1:2" ht="15" customHeight="1" x14ac:dyDescent="0.3">
      <c r="A6669" t="s">
        <v>1536</v>
      </c>
      <c r="B6669">
        <f>F1717</f>
        <v>15</v>
      </c>
    </row>
    <row r="6670" spans="1:2" ht="15" customHeight="1" x14ac:dyDescent="0.3">
      <c r="A6670" t="s">
        <v>1537</v>
      </c>
      <c r="B6670">
        <f>F1718</f>
        <v>10</v>
      </c>
    </row>
    <row r="6671" spans="1:2" ht="15" customHeight="1" x14ac:dyDescent="0.3">
      <c r="A6671" t="s">
        <v>6813</v>
      </c>
      <c r="B6671">
        <f>F1719</f>
        <v>12</v>
      </c>
    </row>
    <row r="6672" spans="1:2" ht="15" customHeight="1" x14ac:dyDescent="0.3">
      <c r="A6672" t="s">
        <v>6814</v>
      </c>
      <c r="B6672">
        <f>F1719</f>
        <v>12</v>
      </c>
    </row>
    <row r="6673" spans="1:2" ht="15" customHeight="1" x14ac:dyDescent="0.3">
      <c r="A6673" t="s">
        <v>6815</v>
      </c>
      <c r="B6673">
        <f>F1719</f>
        <v>12</v>
      </c>
    </row>
    <row r="6674" spans="1:2" ht="15" customHeight="1" x14ac:dyDescent="0.3">
      <c r="A6674" t="s">
        <v>6816</v>
      </c>
      <c r="B6674">
        <f>F1719</f>
        <v>12</v>
      </c>
    </row>
    <row r="6675" spans="1:2" ht="15" customHeight="1" x14ac:dyDescent="0.3">
      <c r="A6675" t="s">
        <v>6817</v>
      </c>
      <c r="B6675">
        <f>F1719</f>
        <v>12</v>
      </c>
    </row>
    <row r="6676" spans="1:2" ht="15" customHeight="1" x14ac:dyDescent="0.3">
      <c r="A6676" t="s">
        <v>1539</v>
      </c>
      <c r="B6676">
        <f>F1720</f>
        <v>12</v>
      </c>
    </row>
    <row r="6677" spans="1:2" ht="15" customHeight="1" x14ac:dyDescent="0.3">
      <c r="A6677" t="s">
        <v>6818</v>
      </c>
      <c r="B6677">
        <f>F1721</f>
        <v>12</v>
      </c>
    </row>
    <row r="6678" spans="1:2" ht="15" customHeight="1" x14ac:dyDescent="0.3">
      <c r="A6678" t="s">
        <v>6819</v>
      </c>
      <c r="B6678">
        <f>F1722</f>
        <v>15</v>
      </c>
    </row>
    <row r="6679" spans="1:2" ht="15" customHeight="1" x14ac:dyDescent="0.3">
      <c r="A6679" t="s">
        <v>6820</v>
      </c>
      <c r="B6679">
        <f>F1722</f>
        <v>15</v>
      </c>
    </row>
    <row r="6680" spans="1:2" ht="15" customHeight="1" x14ac:dyDescent="0.3">
      <c r="A6680" t="s">
        <v>1542</v>
      </c>
      <c r="B6680">
        <f>F1723</f>
        <v>12</v>
      </c>
    </row>
    <row r="6681" spans="1:2" ht="15" customHeight="1" x14ac:dyDescent="0.3">
      <c r="A6681" t="s">
        <v>6822</v>
      </c>
      <c r="B6681">
        <f>F1724</f>
        <v>12</v>
      </c>
    </row>
    <row r="6682" spans="1:2" ht="15" customHeight="1" x14ac:dyDescent="0.3">
      <c r="A6682" t="s">
        <v>6821</v>
      </c>
      <c r="B6682">
        <f>F1724</f>
        <v>12</v>
      </c>
    </row>
    <row r="6683" spans="1:2" ht="15" customHeight="1" x14ac:dyDescent="0.3">
      <c r="A6683" t="s">
        <v>6823</v>
      </c>
      <c r="B6683">
        <f>F1724</f>
        <v>12</v>
      </c>
    </row>
    <row r="6684" spans="1:2" ht="15" customHeight="1" x14ac:dyDescent="0.3">
      <c r="A6684" t="s">
        <v>6824</v>
      </c>
      <c r="B6684">
        <f>F1724</f>
        <v>12</v>
      </c>
    </row>
    <row r="6685" spans="1:2" ht="15" customHeight="1" x14ac:dyDescent="0.3">
      <c r="A6685" t="s">
        <v>6825</v>
      </c>
      <c r="B6685">
        <f>F1725</f>
        <v>12</v>
      </c>
    </row>
    <row r="6686" spans="1:2" ht="15" customHeight="1" x14ac:dyDescent="0.3">
      <c r="A6686" t="s">
        <v>6826</v>
      </c>
      <c r="B6686">
        <f>F1725</f>
        <v>12</v>
      </c>
    </row>
    <row r="6687" spans="1:2" ht="15" customHeight="1" x14ac:dyDescent="0.3">
      <c r="A6687" t="s">
        <v>6827</v>
      </c>
      <c r="B6687">
        <f>F1726</f>
        <v>12</v>
      </c>
    </row>
    <row r="6688" spans="1:2" ht="15" customHeight="1" x14ac:dyDescent="0.3">
      <c r="A6688" t="s">
        <v>6828</v>
      </c>
      <c r="B6688">
        <f>F1726</f>
        <v>12</v>
      </c>
    </row>
    <row r="6689" spans="1:2" ht="15" customHeight="1" x14ac:dyDescent="0.3">
      <c r="A6689" t="s">
        <v>6829</v>
      </c>
      <c r="B6689">
        <f>F1726</f>
        <v>12</v>
      </c>
    </row>
    <row r="6690" spans="1:2" ht="15" customHeight="1" x14ac:dyDescent="0.3">
      <c r="A6690" t="s">
        <v>6830</v>
      </c>
      <c r="B6690">
        <f t="shared" ref="B6690:B6697" si="1256">F1726</f>
        <v>12</v>
      </c>
    </row>
    <row r="6691" spans="1:2" ht="15" customHeight="1" x14ac:dyDescent="0.3">
      <c r="A6691" t="s">
        <v>1545</v>
      </c>
      <c r="B6691">
        <f t="shared" si="1256"/>
        <v>12</v>
      </c>
    </row>
    <row r="6692" spans="1:2" ht="15" customHeight="1" x14ac:dyDescent="0.3">
      <c r="A6692" t="s">
        <v>1546</v>
      </c>
      <c r="B6692">
        <f t="shared" si="1256"/>
        <v>12</v>
      </c>
    </row>
    <row r="6693" spans="1:2" ht="15" customHeight="1" x14ac:dyDescent="0.3">
      <c r="A6693" t="s">
        <v>1547</v>
      </c>
      <c r="B6693">
        <f t="shared" si="1256"/>
        <v>12</v>
      </c>
    </row>
    <row r="6694" spans="1:2" ht="15" customHeight="1" x14ac:dyDescent="0.3">
      <c r="A6694" t="s">
        <v>1548</v>
      </c>
      <c r="B6694">
        <f t="shared" si="1256"/>
        <v>12</v>
      </c>
    </row>
    <row r="6695" spans="1:2" ht="15" customHeight="1" x14ac:dyDescent="0.3">
      <c r="A6695" t="s">
        <v>1549</v>
      </c>
      <c r="B6695">
        <f t="shared" si="1256"/>
        <v>12</v>
      </c>
    </row>
    <row r="6696" spans="1:2" ht="15" customHeight="1" x14ac:dyDescent="0.3">
      <c r="A6696" t="s">
        <v>1550</v>
      </c>
      <c r="B6696">
        <f t="shared" si="1256"/>
        <v>12</v>
      </c>
    </row>
    <row r="6697" spans="1:2" ht="15" customHeight="1" x14ac:dyDescent="0.3">
      <c r="A6697" t="s">
        <v>6831</v>
      </c>
      <c r="B6697">
        <f t="shared" si="1256"/>
        <v>12</v>
      </c>
    </row>
    <row r="6698" spans="1:2" ht="15" customHeight="1" x14ac:dyDescent="0.3">
      <c r="A6698" t="s">
        <v>6832</v>
      </c>
      <c r="B6698">
        <f>F1733</f>
        <v>12</v>
      </c>
    </row>
    <row r="6699" spans="1:2" ht="15" customHeight="1" x14ac:dyDescent="0.3">
      <c r="A6699" t="s">
        <v>1552</v>
      </c>
      <c r="B6699">
        <f>F1734</f>
        <v>12</v>
      </c>
    </row>
    <row r="6700" spans="1:2" ht="15" customHeight="1" x14ac:dyDescent="0.3">
      <c r="A6700" t="s">
        <v>6833</v>
      </c>
      <c r="B6700">
        <f>F1735</f>
        <v>12</v>
      </c>
    </row>
    <row r="6701" spans="1:2" ht="15" customHeight="1" x14ac:dyDescent="0.3">
      <c r="A6701" t="s">
        <v>6834</v>
      </c>
      <c r="B6701">
        <f>F1735</f>
        <v>12</v>
      </c>
    </row>
    <row r="6702" spans="1:2" ht="15" customHeight="1" x14ac:dyDescent="0.3">
      <c r="A6702" t="s">
        <v>6835</v>
      </c>
      <c r="B6702">
        <f>F1735</f>
        <v>12</v>
      </c>
    </row>
    <row r="6703" spans="1:2" ht="15" customHeight="1" x14ac:dyDescent="0.3">
      <c r="A6703" t="s">
        <v>6836</v>
      </c>
      <c r="B6703">
        <f>F1736</f>
        <v>10</v>
      </c>
    </row>
    <row r="6704" spans="1:2" ht="15" customHeight="1" x14ac:dyDescent="0.3">
      <c r="A6704" t="s">
        <v>6837</v>
      </c>
      <c r="B6704">
        <f>F1736</f>
        <v>10</v>
      </c>
    </row>
    <row r="6705" spans="1:2" ht="15" customHeight="1" x14ac:dyDescent="0.3">
      <c r="A6705" t="s">
        <v>7450</v>
      </c>
      <c r="B6705">
        <f>B6558</f>
        <v>15</v>
      </c>
    </row>
    <row r="6706" spans="1:2" ht="15" customHeight="1" x14ac:dyDescent="0.3">
      <c r="A6706" t="s">
        <v>7064</v>
      </c>
      <c r="B6706">
        <f>B6559</f>
        <v>15</v>
      </c>
    </row>
    <row r="6707" spans="1:2" ht="15" customHeight="1" x14ac:dyDescent="0.3">
      <c r="A6707" t="s">
        <v>7065</v>
      </c>
      <c r="B6707">
        <f>B6560</f>
        <v>35</v>
      </c>
    </row>
    <row r="6708" spans="1:2" ht="15" customHeight="1" x14ac:dyDescent="0.3">
      <c r="A6708" t="s">
        <v>7066</v>
      </c>
      <c r="B6708">
        <f>B6561</f>
        <v>35</v>
      </c>
    </row>
    <row r="6709" spans="1:2" ht="15" customHeight="1" x14ac:dyDescent="0.3">
      <c r="A6709" t="s">
        <v>7067</v>
      </c>
      <c r="B6709">
        <f t="shared" ref="B6709:B6740" si="1257">B6566</f>
        <v>10</v>
      </c>
    </row>
    <row r="6710" spans="1:2" ht="15" customHeight="1" x14ac:dyDescent="0.3">
      <c r="A6710" t="s">
        <v>7068</v>
      </c>
      <c r="B6710">
        <f t="shared" si="1257"/>
        <v>12</v>
      </c>
    </row>
    <row r="6711" spans="1:2" ht="15" customHeight="1" x14ac:dyDescent="0.3">
      <c r="A6711" t="s">
        <v>7069</v>
      </c>
      <c r="B6711">
        <f t="shared" si="1257"/>
        <v>12</v>
      </c>
    </row>
    <row r="6712" spans="1:2" ht="15" customHeight="1" x14ac:dyDescent="0.3">
      <c r="A6712" t="s">
        <v>7451</v>
      </c>
      <c r="B6712">
        <f t="shared" si="1257"/>
        <v>15</v>
      </c>
    </row>
    <row r="6713" spans="1:2" ht="15" customHeight="1" x14ac:dyDescent="0.3">
      <c r="A6713" t="s">
        <v>7452</v>
      </c>
      <c r="B6713">
        <f t="shared" si="1257"/>
        <v>12</v>
      </c>
    </row>
    <row r="6714" spans="1:2" ht="15" customHeight="1" x14ac:dyDescent="0.3">
      <c r="A6714" t="s">
        <v>7453</v>
      </c>
      <c r="B6714">
        <f t="shared" si="1257"/>
        <v>15</v>
      </c>
    </row>
    <row r="6715" spans="1:2" ht="15" customHeight="1" x14ac:dyDescent="0.3">
      <c r="A6715" t="s">
        <v>7454</v>
      </c>
      <c r="B6715">
        <f t="shared" si="1257"/>
        <v>15</v>
      </c>
    </row>
    <row r="6716" spans="1:2" ht="15" customHeight="1" x14ac:dyDescent="0.3">
      <c r="A6716" t="s">
        <v>7455</v>
      </c>
      <c r="B6716">
        <f t="shared" si="1257"/>
        <v>15</v>
      </c>
    </row>
    <row r="6717" spans="1:2" ht="15" customHeight="1" x14ac:dyDescent="0.3">
      <c r="A6717" t="s">
        <v>7456</v>
      </c>
      <c r="B6717">
        <f t="shared" si="1257"/>
        <v>15</v>
      </c>
    </row>
    <row r="6718" spans="1:2" ht="15" customHeight="1" x14ac:dyDescent="0.3">
      <c r="A6718" t="s">
        <v>7457</v>
      </c>
      <c r="B6718">
        <f t="shared" si="1257"/>
        <v>15</v>
      </c>
    </row>
    <row r="6719" spans="1:2" ht="15" customHeight="1" x14ac:dyDescent="0.3">
      <c r="A6719" t="s">
        <v>7458</v>
      </c>
      <c r="B6719">
        <f t="shared" si="1257"/>
        <v>15</v>
      </c>
    </row>
    <row r="6720" spans="1:2" ht="15" customHeight="1" x14ac:dyDescent="0.3">
      <c r="A6720" t="s">
        <v>7459</v>
      </c>
      <c r="B6720">
        <f t="shared" si="1257"/>
        <v>15</v>
      </c>
    </row>
    <row r="6721" spans="1:2" ht="15" customHeight="1" x14ac:dyDescent="0.3">
      <c r="A6721" t="s">
        <v>7460</v>
      </c>
      <c r="B6721">
        <f t="shared" si="1257"/>
        <v>15</v>
      </c>
    </row>
    <row r="6722" spans="1:2" ht="15" customHeight="1" x14ac:dyDescent="0.3">
      <c r="A6722" t="s">
        <v>7461</v>
      </c>
      <c r="B6722">
        <f t="shared" si="1257"/>
        <v>15</v>
      </c>
    </row>
    <row r="6723" spans="1:2" ht="15" customHeight="1" x14ac:dyDescent="0.3">
      <c r="A6723" t="s">
        <v>7462</v>
      </c>
      <c r="B6723">
        <f t="shared" si="1257"/>
        <v>12</v>
      </c>
    </row>
    <row r="6724" spans="1:2" ht="15" customHeight="1" x14ac:dyDescent="0.3">
      <c r="A6724" t="s">
        <v>7463</v>
      </c>
      <c r="B6724">
        <f t="shared" si="1257"/>
        <v>12</v>
      </c>
    </row>
    <row r="6725" spans="1:2" ht="15" customHeight="1" x14ac:dyDescent="0.3">
      <c r="A6725" t="s">
        <v>7464</v>
      </c>
      <c r="B6725">
        <f t="shared" si="1257"/>
        <v>15</v>
      </c>
    </row>
    <row r="6726" spans="1:2" ht="15" customHeight="1" x14ac:dyDescent="0.3">
      <c r="A6726" t="s">
        <v>7465</v>
      </c>
      <c r="B6726">
        <f t="shared" si="1257"/>
        <v>15</v>
      </c>
    </row>
    <row r="6727" spans="1:2" ht="15" customHeight="1" x14ac:dyDescent="0.3">
      <c r="A6727" t="s">
        <v>7466</v>
      </c>
      <c r="B6727">
        <f t="shared" si="1257"/>
        <v>15</v>
      </c>
    </row>
    <row r="6728" spans="1:2" ht="15" customHeight="1" x14ac:dyDescent="0.3">
      <c r="A6728" t="s">
        <v>7467</v>
      </c>
      <c r="B6728">
        <f t="shared" si="1257"/>
        <v>12</v>
      </c>
    </row>
    <row r="6729" spans="1:2" ht="15" customHeight="1" x14ac:dyDescent="0.3">
      <c r="A6729" t="s">
        <v>7468</v>
      </c>
      <c r="B6729">
        <f t="shared" si="1257"/>
        <v>12</v>
      </c>
    </row>
    <row r="6730" spans="1:2" ht="15" customHeight="1" x14ac:dyDescent="0.3">
      <c r="A6730" t="s">
        <v>7469</v>
      </c>
      <c r="B6730">
        <f t="shared" si="1257"/>
        <v>12</v>
      </c>
    </row>
    <row r="6731" spans="1:2" ht="15" customHeight="1" x14ac:dyDescent="0.3">
      <c r="A6731" t="s">
        <v>7470</v>
      </c>
      <c r="B6731">
        <f t="shared" si="1257"/>
        <v>12</v>
      </c>
    </row>
    <row r="6732" spans="1:2" ht="15" customHeight="1" x14ac:dyDescent="0.3">
      <c r="A6732" t="s">
        <v>7471</v>
      </c>
      <c r="B6732">
        <f t="shared" si="1257"/>
        <v>12</v>
      </c>
    </row>
    <row r="6733" spans="1:2" ht="15" customHeight="1" x14ac:dyDescent="0.3">
      <c r="A6733" t="s">
        <v>7472</v>
      </c>
      <c r="B6733">
        <f t="shared" si="1257"/>
        <v>15</v>
      </c>
    </row>
    <row r="6734" spans="1:2" ht="15" customHeight="1" x14ac:dyDescent="0.3">
      <c r="A6734" t="s">
        <v>7473</v>
      </c>
      <c r="B6734">
        <f t="shared" si="1257"/>
        <v>15</v>
      </c>
    </row>
    <row r="6735" spans="1:2" ht="15" customHeight="1" x14ac:dyDescent="0.3">
      <c r="A6735" t="s">
        <v>7474</v>
      </c>
      <c r="B6735">
        <f t="shared" si="1257"/>
        <v>15</v>
      </c>
    </row>
    <row r="6736" spans="1:2" ht="15" customHeight="1" x14ac:dyDescent="0.3">
      <c r="A6736" t="s">
        <v>7475</v>
      </c>
      <c r="B6736">
        <f t="shared" si="1257"/>
        <v>12</v>
      </c>
    </row>
    <row r="6737" spans="1:2" ht="15" customHeight="1" x14ac:dyDescent="0.3">
      <c r="A6737" t="s">
        <v>7476</v>
      </c>
      <c r="B6737">
        <f t="shared" si="1257"/>
        <v>10</v>
      </c>
    </row>
    <row r="6738" spans="1:2" ht="15" customHeight="1" x14ac:dyDescent="0.3">
      <c r="A6738" t="s">
        <v>7477</v>
      </c>
      <c r="B6738">
        <f t="shared" si="1257"/>
        <v>10</v>
      </c>
    </row>
    <row r="6739" spans="1:2" ht="15" customHeight="1" x14ac:dyDescent="0.3">
      <c r="A6739" t="s">
        <v>7478</v>
      </c>
      <c r="B6739">
        <f t="shared" si="1257"/>
        <v>12</v>
      </c>
    </row>
    <row r="6740" spans="1:2" ht="15" customHeight="1" x14ac:dyDescent="0.3">
      <c r="A6740" t="s">
        <v>7479</v>
      </c>
      <c r="B6740">
        <f t="shared" si="1257"/>
        <v>15</v>
      </c>
    </row>
    <row r="6741" spans="1:2" ht="15" customHeight="1" x14ac:dyDescent="0.3">
      <c r="A6741" t="s">
        <v>7480</v>
      </c>
      <c r="B6741">
        <f t="shared" ref="B6741:B6772" si="1258">B6598</f>
        <v>15</v>
      </c>
    </row>
    <row r="6742" spans="1:2" ht="15" customHeight="1" x14ac:dyDescent="0.3">
      <c r="A6742" t="s">
        <v>7481</v>
      </c>
      <c r="B6742">
        <f t="shared" si="1258"/>
        <v>15</v>
      </c>
    </row>
    <row r="6743" spans="1:2" ht="15" customHeight="1" x14ac:dyDescent="0.3">
      <c r="A6743" t="s">
        <v>7482</v>
      </c>
      <c r="B6743">
        <f t="shared" si="1258"/>
        <v>15</v>
      </c>
    </row>
    <row r="6744" spans="1:2" ht="15" customHeight="1" x14ac:dyDescent="0.3">
      <c r="A6744" t="s">
        <v>7483</v>
      </c>
      <c r="B6744">
        <f t="shared" si="1258"/>
        <v>15</v>
      </c>
    </row>
    <row r="6745" spans="1:2" ht="15" customHeight="1" x14ac:dyDescent="0.3">
      <c r="A6745" t="s">
        <v>7484</v>
      </c>
      <c r="B6745">
        <f t="shared" si="1258"/>
        <v>15</v>
      </c>
    </row>
    <row r="6746" spans="1:2" ht="15" customHeight="1" x14ac:dyDescent="0.3">
      <c r="A6746" t="s">
        <v>7485</v>
      </c>
      <c r="B6746">
        <f t="shared" si="1258"/>
        <v>10</v>
      </c>
    </row>
    <row r="6747" spans="1:2" ht="15" customHeight="1" x14ac:dyDescent="0.3">
      <c r="A6747" t="s">
        <v>7486</v>
      </c>
      <c r="B6747">
        <f t="shared" si="1258"/>
        <v>10</v>
      </c>
    </row>
    <row r="6748" spans="1:2" ht="15" customHeight="1" x14ac:dyDescent="0.3">
      <c r="A6748" t="s">
        <v>7487</v>
      </c>
      <c r="B6748">
        <f t="shared" si="1258"/>
        <v>10</v>
      </c>
    </row>
    <row r="6749" spans="1:2" ht="15" customHeight="1" x14ac:dyDescent="0.3">
      <c r="A6749" t="s">
        <v>7488</v>
      </c>
      <c r="B6749">
        <f t="shared" si="1258"/>
        <v>15</v>
      </c>
    </row>
    <row r="6750" spans="1:2" ht="15" customHeight="1" x14ac:dyDescent="0.3">
      <c r="A6750" t="s">
        <v>7489</v>
      </c>
      <c r="B6750">
        <f t="shared" si="1258"/>
        <v>12</v>
      </c>
    </row>
    <row r="6751" spans="1:2" ht="15" customHeight="1" x14ac:dyDescent="0.3">
      <c r="A6751" t="s">
        <v>7490</v>
      </c>
      <c r="B6751">
        <f t="shared" si="1258"/>
        <v>12</v>
      </c>
    </row>
    <row r="6752" spans="1:2" ht="15" customHeight="1" x14ac:dyDescent="0.3">
      <c r="A6752" t="s">
        <v>7491</v>
      </c>
      <c r="B6752">
        <f t="shared" si="1258"/>
        <v>12</v>
      </c>
    </row>
    <row r="6753" spans="1:2" ht="15" customHeight="1" x14ac:dyDescent="0.3">
      <c r="A6753" t="s">
        <v>7492</v>
      </c>
      <c r="B6753">
        <f t="shared" si="1258"/>
        <v>15</v>
      </c>
    </row>
    <row r="6754" spans="1:2" ht="15" customHeight="1" x14ac:dyDescent="0.3">
      <c r="A6754" t="s">
        <v>7493</v>
      </c>
      <c r="B6754">
        <f t="shared" si="1258"/>
        <v>15</v>
      </c>
    </row>
    <row r="6755" spans="1:2" ht="15" customHeight="1" x14ac:dyDescent="0.3">
      <c r="A6755" t="s">
        <v>7494</v>
      </c>
      <c r="B6755">
        <f t="shared" si="1258"/>
        <v>15</v>
      </c>
    </row>
    <row r="6756" spans="1:2" ht="15" customHeight="1" x14ac:dyDescent="0.3">
      <c r="A6756" t="s">
        <v>7495</v>
      </c>
      <c r="B6756">
        <f t="shared" si="1258"/>
        <v>15</v>
      </c>
    </row>
    <row r="6757" spans="1:2" ht="15" customHeight="1" x14ac:dyDescent="0.3">
      <c r="A6757" t="s">
        <v>7496</v>
      </c>
      <c r="B6757">
        <f t="shared" si="1258"/>
        <v>15</v>
      </c>
    </row>
    <row r="6758" spans="1:2" ht="15" customHeight="1" x14ac:dyDescent="0.3">
      <c r="A6758" t="s">
        <v>7497</v>
      </c>
      <c r="B6758">
        <f t="shared" si="1258"/>
        <v>15</v>
      </c>
    </row>
    <row r="6759" spans="1:2" ht="15" customHeight="1" x14ac:dyDescent="0.3">
      <c r="A6759" t="s">
        <v>7498</v>
      </c>
      <c r="B6759">
        <f t="shared" si="1258"/>
        <v>15</v>
      </c>
    </row>
    <row r="6760" spans="1:2" ht="15" customHeight="1" x14ac:dyDescent="0.3">
      <c r="A6760" t="s">
        <v>7499</v>
      </c>
      <c r="B6760">
        <f t="shared" si="1258"/>
        <v>15</v>
      </c>
    </row>
    <row r="6761" spans="1:2" ht="15" customHeight="1" x14ac:dyDescent="0.3">
      <c r="A6761" t="s">
        <v>7500</v>
      </c>
      <c r="B6761">
        <f t="shared" si="1258"/>
        <v>0</v>
      </c>
    </row>
    <row r="6762" spans="1:2" ht="15" customHeight="1" x14ac:dyDescent="0.3">
      <c r="A6762" t="s">
        <v>7501</v>
      </c>
      <c r="B6762">
        <f t="shared" si="1258"/>
        <v>15</v>
      </c>
    </row>
    <row r="6763" spans="1:2" ht="15" customHeight="1" x14ac:dyDescent="0.3">
      <c r="A6763" t="s">
        <v>7502</v>
      </c>
      <c r="B6763">
        <f t="shared" si="1258"/>
        <v>15</v>
      </c>
    </row>
    <row r="6764" spans="1:2" ht="15" customHeight="1" x14ac:dyDescent="0.3">
      <c r="A6764" t="s">
        <v>7503</v>
      </c>
      <c r="B6764">
        <f t="shared" si="1258"/>
        <v>15</v>
      </c>
    </row>
    <row r="6765" spans="1:2" ht="15" customHeight="1" x14ac:dyDescent="0.3">
      <c r="A6765" t="s">
        <v>7504</v>
      </c>
      <c r="B6765">
        <f t="shared" si="1258"/>
        <v>15</v>
      </c>
    </row>
    <row r="6766" spans="1:2" ht="15" customHeight="1" x14ac:dyDescent="0.3">
      <c r="A6766" t="s">
        <v>7505</v>
      </c>
      <c r="B6766">
        <f t="shared" si="1258"/>
        <v>12</v>
      </c>
    </row>
    <row r="6767" spans="1:2" ht="15" customHeight="1" x14ac:dyDescent="0.3">
      <c r="A6767" t="s">
        <v>7506</v>
      </c>
      <c r="B6767">
        <f t="shared" si="1258"/>
        <v>12</v>
      </c>
    </row>
    <row r="6768" spans="1:2" ht="15" customHeight="1" x14ac:dyDescent="0.3">
      <c r="A6768" t="s">
        <v>7507</v>
      </c>
      <c r="B6768">
        <f t="shared" si="1258"/>
        <v>15</v>
      </c>
    </row>
    <row r="6769" spans="1:2" ht="15" customHeight="1" x14ac:dyDescent="0.3">
      <c r="A6769" t="s">
        <v>7508</v>
      </c>
      <c r="B6769">
        <f t="shared" si="1258"/>
        <v>15</v>
      </c>
    </row>
    <row r="6770" spans="1:2" ht="15" customHeight="1" x14ac:dyDescent="0.3">
      <c r="A6770" t="s">
        <v>7509</v>
      </c>
      <c r="B6770">
        <f t="shared" si="1258"/>
        <v>15</v>
      </c>
    </row>
    <row r="6771" spans="1:2" ht="15" customHeight="1" x14ac:dyDescent="0.3">
      <c r="A6771" t="s">
        <v>7510</v>
      </c>
      <c r="B6771">
        <f t="shared" si="1258"/>
        <v>15</v>
      </c>
    </row>
    <row r="6772" spans="1:2" ht="15" customHeight="1" x14ac:dyDescent="0.3">
      <c r="A6772" t="s">
        <v>7511</v>
      </c>
      <c r="B6772">
        <f t="shared" si="1258"/>
        <v>12</v>
      </c>
    </row>
    <row r="6773" spans="1:2" ht="15" customHeight="1" x14ac:dyDescent="0.3">
      <c r="A6773" t="s">
        <v>7512</v>
      </c>
      <c r="B6773">
        <f t="shared" ref="B6773:B6784" si="1259">B6630</f>
        <v>15</v>
      </c>
    </row>
    <row r="6774" spans="1:2" ht="15" customHeight="1" x14ac:dyDescent="0.3">
      <c r="A6774" t="s">
        <v>7513</v>
      </c>
      <c r="B6774">
        <f t="shared" si="1259"/>
        <v>12</v>
      </c>
    </row>
    <row r="6775" spans="1:2" ht="15" customHeight="1" x14ac:dyDescent="0.3">
      <c r="A6775" t="s">
        <v>7514</v>
      </c>
      <c r="B6775">
        <f t="shared" si="1259"/>
        <v>12</v>
      </c>
    </row>
    <row r="6776" spans="1:2" ht="15" customHeight="1" x14ac:dyDescent="0.3">
      <c r="A6776" t="s">
        <v>7515</v>
      </c>
      <c r="B6776">
        <f t="shared" si="1259"/>
        <v>15</v>
      </c>
    </row>
    <row r="6777" spans="1:2" ht="15" customHeight="1" x14ac:dyDescent="0.3">
      <c r="A6777" t="s">
        <v>7516</v>
      </c>
      <c r="B6777">
        <f t="shared" si="1259"/>
        <v>15</v>
      </c>
    </row>
    <row r="6778" spans="1:2" ht="15" customHeight="1" x14ac:dyDescent="0.3">
      <c r="A6778" t="s">
        <v>7517</v>
      </c>
      <c r="B6778">
        <f t="shared" si="1259"/>
        <v>15</v>
      </c>
    </row>
    <row r="6779" spans="1:2" ht="15" customHeight="1" x14ac:dyDescent="0.3">
      <c r="A6779" t="s">
        <v>7137</v>
      </c>
      <c r="B6779">
        <f t="shared" si="1259"/>
        <v>12</v>
      </c>
    </row>
    <row r="6780" spans="1:2" ht="15" customHeight="1" x14ac:dyDescent="0.3">
      <c r="A6780" t="s">
        <v>7138</v>
      </c>
      <c r="B6780">
        <f t="shared" si="1259"/>
        <v>12</v>
      </c>
    </row>
    <row r="6781" spans="1:2" ht="15" customHeight="1" x14ac:dyDescent="0.3">
      <c r="A6781" t="s">
        <v>7139</v>
      </c>
      <c r="B6781">
        <f t="shared" si="1259"/>
        <v>12</v>
      </c>
    </row>
    <row r="6782" spans="1:2" ht="15" customHeight="1" x14ac:dyDescent="0.3">
      <c r="A6782" t="s">
        <v>7140</v>
      </c>
      <c r="B6782">
        <f t="shared" si="1259"/>
        <v>12</v>
      </c>
    </row>
    <row r="6783" spans="1:2" ht="15" customHeight="1" x14ac:dyDescent="0.3">
      <c r="A6783" t="s">
        <v>7141</v>
      </c>
      <c r="B6783">
        <f t="shared" si="1259"/>
        <v>12</v>
      </c>
    </row>
    <row r="6784" spans="1:2" ht="15" customHeight="1" x14ac:dyDescent="0.3">
      <c r="A6784" t="s">
        <v>7142</v>
      </c>
      <c r="B6784">
        <f t="shared" si="1259"/>
        <v>12</v>
      </c>
    </row>
    <row r="6785" spans="1:2" ht="15" customHeight="1" x14ac:dyDescent="0.3">
      <c r="A6785" t="s">
        <v>7143</v>
      </c>
      <c r="B6785">
        <f t="shared" ref="B6785:B6791" si="1260">B6645</f>
        <v>12</v>
      </c>
    </row>
    <row r="6786" spans="1:2" ht="15" customHeight="1" x14ac:dyDescent="0.3">
      <c r="A6786" t="s">
        <v>7144</v>
      </c>
      <c r="B6786">
        <f t="shared" si="1260"/>
        <v>12</v>
      </c>
    </row>
    <row r="6787" spans="1:2" ht="15" customHeight="1" x14ac:dyDescent="0.3">
      <c r="A6787" t="s">
        <v>7145</v>
      </c>
      <c r="B6787">
        <f t="shared" si="1260"/>
        <v>12</v>
      </c>
    </row>
    <row r="6788" spans="1:2" ht="15" customHeight="1" x14ac:dyDescent="0.3">
      <c r="A6788" t="s">
        <v>7146</v>
      </c>
      <c r="B6788">
        <f t="shared" si="1260"/>
        <v>12</v>
      </c>
    </row>
    <row r="6789" spans="1:2" ht="15" customHeight="1" x14ac:dyDescent="0.3">
      <c r="A6789" t="s">
        <v>7147</v>
      </c>
      <c r="B6789">
        <f t="shared" si="1260"/>
        <v>12</v>
      </c>
    </row>
    <row r="6790" spans="1:2" ht="15" customHeight="1" x14ac:dyDescent="0.3">
      <c r="A6790" t="s">
        <v>7148</v>
      </c>
      <c r="B6790">
        <f t="shared" si="1260"/>
        <v>12</v>
      </c>
    </row>
    <row r="6791" spans="1:2" ht="15" customHeight="1" x14ac:dyDescent="0.3">
      <c r="A6791" t="s">
        <v>7149</v>
      </c>
      <c r="B6791">
        <f t="shared" si="1260"/>
        <v>15</v>
      </c>
    </row>
    <row r="6792" spans="1:2" ht="15" customHeight="1" x14ac:dyDescent="0.3">
      <c r="A6792" t="s">
        <v>7150</v>
      </c>
      <c r="B6792">
        <f t="shared" ref="B6792:B6800" si="1261">B6655</f>
        <v>12</v>
      </c>
    </row>
    <row r="6793" spans="1:2" ht="15" customHeight="1" x14ac:dyDescent="0.3">
      <c r="A6793" t="s">
        <v>7151</v>
      </c>
      <c r="B6793">
        <f t="shared" si="1261"/>
        <v>12</v>
      </c>
    </row>
    <row r="6794" spans="1:2" ht="15" customHeight="1" x14ac:dyDescent="0.3">
      <c r="A6794" t="s">
        <v>7152</v>
      </c>
      <c r="B6794">
        <f t="shared" si="1261"/>
        <v>12</v>
      </c>
    </row>
    <row r="6795" spans="1:2" ht="15" customHeight="1" x14ac:dyDescent="0.3">
      <c r="A6795" t="s">
        <v>7153</v>
      </c>
      <c r="B6795">
        <f t="shared" si="1261"/>
        <v>12</v>
      </c>
    </row>
    <row r="6796" spans="1:2" ht="15" customHeight="1" x14ac:dyDescent="0.3">
      <c r="A6796" t="s">
        <v>7154</v>
      </c>
      <c r="B6796">
        <f t="shared" si="1261"/>
        <v>12</v>
      </c>
    </row>
    <row r="6797" spans="1:2" ht="15" customHeight="1" x14ac:dyDescent="0.3">
      <c r="A6797" t="s">
        <v>7155</v>
      </c>
      <c r="B6797">
        <f t="shared" si="1261"/>
        <v>12</v>
      </c>
    </row>
    <row r="6798" spans="1:2" ht="15" customHeight="1" x14ac:dyDescent="0.3">
      <c r="A6798" t="s">
        <v>7156</v>
      </c>
      <c r="B6798">
        <f t="shared" si="1261"/>
        <v>12</v>
      </c>
    </row>
    <row r="6799" spans="1:2" ht="15" customHeight="1" x14ac:dyDescent="0.3">
      <c r="A6799" t="s">
        <v>7518</v>
      </c>
      <c r="B6799">
        <f t="shared" si="1261"/>
        <v>12</v>
      </c>
    </row>
    <row r="6800" spans="1:2" ht="15" customHeight="1" x14ac:dyDescent="0.3">
      <c r="A6800" t="s">
        <v>7519</v>
      </c>
      <c r="B6800">
        <f t="shared" si="1261"/>
        <v>12</v>
      </c>
    </row>
    <row r="6801" spans="1:2" ht="15" customHeight="1" x14ac:dyDescent="0.3">
      <c r="A6801" t="s">
        <v>7520</v>
      </c>
      <c r="B6801">
        <f t="shared" ref="B6801:B6832" si="1262">B6664</f>
        <v>15</v>
      </c>
    </row>
    <row r="6802" spans="1:2" ht="15" customHeight="1" x14ac:dyDescent="0.3">
      <c r="A6802" t="s">
        <v>7521</v>
      </c>
      <c r="B6802">
        <f t="shared" si="1262"/>
        <v>15</v>
      </c>
    </row>
    <row r="6803" spans="1:2" ht="15" customHeight="1" x14ac:dyDescent="0.3">
      <c r="A6803" t="s">
        <v>7522</v>
      </c>
      <c r="B6803">
        <f t="shared" si="1262"/>
        <v>15</v>
      </c>
    </row>
    <row r="6804" spans="1:2" ht="15" customHeight="1" x14ac:dyDescent="0.3">
      <c r="A6804" t="s">
        <v>7523</v>
      </c>
      <c r="B6804">
        <f t="shared" si="1262"/>
        <v>15</v>
      </c>
    </row>
    <row r="6805" spans="1:2" ht="15" customHeight="1" x14ac:dyDescent="0.3">
      <c r="A6805" t="s">
        <v>7524</v>
      </c>
      <c r="B6805">
        <f t="shared" si="1262"/>
        <v>12</v>
      </c>
    </row>
    <row r="6806" spans="1:2" ht="15" customHeight="1" x14ac:dyDescent="0.3">
      <c r="A6806" t="s">
        <v>7525</v>
      </c>
      <c r="B6806">
        <f t="shared" si="1262"/>
        <v>15</v>
      </c>
    </row>
    <row r="6807" spans="1:2" ht="15" customHeight="1" x14ac:dyDescent="0.3">
      <c r="A6807" t="s">
        <v>7526</v>
      </c>
      <c r="B6807">
        <f t="shared" si="1262"/>
        <v>10</v>
      </c>
    </row>
    <row r="6808" spans="1:2" ht="15" customHeight="1" x14ac:dyDescent="0.3">
      <c r="A6808" t="s">
        <v>7527</v>
      </c>
      <c r="B6808">
        <f t="shared" si="1262"/>
        <v>12</v>
      </c>
    </row>
    <row r="6809" spans="1:2" ht="15" customHeight="1" x14ac:dyDescent="0.3">
      <c r="A6809" t="s">
        <v>7528</v>
      </c>
      <c r="B6809">
        <f t="shared" si="1262"/>
        <v>12</v>
      </c>
    </row>
    <row r="6810" spans="1:2" ht="15" customHeight="1" x14ac:dyDescent="0.3">
      <c r="A6810" t="s">
        <v>7529</v>
      </c>
      <c r="B6810">
        <f t="shared" si="1262"/>
        <v>12</v>
      </c>
    </row>
    <row r="6811" spans="1:2" ht="15" customHeight="1" x14ac:dyDescent="0.3">
      <c r="A6811" t="s">
        <v>7530</v>
      </c>
      <c r="B6811">
        <f t="shared" si="1262"/>
        <v>12</v>
      </c>
    </row>
    <row r="6812" spans="1:2" ht="15" customHeight="1" x14ac:dyDescent="0.3">
      <c r="A6812" t="s">
        <v>7531</v>
      </c>
      <c r="B6812">
        <f t="shared" si="1262"/>
        <v>12</v>
      </c>
    </row>
    <row r="6813" spans="1:2" ht="15" customHeight="1" x14ac:dyDescent="0.3">
      <c r="A6813" t="s">
        <v>7532</v>
      </c>
      <c r="B6813">
        <f t="shared" si="1262"/>
        <v>12</v>
      </c>
    </row>
    <row r="6814" spans="1:2" ht="15" customHeight="1" x14ac:dyDescent="0.3">
      <c r="A6814" t="s">
        <v>7533</v>
      </c>
      <c r="B6814">
        <f t="shared" si="1262"/>
        <v>12</v>
      </c>
    </row>
    <row r="6815" spans="1:2" ht="15" customHeight="1" x14ac:dyDescent="0.3">
      <c r="A6815" t="s">
        <v>7534</v>
      </c>
      <c r="B6815">
        <f t="shared" si="1262"/>
        <v>15</v>
      </c>
    </row>
    <row r="6816" spans="1:2" ht="15" customHeight="1" x14ac:dyDescent="0.3">
      <c r="A6816" t="s">
        <v>7535</v>
      </c>
      <c r="B6816">
        <f t="shared" si="1262"/>
        <v>15</v>
      </c>
    </row>
    <row r="6817" spans="1:2" ht="15" customHeight="1" x14ac:dyDescent="0.3">
      <c r="A6817" t="s">
        <v>7536</v>
      </c>
      <c r="B6817">
        <f t="shared" si="1262"/>
        <v>12</v>
      </c>
    </row>
    <row r="6818" spans="1:2" ht="15" customHeight="1" x14ac:dyDescent="0.3">
      <c r="A6818" t="s">
        <v>7537</v>
      </c>
      <c r="B6818">
        <f t="shared" si="1262"/>
        <v>12</v>
      </c>
    </row>
    <row r="6819" spans="1:2" ht="15" customHeight="1" x14ac:dyDescent="0.3">
      <c r="A6819" t="s">
        <v>7538</v>
      </c>
      <c r="B6819">
        <f t="shared" si="1262"/>
        <v>12</v>
      </c>
    </row>
    <row r="6820" spans="1:2" ht="15" customHeight="1" x14ac:dyDescent="0.3">
      <c r="A6820" t="s">
        <v>7539</v>
      </c>
      <c r="B6820">
        <f t="shared" si="1262"/>
        <v>12</v>
      </c>
    </row>
    <row r="6821" spans="1:2" ht="15" customHeight="1" x14ac:dyDescent="0.3">
      <c r="A6821" t="s">
        <v>7540</v>
      </c>
      <c r="B6821">
        <f t="shared" si="1262"/>
        <v>12</v>
      </c>
    </row>
    <row r="6822" spans="1:2" ht="15" customHeight="1" x14ac:dyDescent="0.3">
      <c r="A6822" t="s">
        <v>7541</v>
      </c>
      <c r="B6822">
        <f t="shared" si="1262"/>
        <v>12</v>
      </c>
    </row>
    <row r="6823" spans="1:2" ht="15" customHeight="1" x14ac:dyDescent="0.3">
      <c r="A6823" t="s">
        <v>7542</v>
      </c>
      <c r="B6823">
        <f t="shared" si="1262"/>
        <v>12</v>
      </c>
    </row>
    <row r="6824" spans="1:2" ht="15" customHeight="1" x14ac:dyDescent="0.3">
      <c r="A6824" t="s">
        <v>7543</v>
      </c>
      <c r="B6824">
        <f t="shared" si="1262"/>
        <v>12</v>
      </c>
    </row>
    <row r="6825" spans="1:2" ht="15" customHeight="1" x14ac:dyDescent="0.3">
      <c r="A6825" t="s">
        <v>7544</v>
      </c>
      <c r="B6825">
        <f t="shared" si="1262"/>
        <v>12</v>
      </c>
    </row>
    <row r="6826" spans="1:2" ht="15" customHeight="1" x14ac:dyDescent="0.3">
      <c r="A6826" t="s">
        <v>7545</v>
      </c>
      <c r="B6826">
        <f t="shared" si="1262"/>
        <v>12</v>
      </c>
    </row>
    <row r="6827" spans="1:2" ht="15" customHeight="1" x14ac:dyDescent="0.3">
      <c r="A6827" t="s">
        <v>7546</v>
      </c>
      <c r="B6827">
        <f t="shared" si="1262"/>
        <v>12</v>
      </c>
    </row>
    <row r="6828" spans="1:2" ht="15" customHeight="1" x14ac:dyDescent="0.3">
      <c r="A6828" t="s">
        <v>7547</v>
      </c>
      <c r="B6828">
        <f t="shared" si="1262"/>
        <v>12</v>
      </c>
    </row>
    <row r="6829" spans="1:2" ht="15" customHeight="1" x14ac:dyDescent="0.3">
      <c r="A6829" t="s">
        <v>7548</v>
      </c>
      <c r="B6829">
        <f t="shared" si="1262"/>
        <v>12</v>
      </c>
    </row>
    <row r="6830" spans="1:2" ht="15" customHeight="1" x14ac:dyDescent="0.3">
      <c r="A6830" t="s">
        <v>7549</v>
      </c>
      <c r="B6830">
        <f t="shared" si="1262"/>
        <v>12</v>
      </c>
    </row>
    <row r="6831" spans="1:2" ht="15" customHeight="1" x14ac:dyDescent="0.3">
      <c r="A6831" t="s">
        <v>7550</v>
      </c>
      <c r="B6831">
        <f t="shared" si="1262"/>
        <v>12</v>
      </c>
    </row>
    <row r="6832" spans="1:2" ht="15" customHeight="1" x14ac:dyDescent="0.3">
      <c r="A6832" t="s">
        <v>7551</v>
      </c>
      <c r="B6832">
        <f t="shared" si="1262"/>
        <v>12</v>
      </c>
    </row>
    <row r="6833" spans="1:2" ht="15" customHeight="1" x14ac:dyDescent="0.3">
      <c r="A6833" t="s">
        <v>7552</v>
      </c>
      <c r="B6833">
        <f t="shared" ref="B6833:B6841" si="1263">B6696</f>
        <v>12</v>
      </c>
    </row>
    <row r="6834" spans="1:2" ht="15" customHeight="1" x14ac:dyDescent="0.3">
      <c r="A6834" t="s">
        <v>7553</v>
      </c>
      <c r="B6834">
        <f t="shared" si="1263"/>
        <v>12</v>
      </c>
    </row>
    <row r="6835" spans="1:2" ht="15" customHeight="1" x14ac:dyDescent="0.3">
      <c r="A6835" t="s">
        <v>7554</v>
      </c>
      <c r="B6835">
        <f t="shared" si="1263"/>
        <v>12</v>
      </c>
    </row>
    <row r="6836" spans="1:2" ht="15" customHeight="1" x14ac:dyDescent="0.3">
      <c r="A6836" t="s">
        <v>7555</v>
      </c>
      <c r="B6836">
        <f t="shared" si="1263"/>
        <v>12</v>
      </c>
    </row>
    <row r="6837" spans="1:2" ht="15" customHeight="1" x14ac:dyDescent="0.3">
      <c r="A6837" t="s">
        <v>7556</v>
      </c>
      <c r="B6837">
        <f t="shared" si="1263"/>
        <v>12</v>
      </c>
    </row>
    <row r="6838" spans="1:2" ht="15" customHeight="1" x14ac:dyDescent="0.3">
      <c r="A6838" t="s">
        <v>7557</v>
      </c>
      <c r="B6838">
        <f t="shared" si="1263"/>
        <v>12</v>
      </c>
    </row>
    <row r="6839" spans="1:2" ht="15" customHeight="1" x14ac:dyDescent="0.3">
      <c r="A6839" t="s">
        <v>7558</v>
      </c>
      <c r="B6839">
        <f t="shared" si="1263"/>
        <v>12</v>
      </c>
    </row>
    <row r="6840" spans="1:2" ht="15" customHeight="1" x14ac:dyDescent="0.3">
      <c r="A6840" t="s">
        <v>7559</v>
      </c>
      <c r="B6840">
        <f t="shared" si="1263"/>
        <v>10</v>
      </c>
    </row>
    <row r="6841" spans="1:2" ht="15" customHeight="1" x14ac:dyDescent="0.3">
      <c r="A6841" t="s">
        <v>7560</v>
      </c>
      <c r="B6841">
        <f t="shared" si="1263"/>
        <v>10</v>
      </c>
    </row>
    <row r="6842" spans="1:2" ht="15" customHeight="1" x14ac:dyDescent="0.3">
      <c r="A6842" t="s">
        <v>7338</v>
      </c>
      <c r="B6842">
        <f>B6558</f>
        <v>15</v>
      </c>
    </row>
    <row r="6843" spans="1:2" ht="15" customHeight="1" x14ac:dyDescent="0.3">
      <c r="A6843" t="s">
        <v>7201</v>
      </c>
      <c r="B6843">
        <f>B6559</f>
        <v>15</v>
      </c>
    </row>
    <row r="6844" spans="1:2" ht="15" customHeight="1" x14ac:dyDescent="0.3">
      <c r="A6844" t="s">
        <v>7202</v>
      </c>
      <c r="B6844">
        <f>B6560</f>
        <v>35</v>
      </c>
    </row>
    <row r="6845" spans="1:2" ht="15" customHeight="1" x14ac:dyDescent="0.3">
      <c r="A6845" t="s">
        <v>7203</v>
      </c>
      <c r="B6845">
        <f>B6561</f>
        <v>35</v>
      </c>
    </row>
    <row r="6846" spans="1:2" ht="15" customHeight="1" x14ac:dyDescent="0.3">
      <c r="A6846" t="s">
        <v>7204</v>
      </c>
      <c r="B6846">
        <f t="shared" ref="B6846:B6877" si="1264">B6566</f>
        <v>10</v>
      </c>
    </row>
    <row r="6847" spans="1:2" ht="15" customHeight="1" x14ac:dyDescent="0.3">
      <c r="A6847" t="s">
        <v>7205</v>
      </c>
      <c r="B6847">
        <f t="shared" si="1264"/>
        <v>12</v>
      </c>
    </row>
    <row r="6848" spans="1:2" ht="15" customHeight="1" x14ac:dyDescent="0.3">
      <c r="A6848" t="s">
        <v>7206</v>
      </c>
      <c r="B6848">
        <f t="shared" si="1264"/>
        <v>12</v>
      </c>
    </row>
    <row r="6849" spans="1:2" ht="15" customHeight="1" x14ac:dyDescent="0.3">
      <c r="A6849" t="s">
        <v>7339</v>
      </c>
      <c r="B6849">
        <f t="shared" si="1264"/>
        <v>15</v>
      </c>
    </row>
    <row r="6850" spans="1:2" ht="15" customHeight="1" x14ac:dyDescent="0.3">
      <c r="A6850" t="s">
        <v>7340</v>
      </c>
      <c r="B6850">
        <f t="shared" si="1264"/>
        <v>12</v>
      </c>
    </row>
    <row r="6851" spans="1:2" ht="15" customHeight="1" x14ac:dyDescent="0.3">
      <c r="A6851" t="s">
        <v>7341</v>
      </c>
      <c r="B6851">
        <f t="shared" si="1264"/>
        <v>15</v>
      </c>
    </row>
    <row r="6852" spans="1:2" ht="15" customHeight="1" x14ac:dyDescent="0.3">
      <c r="A6852" t="s">
        <v>7342</v>
      </c>
      <c r="B6852">
        <f t="shared" si="1264"/>
        <v>15</v>
      </c>
    </row>
    <row r="6853" spans="1:2" ht="15" customHeight="1" x14ac:dyDescent="0.3">
      <c r="A6853" t="s">
        <v>7343</v>
      </c>
      <c r="B6853">
        <f t="shared" si="1264"/>
        <v>15</v>
      </c>
    </row>
    <row r="6854" spans="1:2" ht="15" customHeight="1" x14ac:dyDescent="0.3">
      <c r="A6854" t="s">
        <v>7344</v>
      </c>
      <c r="B6854">
        <f t="shared" si="1264"/>
        <v>15</v>
      </c>
    </row>
    <row r="6855" spans="1:2" ht="15" customHeight="1" x14ac:dyDescent="0.3">
      <c r="A6855" t="s">
        <v>7345</v>
      </c>
      <c r="B6855">
        <f t="shared" si="1264"/>
        <v>15</v>
      </c>
    </row>
    <row r="6856" spans="1:2" ht="15" customHeight="1" x14ac:dyDescent="0.3">
      <c r="A6856" t="s">
        <v>7346</v>
      </c>
      <c r="B6856">
        <f t="shared" si="1264"/>
        <v>15</v>
      </c>
    </row>
    <row r="6857" spans="1:2" ht="15" customHeight="1" x14ac:dyDescent="0.3">
      <c r="A6857" t="s">
        <v>7347</v>
      </c>
      <c r="B6857">
        <f t="shared" si="1264"/>
        <v>15</v>
      </c>
    </row>
    <row r="6858" spans="1:2" ht="15" customHeight="1" x14ac:dyDescent="0.3">
      <c r="A6858" t="s">
        <v>7348</v>
      </c>
      <c r="B6858">
        <f t="shared" si="1264"/>
        <v>15</v>
      </c>
    </row>
    <row r="6859" spans="1:2" ht="15" customHeight="1" x14ac:dyDescent="0.3">
      <c r="A6859" t="s">
        <v>7349</v>
      </c>
      <c r="B6859">
        <f t="shared" si="1264"/>
        <v>15</v>
      </c>
    </row>
    <row r="6860" spans="1:2" ht="15" customHeight="1" x14ac:dyDescent="0.3">
      <c r="A6860" t="s">
        <v>7350</v>
      </c>
      <c r="B6860">
        <f t="shared" si="1264"/>
        <v>12</v>
      </c>
    </row>
    <row r="6861" spans="1:2" ht="15" customHeight="1" x14ac:dyDescent="0.3">
      <c r="A6861" t="s">
        <v>7351</v>
      </c>
      <c r="B6861">
        <f t="shared" si="1264"/>
        <v>12</v>
      </c>
    </row>
    <row r="6862" spans="1:2" ht="15" customHeight="1" x14ac:dyDescent="0.3">
      <c r="A6862" t="s">
        <v>7352</v>
      </c>
      <c r="B6862">
        <f t="shared" si="1264"/>
        <v>15</v>
      </c>
    </row>
    <row r="6863" spans="1:2" ht="15" customHeight="1" x14ac:dyDescent="0.3">
      <c r="A6863" t="s">
        <v>7353</v>
      </c>
      <c r="B6863">
        <f t="shared" si="1264"/>
        <v>15</v>
      </c>
    </row>
    <row r="6864" spans="1:2" ht="15" customHeight="1" x14ac:dyDescent="0.3">
      <c r="A6864" t="s">
        <v>7354</v>
      </c>
      <c r="B6864">
        <f t="shared" si="1264"/>
        <v>15</v>
      </c>
    </row>
    <row r="6865" spans="1:2" ht="15" customHeight="1" x14ac:dyDescent="0.3">
      <c r="A6865" t="s">
        <v>7355</v>
      </c>
      <c r="B6865">
        <f t="shared" si="1264"/>
        <v>12</v>
      </c>
    </row>
    <row r="6866" spans="1:2" ht="15" customHeight="1" x14ac:dyDescent="0.3">
      <c r="A6866" t="s">
        <v>7356</v>
      </c>
      <c r="B6866">
        <f t="shared" si="1264"/>
        <v>12</v>
      </c>
    </row>
    <row r="6867" spans="1:2" ht="15" customHeight="1" x14ac:dyDescent="0.3">
      <c r="A6867" t="s">
        <v>7357</v>
      </c>
      <c r="B6867">
        <f t="shared" si="1264"/>
        <v>12</v>
      </c>
    </row>
    <row r="6868" spans="1:2" ht="15" customHeight="1" x14ac:dyDescent="0.3">
      <c r="A6868" t="s">
        <v>7358</v>
      </c>
      <c r="B6868">
        <f t="shared" si="1264"/>
        <v>12</v>
      </c>
    </row>
    <row r="6869" spans="1:2" ht="15" customHeight="1" x14ac:dyDescent="0.3">
      <c r="A6869" t="s">
        <v>7359</v>
      </c>
      <c r="B6869">
        <f t="shared" si="1264"/>
        <v>12</v>
      </c>
    </row>
    <row r="6870" spans="1:2" ht="15" customHeight="1" x14ac:dyDescent="0.3">
      <c r="A6870" t="s">
        <v>7360</v>
      </c>
      <c r="B6870">
        <f t="shared" si="1264"/>
        <v>15</v>
      </c>
    </row>
    <row r="6871" spans="1:2" ht="15" customHeight="1" x14ac:dyDescent="0.3">
      <c r="A6871" t="s">
        <v>7361</v>
      </c>
      <c r="B6871">
        <f t="shared" si="1264"/>
        <v>15</v>
      </c>
    </row>
    <row r="6872" spans="1:2" ht="15" customHeight="1" x14ac:dyDescent="0.3">
      <c r="A6872" t="s">
        <v>7362</v>
      </c>
      <c r="B6872">
        <f t="shared" si="1264"/>
        <v>15</v>
      </c>
    </row>
    <row r="6873" spans="1:2" ht="15" customHeight="1" x14ac:dyDescent="0.3">
      <c r="A6873" t="s">
        <v>7363</v>
      </c>
      <c r="B6873">
        <f t="shared" si="1264"/>
        <v>12</v>
      </c>
    </row>
    <row r="6874" spans="1:2" ht="15" customHeight="1" x14ac:dyDescent="0.3">
      <c r="A6874" t="s">
        <v>7364</v>
      </c>
      <c r="B6874">
        <f t="shared" si="1264"/>
        <v>10</v>
      </c>
    </row>
    <row r="6875" spans="1:2" ht="15" customHeight="1" x14ac:dyDescent="0.3">
      <c r="A6875" t="s">
        <v>7365</v>
      </c>
      <c r="B6875">
        <f t="shared" si="1264"/>
        <v>10</v>
      </c>
    </row>
    <row r="6876" spans="1:2" ht="15" customHeight="1" x14ac:dyDescent="0.3">
      <c r="A6876" t="s">
        <v>7366</v>
      </c>
      <c r="B6876">
        <f t="shared" si="1264"/>
        <v>12</v>
      </c>
    </row>
    <row r="6877" spans="1:2" ht="15" customHeight="1" x14ac:dyDescent="0.3">
      <c r="A6877" t="s">
        <v>7367</v>
      </c>
      <c r="B6877">
        <f t="shared" si="1264"/>
        <v>15</v>
      </c>
    </row>
    <row r="6878" spans="1:2" ht="15" customHeight="1" x14ac:dyDescent="0.3">
      <c r="A6878" t="s">
        <v>7368</v>
      </c>
      <c r="B6878">
        <f t="shared" ref="B6878:B6909" si="1265">B6598</f>
        <v>15</v>
      </c>
    </row>
    <row r="6879" spans="1:2" ht="15" customHeight="1" x14ac:dyDescent="0.3">
      <c r="A6879" t="s">
        <v>7369</v>
      </c>
      <c r="B6879">
        <f t="shared" si="1265"/>
        <v>15</v>
      </c>
    </row>
    <row r="6880" spans="1:2" ht="15" customHeight="1" x14ac:dyDescent="0.3">
      <c r="A6880" t="s">
        <v>7370</v>
      </c>
      <c r="B6880">
        <f t="shared" si="1265"/>
        <v>15</v>
      </c>
    </row>
    <row r="6881" spans="1:2" ht="15" customHeight="1" x14ac:dyDescent="0.3">
      <c r="A6881" t="s">
        <v>7371</v>
      </c>
      <c r="B6881">
        <f t="shared" si="1265"/>
        <v>15</v>
      </c>
    </row>
    <row r="6882" spans="1:2" ht="15" customHeight="1" x14ac:dyDescent="0.3">
      <c r="A6882" t="s">
        <v>7372</v>
      </c>
      <c r="B6882">
        <f t="shared" si="1265"/>
        <v>15</v>
      </c>
    </row>
    <row r="6883" spans="1:2" ht="15" customHeight="1" x14ac:dyDescent="0.3">
      <c r="A6883" t="s">
        <v>7373</v>
      </c>
      <c r="B6883">
        <f t="shared" si="1265"/>
        <v>10</v>
      </c>
    </row>
    <row r="6884" spans="1:2" ht="15" customHeight="1" x14ac:dyDescent="0.3">
      <c r="A6884" t="s">
        <v>7374</v>
      </c>
      <c r="B6884">
        <f t="shared" si="1265"/>
        <v>10</v>
      </c>
    </row>
    <row r="6885" spans="1:2" ht="15" customHeight="1" x14ac:dyDescent="0.3">
      <c r="A6885" t="s">
        <v>7375</v>
      </c>
      <c r="B6885">
        <f t="shared" si="1265"/>
        <v>10</v>
      </c>
    </row>
    <row r="6886" spans="1:2" ht="15" customHeight="1" x14ac:dyDescent="0.3">
      <c r="A6886" t="s">
        <v>7376</v>
      </c>
      <c r="B6886">
        <f t="shared" si="1265"/>
        <v>15</v>
      </c>
    </row>
    <row r="6887" spans="1:2" ht="15" customHeight="1" x14ac:dyDescent="0.3">
      <c r="A6887" t="s">
        <v>7377</v>
      </c>
      <c r="B6887">
        <f t="shared" si="1265"/>
        <v>12</v>
      </c>
    </row>
    <row r="6888" spans="1:2" ht="15" customHeight="1" x14ac:dyDescent="0.3">
      <c r="A6888" t="s">
        <v>7378</v>
      </c>
      <c r="B6888">
        <f t="shared" si="1265"/>
        <v>12</v>
      </c>
    </row>
    <row r="6889" spans="1:2" ht="15" customHeight="1" x14ac:dyDescent="0.3">
      <c r="A6889" t="s">
        <v>7379</v>
      </c>
      <c r="B6889">
        <f t="shared" si="1265"/>
        <v>12</v>
      </c>
    </row>
    <row r="6890" spans="1:2" ht="15" customHeight="1" x14ac:dyDescent="0.3">
      <c r="A6890" t="s">
        <v>7380</v>
      </c>
      <c r="B6890">
        <f t="shared" si="1265"/>
        <v>15</v>
      </c>
    </row>
    <row r="6891" spans="1:2" ht="15" customHeight="1" x14ac:dyDescent="0.3">
      <c r="A6891" t="s">
        <v>7381</v>
      </c>
      <c r="B6891">
        <f t="shared" si="1265"/>
        <v>15</v>
      </c>
    </row>
    <row r="6892" spans="1:2" ht="15" customHeight="1" x14ac:dyDescent="0.3">
      <c r="A6892" t="s">
        <v>7382</v>
      </c>
      <c r="B6892">
        <f t="shared" si="1265"/>
        <v>15</v>
      </c>
    </row>
    <row r="6893" spans="1:2" ht="15" customHeight="1" x14ac:dyDescent="0.3">
      <c r="A6893" t="s">
        <v>7383</v>
      </c>
      <c r="B6893">
        <f t="shared" si="1265"/>
        <v>15</v>
      </c>
    </row>
    <row r="6894" spans="1:2" ht="15" customHeight="1" x14ac:dyDescent="0.3">
      <c r="A6894" t="s">
        <v>7384</v>
      </c>
      <c r="B6894">
        <f t="shared" si="1265"/>
        <v>15</v>
      </c>
    </row>
    <row r="6895" spans="1:2" ht="15" customHeight="1" x14ac:dyDescent="0.3">
      <c r="A6895" t="s">
        <v>7385</v>
      </c>
      <c r="B6895">
        <f t="shared" si="1265"/>
        <v>15</v>
      </c>
    </row>
    <row r="6896" spans="1:2" ht="15" customHeight="1" x14ac:dyDescent="0.3">
      <c r="A6896" t="s">
        <v>7386</v>
      </c>
      <c r="B6896">
        <f t="shared" si="1265"/>
        <v>15</v>
      </c>
    </row>
    <row r="6897" spans="1:2" ht="15" customHeight="1" x14ac:dyDescent="0.3">
      <c r="A6897" t="s">
        <v>7387</v>
      </c>
      <c r="B6897">
        <f t="shared" si="1265"/>
        <v>15</v>
      </c>
    </row>
    <row r="6898" spans="1:2" ht="15" customHeight="1" x14ac:dyDescent="0.3">
      <c r="A6898" t="s">
        <v>7388</v>
      </c>
      <c r="B6898">
        <f t="shared" si="1265"/>
        <v>0</v>
      </c>
    </row>
    <row r="6899" spans="1:2" ht="15" customHeight="1" x14ac:dyDescent="0.3">
      <c r="A6899" t="s">
        <v>7389</v>
      </c>
      <c r="B6899">
        <f t="shared" si="1265"/>
        <v>15</v>
      </c>
    </row>
    <row r="6900" spans="1:2" ht="15" customHeight="1" x14ac:dyDescent="0.3">
      <c r="A6900" t="s">
        <v>7390</v>
      </c>
      <c r="B6900">
        <f t="shared" si="1265"/>
        <v>15</v>
      </c>
    </row>
    <row r="6901" spans="1:2" ht="15" customHeight="1" x14ac:dyDescent="0.3">
      <c r="A6901" t="s">
        <v>7391</v>
      </c>
      <c r="B6901">
        <f t="shared" si="1265"/>
        <v>15</v>
      </c>
    </row>
    <row r="6902" spans="1:2" ht="15" customHeight="1" x14ac:dyDescent="0.3">
      <c r="A6902" t="s">
        <v>7392</v>
      </c>
      <c r="B6902">
        <f t="shared" si="1265"/>
        <v>15</v>
      </c>
    </row>
    <row r="6903" spans="1:2" ht="15" customHeight="1" x14ac:dyDescent="0.3">
      <c r="A6903" t="s">
        <v>7393</v>
      </c>
      <c r="B6903">
        <f t="shared" si="1265"/>
        <v>12</v>
      </c>
    </row>
    <row r="6904" spans="1:2" ht="15" customHeight="1" x14ac:dyDescent="0.3">
      <c r="A6904" t="s">
        <v>7394</v>
      </c>
      <c r="B6904">
        <f t="shared" si="1265"/>
        <v>12</v>
      </c>
    </row>
    <row r="6905" spans="1:2" ht="15" customHeight="1" x14ac:dyDescent="0.3">
      <c r="A6905" t="s">
        <v>7395</v>
      </c>
      <c r="B6905">
        <f t="shared" si="1265"/>
        <v>15</v>
      </c>
    </row>
    <row r="6906" spans="1:2" ht="15" customHeight="1" x14ac:dyDescent="0.3">
      <c r="A6906" t="s">
        <v>7396</v>
      </c>
      <c r="B6906">
        <f t="shared" si="1265"/>
        <v>15</v>
      </c>
    </row>
    <row r="6907" spans="1:2" ht="15" customHeight="1" x14ac:dyDescent="0.3">
      <c r="A6907" t="s">
        <v>7397</v>
      </c>
      <c r="B6907">
        <f t="shared" si="1265"/>
        <v>15</v>
      </c>
    </row>
    <row r="6908" spans="1:2" ht="15" customHeight="1" x14ac:dyDescent="0.3">
      <c r="A6908" t="s">
        <v>7398</v>
      </c>
      <c r="B6908">
        <f t="shared" si="1265"/>
        <v>15</v>
      </c>
    </row>
    <row r="6909" spans="1:2" ht="15" customHeight="1" x14ac:dyDescent="0.3">
      <c r="A6909" t="s">
        <v>7399</v>
      </c>
      <c r="B6909">
        <f t="shared" si="1265"/>
        <v>12</v>
      </c>
    </row>
    <row r="6910" spans="1:2" ht="15" customHeight="1" x14ac:dyDescent="0.3">
      <c r="A6910" t="s">
        <v>7400</v>
      </c>
      <c r="B6910">
        <f t="shared" ref="B6910:B6921" si="1266">B6630</f>
        <v>15</v>
      </c>
    </row>
    <row r="6911" spans="1:2" ht="15" customHeight="1" x14ac:dyDescent="0.3">
      <c r="A6911" t="s">
        <v>7401</v>
      </c>
      <c r="B6911">
        <f t="shared" si="1266"/>
        <v>12</v>
      </c>
    </row>
    <row r="6912" spans="1:2" ht="15" customHeight="1" x14ac:dyDescent="0.3">
      <c r="A6912" t="s">
        <v>7402</v>
      </c>
      <c r="B6912">
        <f t="shared" si="1266"/>
        <v>12</v>
      </c>
    </row>
    <row r="6913" spans="1:2" ht="15" customHeight="1" x14ac:dyDescent="0.3">
      <c r="A6913" t="s">
        <v>7403</v>
      </c>
      <c r="B6913">
        <f t="shared" si="1266"/>
        <v>15</v>
      </c>
    </row>
    <row r="6914" spans="1:2" ht="15" customHeight="1" x14ac:dyDescent="0.3">
      <c r="A6914" t="s">
        <v>7404</v>
      </c>
      <c r="B6914">
        <f t="shared" si="1266"/>
        <v>15</v>
      </c>
    </row>
    <row r="6915" spans="1:2" ht="15" customHeight="1" x14ac:dyDescent="0.3">
      <c r="A6915" t="s">
        <v>7405</v>
      </c>
      <c r="B6915">
        <f t="shared" si="1266"/>
        <v>15</v>
      </c>
    </row>
    <row r="6916" spans="1:2" ht="15" customHeight="1" x14ac:dyDescent="0.3">
      <c r="A6916" t="s">
        <v>7274</v>
      </c>
      <c r="B6916">
        <f t="shared" si="1266"/>
        <v>12</v>
      </c>
    </row>
    <row r="6917" spans="1:2" ht="15" customHeight="1" x14ac:dyDescent="0.3">
      <c r="A6917" t="s">
        <v>7275</v>
      </c>
      <c r="B6917">
        <f t="shared" si="1266"/>
        <v>12</v>
      </c>
    </row>
    <row r="6918" spans="1:2" ht="15" customHeight="1" x14ac:dyDescent="0.3">
      <c r="A6918" t="s">
        <v>7276</v>
      </c>
      <c r="B6918">
        <f t="shared" si="1266"/>
        <v>12</v>
      </c>
    </row>
    <row r="6919" spans="1:2" ht="15" customHeight="1" x14ac:dyDescent="0.3">
      <c r="A6919" t="s">
        <v>7277</v>
      </c>
      <c r="B6919">
        <f t="shared" si="1266"/>
        <v>12</v>
      </c>
    </row>
    <row r="6920" spans="1:2" ht="15" customHeight="1" x14ac:dyDescent="0.3">
      <c r="A6920" t="s">
        <v>7278</v>
      </c>
      <c r="B6920">
        <f t="shared" si="1266"/>
        <v>12</v>
      </c>
    </row>
    <row r="6921" spans="1:2" ht="15" customHeight="1" x14ac:dyDescent="0.3">
      <c r="A6921" t="s">
        <v>7279</v>
      </c>
      <c r="B6921">
        <f t="shared" si="1266"/>
        <v>12</v>
      </c>
    </row>
    <row r="6922" spans="1:2" ht="15" customHeight="1" x14ac:dyDescent="0.3">
      <c r="A6922" t="s">
        <v>7280</v>
      </c>
      <c r="B6922">
        <f t="shared" ref="B6922:B6928" si="1267">B6645</f>
        <v>12</v>
      </c>
    </row>
    <row r="6923" spans="1:2" ht="15" customHeight="1" x14ac:dyDescent="0.3">
      <c r="A6923" t="s">
        <v>7281</v>
      </c>
      <c r="B6923">
        <f t="shared" si="1267"/>
        <v>12</v>
      </c>
    </row>
    <row r="6924" spans="1:2" ht="15" customHeight="1" x14ac:dyDescent="0.3">
      <c r="A6924" t="s">
        <v>7282</v>
      </c>
      <c r="B6924">
        <f t="shared" si="1267"/>
        <v>12</v>
      </c>
    </row>
    <row r="6925" spans="1:2" ht="15" customHeight="1" x14ac:dyDescent="0.3">
      <c r="A6925" t="s">
        <v>7283</v>
      </c>
      <c r="B6925">
        <f t="shared" si="1267"/>
        <v>12</v>
      </c>
    </row>
    <row r="6926" spans="1:2" ht="15" customHeight="1" x14ac:dyDescent="0.3">
      <c r="A6926" t="s">
        <v>7284</v>
      </c>
      <c r="B6926">
        <f t="shared" si="1267"/>
        <v>12</v>
      </c>
    </row>
    <row r="6927" spans="1:2" ht="15" customHeight="1" x14ac:dyDescent="0.3">
      <c r="A6927" t="s">
        <v>7285</v>
      </c>
      <c r="B6927">
        <f t="shared" si="1267"/>
        <v>12</v>
      </c>
    </row>
    <row r="6928" spans="1:2" ht="15" customHeight="1" x14ac:dyDescent="0.3">
      <c r="A6928" t="s">
        <v>7286</v>
      </c>
      <c r="B6928">
        <f t="shared" si="1267"/>
        <v>15</v>
      </c>
    </row>
    <row r="6929" spans="1:2" ht="15" customHeight="1" x14ac:dyDescent="0.3">
      <c r="A6929" t="s">
        <v>7287</v>
      </c>
      <c r="B6929">
        <f t="shared" ref="B6929:B6937" si="1268">B6655</f>
        <v>12</v>
      </c>
    </row>
    <row r="6930" spans="1:2" ht="15" customHeight="1" x14ac:dyDescent="0.3">
      <c r="A6930" t="s">
        <v>7288</v>
      </c>
      <c r="B6930">
        <f t="shared" si="1268"/>
        <v>12</v>
      </c>
    </row>
    <row r="6931" spans="1:2" ht="15" customHeight="1" x14ac:dyDescent="0.3">
      <c r="A6931" t="s">
        <v>7289</v>
      </c>
      <c r="B6931">
        <f t="shared" si="1268"/>
        <v>12</v>
      </c>
    </row>
    <row r="6932" spans="1:2" ht="15" customHeight="1" x14ac:dyDescent="0.3">
      <c r="A6932" t="s">
        <v>7290</v>
      </c>
      <c r="B6932">
        <f t="shared" si="1268"/>
        <v>12</v>
      </c>
    </row>
    <row r="6933" spans="1:2" ht="15" customHeight="1" x14ac:dyDescent="0.3">
      <c r="A6933" t="s">
        <v>7291</v>
      </c>
      <c r="B6933">
        <f t="shared" si="1268"/>
        <v>12</v>
      </c>
    </row>
    <row r="6934" spans="1:2" ht="15" customHeight="1" x14ac:dyDescent="0.3">
      <c r="A6934" t="s">
        <v>7292</v>
      </c>
      <c r="B6934">
        <f t="shared" si="1268"/>
        <v>12</v>
      </c>
    </row>
    <row r="6935" spans="1:2" ht="15" customHeight="1" x14ac:dyDescent="0.3">
      <c r="A6935" t="s">
        <v>7293</v>
      </c>
      <c r="B6935">
        <f t="shared" si="1268"/>
        <v>12</v>
      </c>
    </row>
    <row r="6936" spans="1:2" ht="15" customHeight="1" x14ac:dyDescent="0.3">
      <c r="A6936" t="s">
        <v>7406</v>
      </c>
      <c r="B6936">
        <f t="shared" si="1268"/>
        <v>12</v>
      </c>
    </row>
    <row r="6937" spans="1:2" ht="15" customHeight="1" x14ac:dyDescent="0.3">
      <c r="A6937" t="s">
        <v>7407</v>
      </c>
      <c r="B6937">
        <f t="shared" si="1268"/>
        <v>12</v>
      </c>
    </row>
    <row r="6938" spans="1:2" ht="15" customHeight="1" x14ac:dyDescent="0.3">
      <c r="A6938" t="s">
        <v>7408</v>
      </c>
      <c r="B6938">
        <f t="shared" ref="B6938:B6969" si="1269">B6664</f>
        <v>15</v>
      </c>
    </row>
    <row r="6939" spans="1:2" ht="15" customHeight="1" x14ac:dyDescent="0.3">
      <c r="A6939" t="s">
        <v>7409</v>
      </c>
      <c r="B6939">
        <f t="shared" si="1269"/>
        <v>15</v>
      </c>
    </row>
    <row r="6940" spans="1:2" ht="15" customHeight="1" x14ac:dyDescent="0.3">
      <c r="A6940" t="s">
        <v>7410</v>
      </c>
      <c r="B6940">
        <f t="shared" si="1269"/>
        <v>15</v>
      </c>
    </row>
    <row r="6941" spans="1:2" ht="15" customHeight="1" x14ac:dyDescent="0.3">
      <c r="A6941" t="s">
        <v>7411</v>
      </c>
      <c r="B6941">
        <f t="shared" si="1269"/>
        <v>15</v>
      </c>
    </row>
    <row r="6942" spans="1:2" ht="15" customHeight="1" x14ac:dyDescent="0.3">
      <c r="A6942" t="s">
        <v>7412</v>
      </c>
      <c r="B6942">
        <f t="shared" si="1269"/>
        <v>12</v>
      </c>
    </row>
    <row r="6943" spans="1:2" ht="15" customHeight="1" x14ac:dyDescent="0.3">
      <c r="A6943" t="s">
        <v>7413</v>
      </c>
      <c r="B6943">
        <f t="shared" si="1269"/>
        <v>15</v>
      </c>
    </row>
    <row r="6944" spans="1:2" ht="15" customHeight="1" x14ac:dyDescent="0.3">
      <c r="A6944" t="s">
        <v>7414</v>
      </c>
      <c r="B6944">
        <f t="shared" si="1269"/>
        <v>10</v>
      </c>
    </row>
    <row r="6945" spans="1:2" ht="15" customHeight="1" x14ac:dyDescent="0.3">
      <c r="A6945" t="s">
        <v>7415</v>
      </c>
      <c r="B6945">
        <f t="shared" si="1269"/>
        <v>12</v>
      </c>
    </row>
    <row r="6946" spans="1:2" ht="15" customHeight="1" x14ac:dyDescent="0.3">
      <c r="A6946" t="s">
        <v>7416</v>
      </c>
      <c r="B6946">
        <f t="shared" si="1269"/>
        <v>12</v>
      </c>
    </row>
    <row r="6947" spans="1:2" ht="15" customHeight="1" x14ac:dyDescent="0.3">
      <c r="A6947" t="s">
        <v>7417</v>
      </c>
      <c r="B6947">
        <f t="shared" si="1269"/>
        <v>12</v>
      </c>
    </row>
    <row r="6948" spans="1:2" ht="15" customHeight="1" x14ac:dyDescent="0.3">
      <c r="A6948" t="s">
        <v>7418</v>
      </c>
      <c r="B6948">
        <f t="shared" si="1269"/>
        <v>12</v>
      </c>
    </row>
    <row r="6949" spans="1:2" ht="15" customHeight="1" x14ac:dyDescent="0.3">
      <c r="A6949" t="s">
        <v>7419</v>
      </c>
      <c r="B6949">
        <f t="shared" si="1269"/>
        <v>12</v>
      </c>
    </row>
    <row r="6950" spans="1:2" ht="15" customHeight="1" x14ac:dyDescent="0.3">
      <c r="A6950" t="s">
        <v>7420</v>
      </c>
      <c r="B6950">
        <f t="shared" si="1269"/>
        <v>12</v>
      </c>
    </row>
    <row r="6951" spans="1:2" ht="15" customHeight="1" x14ac:dyDescent="0.3">
      <c r="A6951" t="s">
        <v>7421</v>
      </c>
      <c r="B6951">
        <f t="shared" si="1269"/>
        <v>12</v>
      </c>
    </row>
    <row r="6952" spans="1:2" ht="15" customHeight="1" x14ac:dyDescent="0.3">
      <c r="A6952" t="s">
        <v>7422</v>
      </c>
      <c r="B6952">
        <f t="shared" si="1269"/>
        <v>15</v>
      </c>
    </row>
    <row r="6953" spans="1:2" ht="15" customHeight="1" x14ac:dyDescent="0.3">
      <c r="A6953" t="s">
        <v>7423</v>
      </c>
      <c r="B6953">
        <f t="shared" si="1269"/>
        <v>15</v>
      </c>
    </row>
    <row r="6954" spans="1:2" ht="15" customHeight="1" x14ac:dyDescent="0.3">
      <c r="A6954" t="s">
        <v>7424</v>
      </c>
      <c r="B6954">
        <f t="shared" si="1269"/>
        <v>12</v>
      </c>
    </row>
    <row r="6955" spans="1:2" ht="15" customHeight="1" x14ac:dyDescent="0.3">
      <c r="A6955" t="s">
        <v>7425</v>
      </c>
      <c r="B6955">
        <f t="shared" si="1269"/>
        <v>12</v>
      </c>
    </row>
    <row r="6956" spans="1:2" ht="15" customHeight="1" x14ac:dyDescent="0.3">
      <c r="A6956" t="s">
        <v>7426</v>
      </c>
      <c r="B6956">
        <f t="shared" si="1269"/>
        <v>12</v>
      </c>
    </row>
    <row r="6957" spans="1:2" ht="15" customHeight="1" x14ac:dyDescent="0.3">
      <c r="A6957" t="s">
        <v>7427</v>
      </c>
      <c r="B6957">
        <f t="shared" si="1269"/>
        <v>12</v>
      </c>
    </row>
    <row r="6958" spans="1:2" ht="15" customHeight="1" x14ac:dyDescent="0.3">
      <c r="A6958" t="s">
        <v>7428</v>
      </c>
      <c r="B6958">
        <f t="shared" si="1269"/>
        <v>12</v>
      </c>
    </row>
    <row r="6959" spans="1:2" ht="15" customHeight="1" x14ac:dyDescent="0.3">
      <c r="A6959" t="s">
        <v>7430</v>
      </c>
      <c r="B6959">
        <f t="shared" si="1269"/>
        <v>12</v>
      </c>
    </row>
    <row r="6960" spans="1:2" ht="15" customHeight="1" x14ac:dyDescent="0.3">
      <c r="A6960" t="s">
        <v>7431</v>
      </c>
      <c r="B6960">
        <f t="shared" si="1269"/>
        <v>12</v>
      </c>
    </row>
    <row r="6961" spans="1:2" ht="15" customHeight="1" x14ac:dyDescent="0.3">
      <c r="A6961" t="s">
        <v>7432</v>
      </c>
      <c r="B6961">
        <f t="shared" si="1269"/>
        <v>12</v>
      </c>
    </row>
    <row r="6962" spans="1:2" ht="15" customHeight="1" x14ac:dyDescent="0.3">
      <c r="A6962" t="s">
        <v>7433</v>
      </c>
      <c r="B6962">
        <f t="shared" si="1269"/>
        <v>12</v>
      </c>
    </row>
    <row r="6963" spans="1:2" ht="15" customHeight="1" x14ac:dyDescent="0.3">
      <c r="A6963" t="s">
        <v>7434</v>
      </c>
      <c r="B6963">
        <f t="shared" si="1269"/>
        <v>12</v>
      </c>
    </row>
    <row r="6964" spans="1:2" ht="15" customHeight="1" x14ac:dyDescent="0.3">
      <c r="A6964" t="s">
        <v>7435</v>
      </c>
      <c r="B6964">
        <f t="shared" si="1269"/>
        <v>12</v>
      </c>
    </row>
    <row r="6965" spans="1:2" ht="15" customHeight="1" x14ac:dyDescent="0.3">
      <c r="A6965" t="s">
        <v>7436</v>
      </c>
      <c r="B6965">
        <f t="shared" si="1269"/>
        <v>12</v>
      </c>
    </row>
    <row r="6966" spans="1:2" ht="15" customHeight="1" x14ac:dyDescent="0.3">
      <c r="A6966" t="s">
        <v>7437</v>
      </c>
      <c r="B6966">
        <f t="shared" si="1269"/>
        <v>12</v>
      </c>
    </row>
    <row r="6967" spans="1:2" ht="15" customHeight="1" x14ac:dyDescent="0.3">
      <c r="A6967" t="s">
        <v>7438</v>
      </c>
      <c r="B6967">
        <f t="shared" si="1269"/>
        <v>12</v>
      </c>
    </row>
    <row r="6968" spans="1:2" ht="15" customHeight="1" x14ac:dyDescent="0.3">
      <c r="A6968" t="s">
        <v>7439</v>
      </c>
      <c r="B6968">
        <f t="shared" si="1269"/>
        <v>12</v>
      </c>
    </row>
    <row r="6969" spans="1:2" ht="15" customHeight="1" x14ac:dyDescent="0.3">
      <c r="A6969" t="s">
        <v>7440</v>
      </c>
      <c r="B6969">
        <f t="shared" si="1269"/>
        <v>12</v>
      </c>
    </row>
    <row r="6970" spans="1:2" ht="15" customHeight="1" x14ac:dyDescent="0.3">
      <c r="A6970" t="s">
        <v>7441</v>
      </c>
      <c r="B6970">
        <f t="shared" ref="B6970:B6978" si="1270">B6696</f>
        <v>12</v>
      </c>
    </row>
    <row r="6971" spans="1:2" ht="15" customHeight="1" x14ac:dyDescent="0.3">
      <c r="A6971" t="s">
        <v>7442</v>
      </c>
      <c r="B6971">
        <f t="shared" si="1270"/>
        <v>12</v>
      </c>
    </row>
    <row r="6972" spans="1:2" ht="15" customHeight="1" x14ac:dyDescent="0.3">
      <c r="A6972" t="s">
        <v>7443</v>
      </c>
      <c r="B6972">
        <f t="shared" si="1270"/>
        <v>12</v>
      </c>
    </row>
    <row r="6973" spans="1:2" ht="15" customHeight="1" x14ac:dyDescent="0.3">
      <c r="A6973" t="s">
        <v>7444</v>
      </c>
      <c r="B6973">
        <f t="shared" si="1270"/>
        <v>12</v>
      </c>
    </row>
    <row r="6974" spans="1:2" ht="15" customHeight="1" x14ac:dyDescent="0.3">
      <c r="A6974" t="s">
        <v>7445</v>
      </c>
      <c r="B6974">
        <f t="shared" si="1270"/>
        <v>12</v>
      </c>
    </row>
    <row r="6975" spans="1:2" ht="15" customHeight="1" x14ac:dyDescent="0.3">
      <c r="A6975" t="s">
        <v>7446</v>
      </c>
      <c r="B6975">
        <f t="shared" si="1270"/>
        <v>12</v>
      </c>
    </row>
    <row r="6976" spans="1:2" ht="15" customHeight="1" x14ac:dyDescent="0.3">
      <c r="A6976" t="s">
        <v>7447</v>
      </c>
      <c r="B6976">
        <f t="shared" si="1270"/>
        <v>12</v>
      </c>
    </row>
    <row r="6977" spans="1:2" ht="15" customHeight="1" x14ac:dyDescent="0.3">
      <c r="A6977" t="s">
        <v>7448</v>
      </c>
      <c r="B6977">
        <f t="shared" si="1270"/>
        <v>10</v>
      </c>
    </row>
    <row r="6978" spans="1:2" ht="15" customHeight="1" x14ac:dyDescent="0.3">
      <c r="A6978" t="s">
        <v>7449</v>
      </c>
      <c r="B6978">
        <f t="shared" si="1270"/>
        <v>10</v>
      </c>
    </row>
    <row r="6979" spans="1:2" ht="15" customHeight="1" x14ac:dyDescent="0.3">
      <c r="A6979" t="s">
        <v>7060</v>
      </c>
      <c r="B6979">
        <f>B6558</f>
        <v>15</v>
      </c>
    </row>
    <row r="6980" spans="1:2" ht="15" customHeight="1" x14ac:dyDescent="0.3">
      <c r="A6980" t="s">
        <v>6952</v>
      </c>
      <c r="B6980">
        <f t="shared" ref="B6980:B7011" si="1271">B6570</f>
        <v>12</v>
      </c>
    </row>
    <row r="6981" spans="1:2" ht="15" customHeight="1" x14ac:dyDescent="0.3">
      <c r="A6981" t="s">
        <v>6953</v>
      </c>
      <c r="B6981">
        <f t="shared" si="1271"/>
        <v>15</v>
      </c>
    </row>
    <row r="6982" spans="1:2" ht="15" customHeight="1" x14ac:dyDescent="0.3">
      <c r="A6982" t="s">
        <v>6954</v>
      </c>
      <c r="B6982">
        <f t="shared" si="1271"/>
        <v>15</v>
      </c>
    </row>
    <row r="6983" spans="1:2" ht="15" customHeight="1" x14ac:dyDescent="0.3">
      <c r="A6983" t="s">
        <v>6955</v>
      </c>
      <c r="B6983">
        <f t="shared" si="1271"/>
        <v>15</v>
      </c>
    </row>
    <row r="6984" spans="1:2" ht="15" customHeight="1" x14ac:dyDescent="0.3">
      <c r="A6984" t="s">
        <v>6956</v>
      </c>
      <c r="B6984">
        <f t="shared" si="1271"/>
        <v>15</v>
      </c>
    </row>
    <row r="6985" spans="1:2" ht="15" customHeight="1" x14ac:dyDescent="0.3">
      <c r="A6985" t="s">
        <v>6957</v>
      </c>
      <c r="B6985">
        <f t="shared" si="1271"/>
        <v>15</v>
      </c>
    </row>
    <row r="6986" spans="1:2" ht="15" customHeight="1" x14ac:dyDescent="0.3">
      <c r="A6986" t="s">
        <v>6958</v>
      </c>
      <c r="B6986">
        <f t="shared" si="1271"/>
        <v>15</v>
      </c>
    </row>
    <row r="6987" spans="1:2" ht="15" customHeight="1" x14ac:dyDescent="0.3">
      <c r="A6987" t="s">
        <v>6959</v>
      </c>
      <c r="B6987">
        <f t="shared" si="1271"/>
        <v>15</v>
      </c>
    </row>
    <row r="6988" spans="1:2" ht="15" customHeight="1" x14ac:dyDescent="0.3">
      <c r="A6988" t="s">
        <v>6960</v>
      </c>
      <c r="B6988">
        <f t="shared" si="1271"/>
        <v>15</v>
      </c>
    </row>
    <row r="6989" spans="1:2" ht="15" customHeight="1" x14ac:dyDescent="0.3">
      <c r="A6989" t="s">
        <v>6961</v>
      </c>
      <c r="B6989">
        <f t="shared" si="1271"/>
        <v>15</v>
      </c>
    </row>
    <row r="6990" spans="1:2" ht="15" customHeight="1" x14ac:dyDescent="0.3">
      <c r="A6990" t="s">
        <v>7062</v>
      </c>
      <c r="B6990">
        <f t="shared" si="1271"/>
        <v>12</v>
      </c>
    </row>
    <row r="6991" spans="1:2" ht="15" customHeight="1" x14ac:dyDescent="0.3">
      <c r="A6991" t="s">
        <v>6962</v>
      </c>
      <c r="B6991">
        <f t="shared" si="1271"/>
        <v>12</v>
      </c>
    </row>
    <row r="6992" spans="1:2" ht="15" customHeight="1" x14ac:dyDescent="0.3">
      <c r="A6992" t="s">
        <v>6963</v>
      </c>
      <c r="B6992">
        <f t="shared" si="1271"/>
        <v>15</v>
      </c>
    </row>
    <row r="6993" spans="1:2" ht="15" customHeight="1" x14ac:dyDescent="0.3">
      <c r="A6993" t="s">
        <v>6964</v>
      </c>
      <c r="B6993">
        <f t="shared" si="1271"/>
        <v>15</v>
      </c>
    </row>
    <row r="6994" spans="1:2" ht="15" customHeight="1" x14ac:dyDescent="0.3">
      <c r="A6994" t="s">
        <v>6965</v>
      </c>
      <c r="B6994">
        <f t="shared" si="1271"/>
        <v>15</v>
      </c>
    </row>
    <row r="6995" spans="1:2" ht="15" customHeight="1" x14ac:dyDescent="0.3">
      <c r="A6995" t="s">
        <v>6966</v>
      </c>
      <c r="B6995">
        <f t="shared" si="1271"/>
        <v>12</v>
      </c>
    </row>
    <row r="6996" spans="1:2" ht="15" customHeight="1" x14ac:dyDescent="0.3">
      <c r="A6996" t="s">
        <v>6967</v>
      </c>
      <c r="B6996">
        <f t="shared" si="1271"/>
        <v>12</v>
      </c>
    </row>
    <row r="6997" spans="1:2" ht="15" customHeight="1" x14ac:dyDescent="0.3">
      <c r="A6997" t="s">
        <v>6968</v>
      </c>
      <c r="B6997">
        <f t="shared" si="1271"/>
        <v>12</v>
      </c>
    </row>
    <row r="6998" spans="1:2" ht="15" customHeight="1" x14ac:dyDescent="0.3">
      <c r="A6998" t="s">
        <v>6969</v>
      </c>
      <c r="B6998">
        <f t="shared" si="1271"/>
        <v>12</v>
      </c>
    </row>
    <row r="6999" spans="1:2" ht="15" customHeight="1" x14ac:dyDescent="0.3">
      <c r="A6999" t="s">
        <v>6970</v>
      </c>
      <c r="B6999">
        <f t="shared" si="1271"/>
        <v>12</v>
      </c>
    </row>
    <row r="7000" spans="1:2" ht="15" customHeight="1" x14ac:dyDescent="0.3">
      <c r="A7000" t="s">
        <v>6971</v>
      </c>
      <c r="B7000">
        <f t="shared" si="1271"/>
        <v>15</v>
      </c>
    </row>
    <row r="7001" spans="1:2" ht="15" customHeight="1" x14ac:dyDescent="0.3">
      <c r="A7001" t="s">
        <v>6972</v>
      </c>
      <c r="B7001">
        <f t="shared" si="1271"/>
        <v>15</v>
      </c>
    </row>
    <row r="7002" spans="1:2" ht="15" customHeight="1" x14ac:dyDescent="0.3">
      <c r="A7002" t="s">
        <v>6973</v>
      </c>
      <c r="B7002">
        <f t="shared" si="1271"/>
        <v>15</v>
      </c>
    </row>
    <row r="7003" spans="1:2" ht="15" customHeight="1" x14ac:dyDescent="0.3">
      <c r="A7003" t="s">
        <v>6974</v>
      </c>
      <c r="B7003">
        <f t="shared" si="1271"/>
        <v>12</v>
      </c>
    </row>
    <row r="7004" spans="1:2" ht="15" customHeight="1" x14ac:dyDescent="0.3">
      <c r="A7004" t="s">
        <v>6975</v>
      </c>
      <c r="B7004">
        <f t="shared" si="1271"/>
        <v>10</v>
      </c>
    </row>
    <row r="7005" spans="1:2" ht="15" customHeight="1" x14ac:dyDescent="0.3">
      <c r="A7005" t="s">
        <v>6976</v>
      </c>
      <c r="B7005">
        <f t="shared" si="1271"/>
        <v>10</v>
      </c>
    </row>
    <row r="7006" spans="1:2" ht="15" customHeight="1" x14ac:dyDescent="0.3">
      <c r="A7006" t="s">
        <v>6977</v>
      </c>
      <c r="B7006">
        <f t="shared" si="1271"/>
        <v>12</v>
      </c>
    </row>
    <row r="7007" spans="1:2" ht="15" customHeight="1" x14ac:dyDescent="0.3">
      <c r="A7007" t="s">
        <v>6978</v>
      </c>
      <c r="B7007">
        <f t="shared" si="1271"/>
        <v>15</v>
      </c>
    </row>
    <row r="7008" spans="1:2" ht="15" customHeight="1" x14ac:dyDescent="0.3">
      <c r="A7008" t="s">
        <v>6979</v>
      </c>
      <c r="B7008">
        <f t="shared" si="1271"/>
        <v>15</v>
      </c>
    </row>
    <row r="7009" spans="1:2" ht="15" customHeight="1" x14ac:dyDescent="0.3">
      <c r="A7009" t="s">
        <v>6980</v>
      </c>
      <c r="B7009">
        <f t="shared" si="1271"/>
        <v>15</v>
      </c>
    </row>
    <row r="7010" spans="1:2" ht="15" customHeight="1" x14ac:dyDescent="0.3">
      <c r="A7010" t="s">
        <v>6981</v>
      </c>
      <c r="B7010">
        <f t="shared" si="1271"/>
        <v>15</v>
      </c>
    </row>
    <row r="7011" spans="1:2" ht="15" customHeight="1" x14ac:dyDescent="0.3">
      <c r="A7011" t="s">
        <v>6982</v>
      </c>
      <c r="B7011">
        <f t="shared" si="1271"/>
        <v>15</v>
      </c>
    </row>
    <row r="7012" spans="1:2" ht="15" customHeight="1" x14ac:dyDescent="0.3">
      <c r="A7012" t="s">
        <v>6983</v>
      </c>
      <c r="B7012">
        <f t="shared" ref="B7012:B7043" si="1272">B6602</f>
        <v>15</v>
      </c>
    </row>
    <row r="7013" spans="1:2" ht="15" customHeight="1" x14ac:dyDescent="0.3">
      <c r="A7013" t="s">
        <v>6984</v>
      </c>
      <c r="B7013">
        <f t="shared" si="1272"/>
        <v>10</v>
      </c>
    </row>
    <row r="7014" spans="1:2" ht="15" customHeight="1" x14ac:dyDescent="0.3">
      <c r="A7014" t="s">
        <v>6985</v>
      </c>
      <c r="B7014">
        <f t="shared" si="1272"/>
        <v>10</v>
      </c>
    </row>
    <row r="7015" spans="1:2" ht="15" customHeight="1" x14ac:dyDescent="0.3">
      <c r="A7015" t="s">
        <v>6986</v>
      </c>
      <c r="B7015">
        <f t="shared" si="1272"/>
        <v>10</v>
      </c>
    </row>
    <row r="7016" spans="1:2" ht="15" customHeight="1" x14ac:dyDescent="0.3">
      <c r="A7016" t="s">
        <v>6987</v>
      </c>
      <c r="B7016">
        <f t="shared" si="1272"/>
        <v>15</v>
      </c>
    </row>
    <row r="7017" spans="1:2" ht="15" customHeight="1" x14ac:dyDescent="0.3">
      <c r="A7017" t="s">
        <v>6988</v>
      </c>
      <c r="B7017">
        <f t="shared" si="1272"/>
        <v>12</v>
      </c>
    </row>
    <row r="7018" spans="1:2" ht="15" customHeight="1" x14ac:dyDescent="0.3">
      <c r="A7018" t="s">
        <v>6989</v>
      </c>
      <c r="B7018">
        <f t="shared" si="1272"/>
        <v>12</v>
      </c>
    </row>
    <row r="7019" spans="1:2" ht="15" customHeight="1" x14ac:dyDescent="0.3">
      <c r="A7019" t="s">
        <v>6990</v>
      </c>
      <c r="B7019">
        <f t="shared" si="1272"/>
        <v>12</v>
      </c>
    </row>
    <row r="7020" spans="1:2" ht="15" customHeight="1" x14ac:dyDescent="0.3">
      <c r="A7020" t="s">
        <v>6991</v>
      </c>
      <c r="B7020">
        <f t="shared" si="1272"/>
        <v>15</v>
      </c>
    </row>
    <row r="7021" spans="1:2" ht="15" customHeight="1" x14ac:dyDescent="0.3">
      <c r="A7021" t="s">
        <v>6992</v>
      </c>
      <c r="B7021">
        <f t="shared" si="1272"/>
        <v>15</v>
      </c>
    </row>
    <row r="7022" spans="1:2" ht="15" customHeight="1" x14ac:dyDescent="0.3">
      <c r="A7022" t="s">
        <v>6993</v>
      </c>
      <c r="B7022">
        <f t="shared" si="1272"/>
        <v>15</v>
      </c>
    </row>
    <row r="7023" spans="1:2" ht="15" customHeight="1" x14ac:dyDescent="0.3">
      <c r="A7023" t="s">
        <v>6994</v>
      </c>
      <c r="B7023">
        <f t="shared" si="1272"/>
        <v>15</v>
      </c>
    </row>
    <row r="7024" spans="1:2" ht="15" customHeight="1" x14ac:dyDescent="0.3">
      <c r="A7024" t="s">
        <v>6995</v>
      </c>
      <c r="B7024">
        <f t="shared" si="1272"/>
        <v>15</v>
      </c>
    </row>
    <row r="7025" spans="1:2" ht="15" customHeight="1" x14ac:dyDescent="0.3">
      <c r="A7025" t="s">
        <v>6996</v>
      </c>
      <c r="B7025">
        <f t="shared" si="1272"/>
        <v>15</v>
      </c>
    </row>
    <row r="7026" spans="1:2" ht="15" customHeight="1" x14ac:dyDescent="0.3">
      <c r="A7026" t="s">
        <v>6997</v>
      </c>
      <c r="B7026">
        <f t="shared" si="1272"/>
        <v>15</v>
      </c>
    </row>
    <row r="7027" spans="1:2" ht="15" customHeight="1" x14ac:dyDescent="0.3">
      <c r="A7027" t="s">
        <v>6998</v>
      </c>
      <c r="B7027">
        <f t="shared" si="1272"/>
        <v>15</v>
      </c>
    </row>
    <row r="7028" spans="1:2" ht="15" customHeight="1" x14ac:dyDescent="0.3">
      <c r="A7028" t="s">
        <v>6999</v>
      </c>
      <c r="B7028">
        <f t="shared" si="1272"/>
        <v>0</v>
      </c>
    </row>
    <row r="7029" spans="1:2" ht="15" customHeight="1" x14ac:dyDescent="0.3">
      <c r="A7029" t="s">
        <v>7000</v>
      </c>
      <c r="B7029">
        <f t="shared" si="1272"/>
        <v>15</v>
      </c>
    </row>
    <row r="7030" spans="1:2" ht="15" customHeight="1" x14ac:dyDescent="0.3">
      <c r="A7030" t="s">
        <v>7001</v>
      </c>
      <c r="B7030">
        <f t="shared" si="1272"/>
        <v>15</v>
      </c>
    </row>
    <row r="7031" spans="1:2" ht="15" customHeight="1" x14ac:dyDescent="0.3">
      <c r="A7031" t="s">
        <v>7002</v>
      </c>
      <c r="B7031">
        <f t="shared" si="1272"/>
        <v>15</v>
      </c>
    </row>
    <row r="7032" spans="1:2" ht="15" customHeight="1" x14ac:dyDescent="0.3">
      <c r="A7032" t="s">
        <v>7003</v>
      </c>
      <c r="B7032">
        <f t="shared" si="1272"/>
        <v>15</v>
      </c>
    </row>
    <row r="7033" spans="1:2" ht="15" customHeight="1" x14ac:dyDescent="0.3">
      <c r="A7033" t="s">
        <v>7004</v>
      </c>
      <c r="B7033">
        <f t="shared" si="1272"/>
        <v>12</v>
      </c>
    </row>
    <row r="7034" spans="1:2" ht="15" customHeight="1" x14ac:dyDescent="0.3">
      <c r="A7034" t="s">
        <v>7005</v>
      </c>
      <c r="B7034">
        <f t="shared" si="1272"/>
        <v>12</v>
      </c>
    </row>
    <row r="7035" spans="1:2" ht="15" customHeight="1" x14ac:dyDescent="0.3">
      <c r="A7035" t="s">
        <v>7006</v>
      </c>
      <c r="B7035">
        <f t="shared" si="1272"/>
        <v>15</v>
      </c>
    </row>
    <row r="7036" spans="1:2" ht="15" customHeight="1" x14ac:dyDescent="0.3">
      <c r="A7036" t="s">
        <v>7007</v>
      </c>
      <c r="B7036">
        <f t="shared" si="1272"/>
        <v>15</v>
      </c>
    </row>
    <row r="7037" spans="1:2" ht="15" customHeight="1" x14ac:dyDescent="0.3">
      <c r="A7037" t="s">
        <v>7008</v>
      </c>
      <c r="B7037">
        <f t="shared" si="1272"/>
        <v>15</v>
      </c>
    </row>
    <row r="7038" spans="1:2" ht="15" customHeight="1" x14ac:dyDescent="0.3">
      <c r="A7038" t="s">
        <v>7009</v>
      </c>
      <c r="B7038">
        <f t="shared" si="1272"/>
        <v>15</v>
      </c>
    </row>
    <row r="7039" spans="1:2" ht="15" customHeight="1" x14ac:dyDescent="0.3">
      <c r="A7039" t="s">
        <v>7010</v>
      </c>
      <c r="B7039">
        <f t="shared" si="1272"/>
        <v>12</v>
      </c>
    </row>
    <row r="7040" spans="1:2" ht="15" customHeight="1" x14ac:dyDescent="0.3">
      <c r="A7040" t="s">
        <v>7011</v>
      </c>
      <c r="B7040">
        <f t="shared" si="1272"/>
        <v>15</v>
      </c>
    </row>
    <row r="7041" spans="1:2" ht="15" customHeight="1" x14ac:dyDescent="0.3">
      <c r="A7041" t="s">
        <v>7012</v>
      </c>
      <c r="B7041">
        <f t="shared" si="1272"/>
        <v>12</v>
      </c>
    </row>
    <row r="7042" spans="1:2" ht="15" customHeight="1" x14ac:dyDescent="0.3">
      <c r="A7042" t="s">
        <v>7013</v>
      </c>
      <c r="B7042">
        <f t="shared" si="1272"/>
        <v>12</v>
      </c>
    </row>
    <row r="7043" spans="1:2" ht="15" customHeight="1" x14ac:dyDescent="0.3">
      <c r="A7043" t="s">
        <v>7014</v>
      </c>
      <c r="B7043">
        <f t="shared" si="1272"/>
        <v>15</v>
      </c>
    </row>
    <row r="7044" spans="1:2" ht="15" customHeight="1" x14ac:dyDescent="0.3">
      <c r="A7044" t="s">
        <v>7015</v>
      </c>
      <c r="B7044">
        <f t="shared" ref="B7044:B7045" si="1273">B6634</f>
        <v>15</v>
      </c>
    </row>
    <row r="7045" spans="1:2" ht="15" customHeight="1" x14ac:dyDescent="0.3">
      <c r="A7045" t="s">
        <v>7016</v>
      </c>
      <c r="B7045">
        <f t="shared" si="1273"/>
        <v>15</v>
      </c>
    </row>
    <row r="7046" spans="1:2" ht="15" customHeight="1" x14ac:dyDescent="0.3">
      <c r="A7046" t="s">
        <v>7017</v>
      </c>
      <c r="B7046">
        <f t="shared" ref="B7046:B7088" si="1274">B6662</f>
        <v>12</v>
      </c>
    </row>
    <row r="7047" spans="1:2" ht="15" customHeight="1" x14ac:dyDescent="0.3">
      <c r="A7047" t="s">
        <v>7018</v>
      </c>
      <c r="B7047">
        <f t="shared" si="1274"/>
        <v>12</v>
      </c>
    </row>
    <row r="7048" spans="1:2" ht="15" customHeight="1" x14ac:dyDescent="0.3">
      <c r="A7048" t="s">
        <v>7019</v>
      </c>
      <c r="B7048">
        <f t="shared" si="1274"/>
        <v>15</v>
      </c>
    </row>
    <row r="7049" spans="1:2" ht="15" customHeight="1" x14ac:dyDescent="0.3">
      <c r="A7049" t="s">
        <v>7020</v>
      </c>
      <c r="B7049">
        <f t="shared" si="1274"/>
        <v>15</v>
      </c>
    </row>
    <row r="7050" spans="1:2" ht="15" customHeight="1" x14ac:dyDescent="0.3">
      <c r="A7050" t="s">
        <v>7021</v>
      </c>
      <c r="B7050">
        <f t="shared" si="1274"/>
        <v>15</v>
      </c>
    </row>
    <row r="7051" spans="1:2" ht="15" customHeight="1" x14ac:dyDescent="0.3">
      <c r="A7051" t="s">
        <v>7022</v>
      </c>
      <c r="B7051">
        <f t="shared" si="1274"/>
        <v>15</v>
      </c>
    </row>
    <row r="7052" spans="1:2" ht="15" customHeight="1" x14ac:dyDescent="0.3">
      <c r="A7052" t="s">
        <v>7023</v>
      </c>
      <c r="B7052">
        <f t="shared" si="1274"/>
        <v>12</v>
      </c>
    </row>
    <row r="7053" spans="1:2" ht="15" customHeight="1" x14ac:dyDescent="0.3">
      <c r="A7053" t="s">
        <v>7024</v>
      </c>
      <c r="B7053">
        <f t="shared" si="1274"/>
        <v>15</v>
      </c>
    </row>
    <row r="7054" spans="1:2" ht="15" customHeight="1" x14ac:dyDescent="0.3">
      <c r="A7054" t="s">
        <v>7025</v>
      </c>
      <c r="B7054">
        <f t="shared" si="1274"/>
        <v>10</v>
      </c>
    </row>
    <row r="7055" spans="1:2" ht="15" customHeight="1" x14ac:dyDescent="0.3">
      <c r="A7055" t="s">
        <v>7026</v>
      </c>
      <c r="B7055">
        <f t="shared" si="1274"/>
        <v>12</v>
      </c>
    </row>
    <row r="7056" spans="1:2" ht="15" customHeight="1" x14ac:dyDescent="0.3">
      <c r="A7056" t="s">
        <v>7027</v>
      </c>
      <c r="B7056">
        <f t="shared" si="1274"/>
        <v>12</v>
      </c>
    </row>
    <row r="7057" spans="1:2" ht="15" customHeight="1" x14ac:dyDescent="0.3">
      <c r="A7057" t="s">
        <v>7028</v>
      </c>
      <c r="B7057">
        <f t="shared" si="1274"/>
        <v>12</v>
      </c>
    </row>
    <row r="7058" spans="1:2" ht="15" customHeight="1" x14ac:dyDescent="0.3">
      <c r="A7058" t="s">
        <v>7029</v>
      </c>
      <c r="B7058">
        <f t="shared" si="1274"/>
        <v>12</v>
      </c>
    </row>
    <row r="7059" spans="1:2" ht="15" customHeight="1" x14ac:dyDescent="0.3">
      <c r="A7059" t="s">
        <v>7030</v>
      </c>
      <c r="B7059">
        <f t="shared" si="1274"/>
        <v>12</v>
      </c>
    </row>
    <row r="7060" spans="1:2" ht="15" customHeight="1" x14ac:dyDescent="0.3">
      <c r="A7060" t="s">
        <v>7031</v>
      </c>
      <c r="B7060">
        <f t="shared" si="1274"/>
        <v>12</v>
      </c>
    </row>
    <row r="7061" spans="1:2" ht="15" customHeight="1" x14ac:dyDescent="0.3">
      <c r="A7061" t="s">
        <v>7032</v>
      </c>
      <c r="B7061">
        <f t="shared" si="1274"/>
        <v>12</v>
      </c>
    </row>
    <row r="7062" spans="1:2" ht="15" customHeight="1" x14ac:dyDescent="0.3">
      <c r="A7062" t="s">
        <v>7033</v>
      </c>
      <c r="B7062">
        <f t="shared" si="1274"/>
        <v>15</v>
      </c>
    </row>
    <row r="7063" spans="1:2" ht="15" customHeight="1" x14ac:dyDescent="0.3">
      <c r="A7063" t="s">
        <v>7034</v>
      </c>
      <c r="B7063">
        <f t="shared" si="1274"/>
        <v>15</v>
      </c>
    </row>
    <row r="7064" spans="1:2" ht="15" customHeight="1" x14ac:dyDescent="0.3">
      <c r="A7064" t="s">
        <v>7035</v>
      </c>
      <c r="B7064">
        <f t="shared" si="1274"/>
        <v>12</v>
      </c>
    </row>
    <row r="7065" spans="1:2" ht="15" customHeight="1" x14ac:dyDescent="0.3">
      <c r="A7065" t="s">
        <v>7036</v>
      </c>
      <c r="B7065">
        <f t="shared" si="1274"/>
        <v>12</v>
      </c>
    </row>
    <row r="7066" spans="1:2" ht="15" customHeight="1" x14ac:dyDescent="0.3">
      <c r="A7066" t="s">
        <v>7037</v>
      </c>
      <c r="B7066">
        <f t="shared" si="1274"/>
        <v>12</v>
      </c>
    </row>
    <row r="7067" spans="1:2" ht="15" customHeight="1" x14ac:dyDescent="0.3">
      <c r="A7067" t="s">
        <v>7038</v>
      </c>
      <c r="B7067">
        <f t="shared" si="1274"/>
        <v>12</v>
      </c>
    </row>
    <row r="7068" spans="1:2" ht="15" customHeight="1" x14ac:dyDescent="0.3">
      <c r="A7068" t="s">
        <v>7039</v>
      </c>
      <c r="B7068">
        <f t="shared" si="1274"/>
        <v>12</v>
      </c>
    </row>
    <row r="7069" spans="1:2" ht="15" customHeight="1" x14ac:dyDescent="0.3">
      <c r="A7069" t="s">
        <v>7040</v>
      </c>
      <c r="B7069">
        <f t="shared" si="1274"/>
        <v>12</v>
      </c>
    </row>
    <row r="7070" spans="1:2" ht="15" customHeight="1" x14ac:dyDescent="0.3">
      <c r="A7070" t="s">
        <v>7041</v>
      </c>
      <c r="B7070">
        <f t="shared" si="1274"/>
        <v>12</v>
      </c>
    </row>
    <row r="7071" spans="1:2" ht="15" customHeight="1" x14ac:dyDescent="0.3">
      <c r="A7071" t="s">
        <v>7042</v>
      </c>
      <c r="B7071">
        <f t="shared" si="1274"/>
        <v>12</v>
      </c>
    </row>
    <row r="7072" spans="1:2" ht="15" customHeight="1" x14ac:dyDescent="0.3">
      <c r="A7072" t="s">
        <v>7043</v>
      </c>
      <c r="B7072">
        <f t="shared" si="1274"/>
        <v>12</v>
      </c>
    </row>
    <row r="7073" spans="1:2" ht="15" customHeight="1" x14ac:dyDescent="0.3">
      <c r="A7073" t="s">
        <v>7044</v>
      </c>
      <c r="B7073">
        <f t="shared" si="1274"/>
        <v>12</v>
      </c>
    </row>
    <row r="7074" spans="1:2" ht="15" customHeight="1" x14ac:dyDescent="0.3">
      <c r="A7074" t="s">
        <v>7045</v>
      </c>
      <c r="B7074">
        <f t="shared" si="1274"/>
        <v>12</v>
      </c>
    </row>
    <row r="7075" spans="1:2" ht="15" customHeight="1" x14ac:dyDescent="0.3">
      <c r="A7075" t="s">
        <v>7046</v>
      </c>
      <c r="B7075">
        <f t="shared" si="1274"/>
        <v>12</v>
      </c>
    </row>
    <row r="7076" spans="1:2" ht="15" customHeight="1" x14ac:dyDescent="0.3">
      <c r="A7076" t="s">
        <v>7047</v>
      </c>
      <c r="B7076">
        <f t="shared" si="1274"/>
        <v>12</v>
      </c>
    </row>
    <row r="7077" spans="1:2" ht="15" customHeight="1" x14ac:dyDescent="0.3">
      <c r="A7077" t="s">
        <v>7048</v>
      </c>
      <c r="B7077">
        <f t="shared" si="1274"/>
        <v>12</v>
      </c>
    </row>
    <row r="7078" spans="1:2" ht="15" customHeight="1" x14ac:dyDescent="0.3">
      <c r="A7078" t="s">
        <v>7049</v>
      </c>
      <c r="B7078">
        <f t="shared" si="1274"/>
        <v>12</v>
      </c>
    </row>
    <row r="7079" spans="1:2" ht="15" customHeight="1" x14ac:dyDescent="0.3">
      <c r="A7079" t="s">
        <v>7050</v>
      </c>
      <c r="B7079">
        <f t="shared" si="1274"/>
        <v>12</v>
      </c>
    </row>
    <row r="7080" spans="1:2" ht="15" customHeight="1" x14ac:dyDescent="0.3">
      <c r="A7080" t="s">
        <v>7051</v>
      </c>
      <c r="B7080">
        <f t="shared" si="1274"/>
        <v>12</v>
      </c>
    </row>
    <row r="7081" spans="1:2" ht="15" customHeight="1" x14ac:dyDescent="0.3">
      <c r="A7081" t="s">
        <v>7052</v>
      </c>
      <c r="B7081">
        <f t="shared" si="1274"/>
        <v>12</v>
      </c>
    </row>
    <row r="7082" spans="1:2" ht="15" customHeight="1" x14ac:dyDescent="0.3">
      <c r="A7082" t="s">
        <v>7053</v>
      </c>
      <c r="B7082">
        <f t="shared" si="1274"/>
        <v>12</v>
      </c>
    </row>
    <row r="7083" spans="1:2" ht="15" customHeight="1" x14ac:dyDescent="0.3">
      <c r="A7083" t="s">
        <v>7054</v>
      </c>
      <c r="B7083">
        <f t="shared" si="1274"/>
        <v>12</v>
      </c>
    </row>
    <row r="7084" spans="1:2" ht="15" customHeight="1" x14ac:dyDescent="0.3">
      <c r="A7084" t="s">
        <v>7055</v>
      </c>
      <c r="B7084">
        <f t="shared" si="1274"/>
        <v>12</v>
      </c>
    </row>
    <row r="7085" spans="1:2" ht="15" customHeight="1" x14ac:dyDescent="0.3">
      <c r="A7085" t="s">
        <v>7056</v>
      </c>
      <c r="B7085">
        <f t="shared" si="1274"/>
        <v>12</v>
      </c>
    </row>
    <row r="7086" spans="1:2" ht="15" customHeight="1" x14ac:dyDescent="0.3">
      <c r="A7086" t="s">
        <v>7057</v>
      </c>
      <c r="B7086">
        <f t="shared" si="1274"/>
        <v>12</v>
      </c>
    </row>
    <row r="7087" spans="1:2" ht="15" customHeight="1" x14ac:dyDescent="0.3">
      <c r="A7087" t="s">
        <v>7058</v>
      </c>
      <c r="B7087">
        <f t="shared" si="1274"/>
        <v>10</v>
      </c>
    </row>
    <row r="7088" spans="1:2" ht="15" customHeight="1" x14ac:dyDescent="0.3">
      <c r="A7088" t="s">
        <v>7059</v>
      </c>
      <c r="B7088">
        <f t="shared" si="1274"/>
        <v>10</v>
      </c>
    </row>
    <row r="7089" spans="1:2" ht="15" customHeight="1" x14ac:dyDescent="0.3">
      <c r="A7089" t="s">
        <v>7063</v>
      </c>
      <c r="B7089">
        <f>B6558</f>
        <v>15</v>
      </c>
    </row>
    <row r="7090" spans="1:2" ht="15" customHeight="1" x14ac:dyDescent="0.3">
      <c r="A7090" t="s">
        <v>7070</v>
      </c>
      <c r="B7090">
        <f t="shared" ref="B7090:B7121" si="1275">B6569</f>
        <v>15</v>
      </c>
    </row>
    <row r="7091" spans="1:2" ht="15" customHeight="1" x14ac:dyDescent="0.3">
      <c r="A7091" t="s">
        <v>7071</v>
      </c>
      <c r="B7091">
        <f t="shared" si="1275"/>
        <v>12</v>
      </c>
    </row>
    <row r="7092" spans="1:2" ht="15" customHeight="1" x14ac:dyDescent="0.3">
      <c r="A7092" t="s">
        <v>7072</v>
      </c>
      <c r="B7092">
        <f t="shared" si="1275"/>
        <v>15</v>
      </c>
    </row>
    <row r="7093" spans="1:2" ht="15" customHeight="1" x14ac:dyDescent="0.3">
      <c r="A7093" t="s">
        <v>7073</v>
      </c>
      <c r="B7093">
        <f t="shared" si="1275"/>
        <v>15</v>
      </c>
    </row>
    <row r="7094" spans="1:2" ht="15" customHeight="1" x14ac:dyDescent="0.3">
      <c r="A7094" t="s">
        <v>7074</v>
      </c>
      <c r="B7094">
        <f t="shared" si="1275"/>
        <v>15</v>
      </c>
    </row>
    <row r="7095" spans="1:2" ht="15" customHeight="1" x14ac:dyDescent="0.3">
      <c r="A7095" t="s">
        <v>7075</v>
      </c>
      <c r="B7095">
        <f t="shared" si="1275"/>
        <v>15</v>
      </c>
    </row>
    <row r="7096" spans="1:2" ht="15" customHeight="1" x14ac:dyDescent="0.3">
      <c r="A7096" t="s">
        <v>7076</v>
      </c>
      <c r="B7096">
        <f t="shared" si="1275"/>
        <v>15</v>
      </c>
    </row>
    <row r="7097" spans="1:2" ht="15" customHeight="1" x14ac:dyDescent="0.3">
      <c r="A7097" t="s">
        <v>7077</v>
      </c>
      <c r="B7097">
        <f t="shared" si="1275"/>
        <v>15</v>
      </c>
    </row>
    <row r="7098" spans="1:2" ht="15" customHeight="1" x14ac:dyDescent="0.3">
      <c r="A7098" t="s">
        <v>7078</v>
      </c>
      <c r="B7098">
        <f t="shared" si="1275"/>
        <v>15</v>
      </c>
    </row>
    <row r="7099" spans="1:2" ht="15" customHeight="1" x14ac:dyDescent="0.3">
      <c r="A7099" t="s">
        <v>7079</v>
      </c>
      <c r="B7099">
        <f t="shared" si="1275"/>
        <v>15</v>
      </c>
    </row>
    <row r="7100" spans="1:2" ht="15" customHeight="1" x14ac:dyDescent="0.3">
      <c r="A7100" t="s">
        <v>7080</v>
      </c>
      <c r="B7100">
        <f t="shared" si="1275"/>
        <v>15</v>
      </c>
    </row>
    <row r="7101" spans="1:2" ht="15" customHeight="1" x14ac:dyDescent="0.3">
      <c r="A7101" t="s">
        <v>7081</v>
      </c>
      <c r="B7101">
        <f t="shared" si="1275"/>
        <v>12</v>
      </c>
    </row>
    <row r="7102" spans="1:2" ht="15" customHeight="1" x14ac:dyDescent="0.3">
      <c r="A7102" t="s">
        <v>7082</v>
      </c>
      <c r="B7102">
        <f t="shared" si="1275"/>
        <v>12</v>
      </c>
    </row>
    <row r="7103" spans="1:2" ht="15" customHeight="1" x14ac:dyDescent="0.3">
      <c r="A7103" t="s">
        <v>7083</v>
      </c>
      <c r="B7103">
        <f t="shared" si="1275"/>
        <v>15</v>
      </c>
    </row>
    <row r="7104" spans="1:2" ht="15" customHeight="1" x14ac:dyDescent="0.3">
      <c r="A7104" t="s">
        <v>7084</v>
      </c>
      <c r="B7104">
        <f t="shared" si="1275"/>
        <v>15</v>
      </c>
    </row>
    <row r="7105" spans="1:2" ht="15" customHeight="1" x14ac:dyDescent="0.3">
      <c r="A7105" t="s">
        <v>7085</v>
      </c>
      <c r="B7105">
        <f t="shared" si="1275"/>
        <v>15</v>
      </c>
    </row>
    <row r="7106" spans="1:2" ht="15" customHeight="1" x14ac:dyDescent="0.3">
      <c r="A7106" t="s">
        <v>7086</v>
      </c>
      <c r="B7106">
        <f t="shared" si="1275"/>
        <v>12</v>
      </c>
    </row>
    <row r="7107" spans="1:2" ht="15" customHeight="1" x14ac:dyDescent="0.3">
      <c r="A7107" t="s">
        <v>7087</v>
      </c>
      <c r="B7107">
        <f t="shared" si="1275"/>
        <v>12</v>
      </c>
    </row>
    <row r="7108" spans="1:2" ht="15" customHeight="1" x14ac:dyDescent="0.3">
      <c r="A7108" t="s">
        <v>7088</v>
      </c>
      <c r="B7108">
        <f t="shared" si="1275"/>
        <v>12</v>
      </c>
    </row>
    <row r="7109" spans="1:2" ht="15" customHeight="1" x14ac:dyDescent="0.3">
      <c r="A7109" t="s">
        <v>7089</v>
      </c>
      <c r="B7109">
        <f t="shared" si="1275"/>
        <v>12</v>
      </c>
    </row>
    <row r="7110" spans="1:2" ht="15" customHeight="1" x14ac:dyDescent="0.3">
      <c r="A7110" t="s">
        <v>7090</v>
      </c>
      <c r="B7110">
        <f t="shared" si="1275"/>
        <v>12</v>
      </c>
    </row>
    <row r="7111" spans="1:2" ht="15" customHeight="1" x14ac:dyDescent="0.3">
      <c r="A7111" t="s">
        <v>7091</v>
      </c>
      <c r="B7111">
        <f t="shared" si="1275"/>
        <v>15</v>
      </c>
    </row>
    <row r="7112" spans="1:2" ht="15" customHeight="1" x14ac:dyDescent="0.3">
      <c r="A7112" t="s">
        <v>7092</v>
      </c>
      <c r="B7112">
        <f t="shared" si="1275"/>
        <v>15</v>
      </c>
    </row>
    <row r="7113" spans="1:2" ht="15" customHeight="1" x14ac:dyDescent="0.3">
      <c r="A7113" t="s">
        <v>7093</v>
      </c>
      <c r="B7113">
        <f t="shared" si="1275"/>
        <v>15</v>
      </c>
    </row>
    <row r="7114" spans="1:2" ht="15" customHeight="1" x14ac:dyDescent="0.3">
      <c r="A7114" t="s">
        <v>7094</v>
      </c>
      <c r="B7114">
        <f t="shared" si="1275"/>
        <v>12</v>
      </c>
    </row>
    <row r="7115" spans="1:2" ht="15" customHeight="1" x14ac:dyDescent="0.3">
      <c r="A7115" t="s">
        <v>7095</v>
      </c>
      <c r="B7115">
        <f t="shared" si="1275"/>
        <v>10</v>
      </c>
    </row>
    <row r="7116" spans="1:2" ht="15" customHeight="1" x14ac:dyDescent="0.3">
      <c r="A7116" t="s">
        <v>7096</v>
      </c>
      <c r="B7116">
        <f t="shared" si="1275"/>
        <v>10</v>
      </c>
    </row>
    <row r="7117" spans="1:2" ht="15" customHeight="1" x14ac:dyDescent="0.3">
      <c r="A7117" t="s">
        <v>7097</v>
      </c>
      <c r="B7117">
        <f t="shared" si="1275"/>
        <v>12</v>
      </c>
    </row>
    <row r="7118" spans="1:2" ht="15" customHeight="1" x14ac:dyDescent="0.3">
      <c r="A7118" t="s">
        <v>7098</v>
      </c>
      <c r="B7118">
        <f t="shared" si="1275"/>
        <v>15</v>
      </c>
    </row>
    <row r="7119" spans="1:2" ht="15" customHeight="1" x14ac:dyDescent="0.3">
      <c r="A7119" t="s">
        <v>7099</v>
      </c>
      <c r="B7119">
        <f t="shared" si="1275"/>
        <v>15</v>
      </c>
    </row>
    <row r="7120" spans="1:2" ht="15" customHeight="1" x14ac:dyDescent="0.3">
      <c r="A7120" t="s">
        <v>7100</v>
      </c>
      <c r="B7120">
        <f t="shared" si="1275"/>
        <v>15</v>
      </c>
    </row>
    <row r="7121" spans="1:2" ht="15" customHeight="1" x14ac:dyDescent="0.3">
      <c r="A7121" t="s">
        <v>7101</v>
      </c>
      <c r="B7121">
        <f t="shared" si="1275"/>
        <v>15</v>
      </c>
    </row>
    <row r="7122" spans="1:2" ht="15" customHeight="1" x14ac:dyDescent="0.3">
      <c r="A7122" t="s">
        <v>7102</v>
      </c>
      <c r="B7122">
        <f t="shared" ref="B7122:B7153" si="1276">B6601</f>
        <v>15</v>
      </c>
    </row>
    <row r="7123" spans="1:2" ht="15" customHeight="1" x14ac:dyDescent="0.3">
      <c r="A7123" t="s">
        <v>7103</v>
      </c>
      <c r="B7123">
        <f t="shared" si="1276"/>
        <v>15</v>
      </c>
    </row>
    <row r="7124" spans="1:2" ht="15" customHeight="1" x14ac:dyDescent="0.3">
      <c r="A7124" t="s">
        <v>7104</v>
      </c>
      <c r="B7124">
        <f t="shared" si="1276"/>
        <v>10</v>
      </c>
    </row>
    <row r="7125" spans="1:2" ht="15" customHeight="1" x14ac:dyDescent="0.3">
      <c r="A7125" t="s">
        <v>7105</v>
      </c>
      <c r="B7125">
        <f t="shared" si="1276"/>
        <v>10</v>
      </c>
    </row>
    <row r="7126" spans="1:2" ht="15" customHeight="1" x14ac:dyDescent="0.3">
      <c r="A7126" t="s">
        <v>7106</v>
      </c>
      <c r="B7126">
        <f t="shared" si="1276"/>
        <v>10</v>
      </c>
    </row>
    <row r="7127" spans="1:2" ht="15" customHeight="1" x14ac:dyDescent="0.3">
      <c r="A7127" t="s">
        <v>7107</v>
      </c>
      <c r="B7127">
        <f t="shared" si="1276"/>
        <v>15</v>
      </c>
    </row>
    <row r="7128" spans="1:2" ht="15" customHeight="1" x14ac:dyDescent="0.3">
      <c r="A7128" t="s">
        <v>7108</v>
      </c>
      <c r="B7128">
        <f t="shared" si="1276"/>
        <v>12</v>
      </c>
    </row>
    <row r="7129" spans="1:2" ht="15" customHeight="1" x14ac:dyDescent="0.3">
      <c r="A7129" t="s">
        <v>7109</v>
      </c>
      <c r="B7129">
        <f t="shared" si="1276"/>
        <v>12</v>
      </c>
    </row>
    <row r="7130" spans="1:2" ht="15" customHeight="1" x14ac:dyDescent="0.3">
      <c r="A7130" t="s">
        <v>7110</v>
      </c>
      <c r="B7130">
        <f t="shared" si="1276"/>
        <v>12</v>
      </c>
    </row>
    <row r="7131" spans="1:2" ht="15" customHeight="1" x14ac:dyDescent="0.3">
      <c r="A7131" t="s">
        <v>7111</v>
      </c>
      <c r="B7131">
        <f t="shared" si="1276"/>
        <v>15</v>
      </c>
    </row>
    <row r="7132" spans="1:2" ht="15" customHeight="1" x14ac:dyDescent="0.3">
      <c r="A7132" t="s">
        <v>7112</v>
      </c>
      <c r="B7132">
        <f t="shared" si="1276"/>
        <v>15</v>
      </c>
    </row>
    <row r="7133" spans="1:2" ht="15" customHeight="1" x14ac:dyDescent="0.3">
      <c r="A7133" t="s">
        <v>7113</v>
      </c>
      <c r="B7133">
        <f t="shared" si="1276"/>
        <v>15</v>
      </c>
    </row>
    <row r="7134" spans="1:2" ht="15" customHeight="1" x14ac:dyDescent="0.3">
      <c r="A7134" t="s">
        <v>7114</v>
      </c>
      <c r="B7134">
        <f t="shared" si="1276"/>
        <v>15</v>
      </c>
    </row>
    <row r="7135" spans="1:2" ht="15" customHeight="1" x14ac:dyDescent="0.3">
      <c r="A7135" t="s">
        <v>7115</v>
      </c>
      <c r="B7135">
        <f t="shared" si="1276"/>
        <v>15</v>
      </c>
    </row>
    <row r="7136" spans="1:2" ht="15" customHeight="1" x14ac:dyDescent="0.3">
      <c r="A7136" t="s">
        <v>7116</v>
      </c>
      <c r="B7136">
        <f t="shared" si="1276"/>
        <v>15</v>
      </c>
    </row>
    <row r="7137" spans="1:2" ht="15" customHeight="1" x14ac:dyDescent="0.3">
      <c r="A7137" t="s">
        <v>7117</v>
      </c>
      <c r="B7137">
        <f t="shared" si="1276"/>
        <v>15</v>
      </c>
    </row>
    <row r="7138" spans="1:2" ht="15" customHeight="1" x14ac:dyDescent="0.3">
      <c r="A7138" t="s">
        <v>7118</v>
      </c>
      <c r="B7138">
        <f t="shared" si="1276"/>
        <v>15</v>
      </c>
    </row>
    <row r="7139" spans="1:2" ht="15" customHeight="1" x14ac:dyDescent="0.3">
      <c r="A7139" t="s">
        <v>7119</v>
      </c>
      <c r="B7139">
        <f t="shared" si="1276"/>
        <v>0</v>
      </c>
    </row>
    <row r="7140" spans="1:2" ht="15" customHeight="1" x14ac:dyDescent="0.3">
      <c r="A7140" t="s">
        <v>7120</v>
      </c>
      <c r="B7140">
        <f t="shared" si="1276"/>
        <v>15</v>
      </c>
    </row>
    <row r="7141" spans="1:2" ht="15" customHeight="1" x14ac:dyDescent="0.3">
      <c r="A7141" t="s">
        <v>7121</v>
      </c>
      <c r="B7141">
        <f t="shared" si="1276"/>
        <v>15</v>
      </c>
    </row>
    <row r="7142" spans="1:2" ht="15" customHeight="1" x14ac:dyDescent="0.3">
      <c r="A7142" t="s">
        <v>7122</v>
      </c>
      <c r="B7142">
        <f t="shared" si="1276"/>
        <v>15</v>
      </c>
    </row>
    <row r="7143" spans="1:2" ht="15" customHeight="1" x14ac:dyDescent="0.3">
      <c r="A7143" t="s">
        <v>7123</v>
      </c>
      <c r="B7143">
        <f t="shared" si="1276"/>
        <v>15</v>
      </c>
    </row>
    <row r="7144" spans="1:2" ht="15" customHeight="1" x14ac:dyDescent="0.3">
      <c r="A7144" t="s">
        <v>7124</v>
      </c>
      <c r="B7144">
        <f t="shared" si="1276"/>
        <v>12</v>
      </c>
    </row>
    <row r="7145" spans="1:2" ht="15" customHeight="1" x14ac:dyDescent="0.3">
      <c r="A7145" t="s">
        <v>7125</v>
      </c>
      <c r="B7145">
        <f t="shared" si="1276"/>
        <v>12</v>
      </c>
    </row>
    <row r="7146" spans="1:2" ht="15" customHeight="1" x14ac:dyDescent="0.3">
      <c r="A7146" t="s">
        <v>7126</v>
      </c>
      <c r="B7146">
        <f t="shared" si="1276"/>
        <v>15</v>
      </c>
    </row>
    <row r="7147" spans="1:2" ht="15" customHeight="1" x14ac:dyDescent="0.3">
      <c r="A7147" t="s">
        <v>7127</v>
      </c>
      <c r="B7147">
        <f t="shared" si="1276"/>
        <v>15</v>
      </c>
    </row>
    <row r="7148" spans="1:2" ht="15" customHeight="1" x14ac:dyDescent="0.3">
      <c r="A7148" t="s">
        <v>7128</v>
      </c>
      <c r="B7148">
        <f t="shared" si="1276"/>
        <v>15</v>
      </c>
    </row>
    <row r="7149" spans="1:2" ht="15" customHeight="1" x14ac:dyDescent="0.3">
      <c r="A7149" t="s">
        <v>7129</v>
      </c>
      <c r="B7149">
        <f t="shared" si="1276"/>
        <v>15</v>
      </c>
    </row>
    <row r="7150" spans="1:2" ht="15" customHeight="1" x14ac:dyDescent="0.3">
      <c r="A7150" t="s">
        <v>7130</v>
      </c>
      <c r="B7150">
        <f t="shared" si="1276"/>
        <v>12</v>
      </c>
    </row>
    <row r="7151" spans="1:2" ht="15" customHeight="1" x14ac:dyDescent="0.3">
      <c r="A7151" t="s">
        <v>7131</v>
      </c>
      <c r="B7151">
        <f t="shared" si="1276"/>
        <v>15</v>
      </c>
    </row>
    <row r="7152" spans="1:2" ht="15" customHeight="1" x14ac:dyDescent="0.3">
      <c r="A7152" t="s">
        <v>7132</v>
      </c>
      <c r="B7152">
        <f t="shared" si="1276"/>
        <v>12</v>
      </c>
    </row>
    <row r="7153" spans="1:2" ht="15" customHeight="1" x14ac:dyDescent="0.3">
      <c r="A7153" t="s">
        <v>7133</v>
      </c>
      <c r="B7153">
        <f t="shared" si="1276"/>
        <v>12</v>
      </c>
    </row>
    <row r="7154" spans="1:2" ht="15" customHeight="1" x14ac:dyDescent="0.3">
      <c r="A7154" t="s">
        <v>7134</v>
      </c>
      <c r="B7154">
        <f t="shared" ref="B7154:B7156" si="1277">B6633</f>
        <v>15</v>
      </c>
    </row>
    <row r="7155" spans="1:2" ht="15" customHeight="1" x14ac:dyDescent="0.3">
      <c r="A7155" t="s">
        <v>7135</v>
      </c>
      <c r="B7155">
        <f t="shared" si="1277"/>
        <v>15</v>
      </c>
    </row>
    <row r="7156" spans="1:2" ht="15" customHeight="1" x14ac:dyDescent="0.3">
      <c r="A7156" t="s">
        <v>7136</v>
      </c>
      <c r="B7156">
        <f t="shared" si="1277"/>
        <v>15</v>
      </c>
    </row>
    <row r="7157" spans="1:2" ht="15" customHeight="1" x14ac:dyDescent="0.3">
      <c r="A7157" t="s">
        <v>7157</v>
      </c>
      <c r="B7157">
        <f t="shared" ref="B7157:B7187" si="1278">B6662</f>
        <v>12</v>
      </c>
    </row>
    <row r="7158" spans="1:2" ht="15" customHeight="1" x14ac:dyDescent="0.3">
      <c r="A7158" t="s">
        <v>7158</v>
      </c>
      <c r="B7158">
        <f t="shared" si="1278"/>
        <v>12</v>
      </c>
    </row>
    <row r="7159" spans="1:2" ht="15" customHeight="1" x14ac:dyDescent="0.3">
      <c r="A7159" t="s">
        <v>7159</v>
      </c>
      <c r="B7159">
        <f t="shared" si="1278"/>
        <v>15</v>
      </c>
    </row>
    <row r="7160" spans="1:2" ht="15" customHeight="1" x14ac:dyDescent="0.3">
      <c r="A7160" t="s">
        <v>7160</v>
      </c>
      <c r="B7160">
        <f t="shared" si="1278"/>
        <v>15</v>
      </c>
    </row>
    <row r="7161" spans="1:2" ht="15" customHeight="1" x14ac:dyDescent="0.3">
      <c r="A7161" t="s">
        <v>7161</v>
      </c>
      <c r="B7161">
        <f t="shared" si="1278"/>
        <v>15</v>
      </c>
    </row>
    <row r="7162" spans="1:2" ht="15" customHeight="1" x14ac:dyDescent="0.3">
      <c r="A7162" t="s">
        <v>7162</v>
      </c>
      <c r="B7162">
        <f t="shared" si="1278"/>
        <v>15</v>
      </c>
    </row>
    <row r="7163" spans="1:2" ht="15" customHeight="1" x14ac:dyDescent="0.3">
      <c r="A7163" t="s">
        <v>7163</v>
      </c>
      <c r="B7163">
        <f t="shared" si="1278"/>
        <v>12</v>
      </c>
    </row>
    <row r="7164" spans="1:2" ht="15" customHeight="1" x14ac:dyDescent="0.3">
      <c r="A7164" t="s">
        <v>7164</v>
      </c>
      <c r="B7164">
        <f t="shared" si="1278"/>
        <v>15</v>
      </c>
    </row>
    <row r="7165" spans="1:2" ht="15" customHeight="1" x14ac:dyDescent="0.3">
      <c r="A7165" t="s">
        <v>7165</v>
      </c>
      <c r="B7165">
        <f t="shared" si="1278"/>
        <v>10</v>
      </c>
    </row>
    <row r="7166" spans="1:2" ht="15" customHeight="1" x14ac:dyDescent="0.3">
      <c r="A7166" t="s">
        <v>7166</v>
      </c>
      <c r="B7166">
        <f t="shared" si="1278"/>
        <v>12</v>
      </c>
    </row>
    <row r="7167" spans="1:2" ht="15" customHeight="1" x14ac:dyDescent="0.3">
      <c r="A7167" t="s">
        <v>7167</v>
      </c>
      <c r="B7167">
        <f t="shared" si="1278"/>
        <v>12</v>
      </c>
    </row>
    <row r="7168" spans="1:2" ht="15" customHeight="1" x14ac:dyDescent="0.3">
      <c r="A7168" t="s">
        <v>7168</v>
      </c>
      <c r="B7168">
        <f t="shared" si="1278"/>
        <v>12</v>
      </c>
    </row>
    <row r="7169" spans="1:2" ht="15" customHeight="1" x14ac:dyDescent="0.3">
      <c r="A7169" t="s">
        <v>7169</v>
      </c>
      <c r="B7169">
        <f t="shared" si="1278"/>
        <v>12</v>
      </c>
    </row>
    <row r="7170" spans="1:2" ht="15" customHeight="1" x14ac:dyDescent="0.3">
      <c r="A7170" t="s">
        <v>7170</v>
      </c>
      <c r="B7170">
        <f t="shared" si="1278"/>
        <v>12</v>
      </c>
    </row>
    <row r="7171" spans="1:2" ht="15" customHeight="1" x14ac:dyDescent="0.3">
      <c r="A7171" t="s">
        <v>7171</v>
      </c>
      <c r="B7171">
        <f t="shared" si="1278"/>
        <v>12</v>
      </c>
    </row>
    <row r="7172" spans="1:2" ht="15" customHeight="1" x14ac:dyDescent="0.3">
      <c r="A7172" t="s">
        <v>7172</v>
      </c>
      <c r="B7172">
        <f t="shared" si="1278"/>
        <v>12</v>
      </c>
    </row>
    <row r="7173" spans="1:2" ht="15" customHeight="1" x14ac:dyDescent="0.3">
      <c r="A7173" t="s">
        <v>7173</v>
      </c>
      <c r="B7173">
        <f t="shared" si="1278"/>
        <v>15</v>
      </c>
    </row>
    <row r="7174" spans="1:2" ht="15" customHeight="1" x14ac:dyDescent="0.3">
      <c r="A7174" t="s">
        <v>7174</v>
      </c>
      <c r="B7174">
        <f t="shared" si="1278"/>
        <v>15</v>
      </c>
    </row>
    <row r="7175" spans="1:2" ht="15" customHeight="1" x14ac:dyDescent="0.3">
      <c r="A7175" t="s">
        <v>7175</v>
      </c>
      <c r="B7175">
        <f t="shared" si="1278"/>
        <v>12</v>
      </c>
    </row>
    <row r="7176" spans="1:2" ht="15" customHeight="1" x14ac:dyDescent="0.3">
      <c r="A7176" t="s">
        <v>7176</v>
      </c>
      <c r="B7176">
        <f t="shared" si="1278"/>
        <v>12</v>
      </c>
    </row>
    <row r="7177" spans="1:2" ht="15" customHeight="1" x14ac:dyDescent="0.3">
      <c r="A7177" t="s">
        <v>7177</v>
      </c>
      <c r="B7177">
        <f t="shared" si="1278"/>
        <v>12</v>
      </c>
    </row>
    <row r="7178" spans="1:2" ht="15" customHeight="1" x14ac:dyDescent="0.3">
      <c r="A7178" t="s">
        <v>7178</v>
      </c>
      <c r="B7178">
        <f t="shared" si="1278"/>
        <v>12</v>
      </c>
    </row>
    <row r="7179" spans="1:2" ht="15" customHeight="1" x14ac:dyDescent="0.3">
      <c r="A7179" t="s">
        <v>7179</v>
      </c>
      <c r="B7179">
        <f t="shared" si="1278"/>
        <v>12</v>
      </c>
    </row>
    <row r="7180" spans="1:2" ht="15" customHeight="1" x14ac:dyDescent="0.3">
      <c r="A7180" t="s">
        <v>7180</v>
      </c>
      <c r="B7180">
        <f t="shared" si="1278"/>
        <v>12</v>
      </c>
    </row>
    <row r="7181" spans="1:2" ht="15" customHeight="1" x14ac:dyDescent="0.3">
      <c r="A7181" t="s">
        <v>7181</v>
      </c>
      <c r="B7181">
        <f t="shared" si="1278"/>
        <v>12</v>
      </c>
    </row>
    <row r="7182" spans="1:2" ht="15" customHeight="1" x14ac:dyDescent="0.3">
      <c r="A7182" t="s">
        <v>7182</v>
      </c>
      <c r="B7182">
        <f t="shared" si="1278"/>
        <v>12</v>
      </c>
    </row>
    <row r="7183" spans="1:2" ht="15" customHeight="1" x14ac:dyDescent="0.3">
      <c r="A7183" t="s">
        <v>7183</v>
      </c>
      <c r="B7183">
        <f t="shared" si="1278"/>
        <v>12</v>
      </c>
    </row>
    <row r="7184" spans="1:2" ht="15" customHeight="1" x14ac:dyDescent="0.3">
      <c r="A7184" t="s">
        <v>7184</v>
      </c>
      <c r="B7184">
        <f t="shared" si="1278"/>
        <v>12</v>
      </c>
    </row>
    <row r="7185" spans="1:2" ht="15" customHeight="1" x14ac:dyDescent="0.3">
      <c r="A7185" t="s">
        <v>7185</v>
      </c>
      <c r="B7185">
        <f t="shared" si="1278"/>
        <v>12</v>
      </c>
    </row>
    <row r="7186" spans="1:2" ht="15" customHeight="1" x14ac:dyDescent="0.3">
      <c r="A7186" t="s">
        <v>7186</v>
      </c>
      <c r="B7186">
        <f t="shared" si="1278"/>
        <v>12</v>
      </c>
    </row>
    <row r="7187" spans="1:2" ht="15" customHeight="1" x14ac:dyDescent="0.3">
      <c r="A7187" t="s">
        <v>7187</v>
      </c>
      <c r="B7187">
        <f t="shared" si="1278"/>
        <v>12</v>
      </c>
    </row>
    <row r="7188" spans="1:2" ht="15" customHeight="1" x14ac:dyDescent="0.3">
      <c r="A7188" s="81" t="s">
        <v>12964</v>
      </c>
      <c r="B7188">
        <f>F1751</f>
        <v>10</v>
      </c>
    </row>
    <row r="7189" spans="1:2" ht="15" customHeight="1" x14ac:dyDescent="0.3">
      <c r="A7189" s="81" t="s">
        <v>12963</v>
      </c>
      <c r="B7189">
        <f>B7188</f>
        <v>10</v>
      </c>
    </row>
    <row r="7190" spans="1:2" ht="15" customHeight="1" x14ac:dyDescent="0.3">
      <c r="A7190" t="s">
        <v>7188</v>
      </c>
      <c r="B7190">
        <f t="shared" ref="B7190:B7201" si="1279">B6693</f>
        <v>12</v>
      </c>
    </row>
    <row r="7191" spans="1:2" ht="15" customHeight="1" x14ac:dyDescent="0.3">
      <c r="A7191" t="s">
        <v>7189</v>
      </c>
      <c r="B7191">
        <f t="shared" si="1279"/>
        <v>12</v>
      </c>
    </row>
    <row r="7192" spans="1:2" ht="15" customHeight="1" x14ac:dyDescent="0.3">
      <c r="A7192" t="s">
        <v>7190</v>
      </c>
      <c r="B7192">
        <f t="shared" si="1279"/>
        <v>12</v>
      </c>
    </row>
    <row r="7193" spans="1:2" ht="15" customHeight="1" x14ac:dyDescent="0.3">
      <c r="A7193" t="s">
        <v>7191</v>
      </c>
      <c r="B7193">
        <f t="shared" si="1279"/>
        <v>12</v>
      </c>
    </row>
    <row r="7194" spans="1:2" ht="15" customHeight="1" x14ac:dyDescent="0.3">
      <c r="A7194" t="s">
        <v>7192</v>
      </c>
      <c r="B7194">
        <f t="shared" si="1279"/>
        <v>12</v>
      </c>
    </row>
    <row r="7195" spans="1:2" ht="15" customHeight="1" x14ac:dyDescent="0.3">
      <c r="A7195" t="s">
        <v>7193</v>
      </c>
      <c r="B7195">
        <f t="shared" si="1279"/>
        <v>12</v>
      </c>
    </row>
    <row r="7196" spans="1:2" ht="15" customHeight="1" x14ac:dyDescent="0.3">
      <c r="A7196" t="s">
        <v>7194</v>
      </c>
      <c r="B7196">
        <f t="shared" si="1279"/>
        <v>12</v>
      </c>
    </row>
    <row r="7197" spans="1:2" ht="15" customHeight="1" x14ac:dyDescent="0.3">
      <c r="A7197" t="s">
        <v>7195</v>
      </c>
      <c r="B7197">
        <f t="shared" si="1279"/>
        <v>12</v>
      </c>
    </row>
    <row r="7198" spans="1:2" ht="15" customHeight="1" x14ac:dyDescent="0.3">
      <c r="A7198" t="s">
        <v>7196</v>
      </c>
      <c r="B7198">
        <f t="shared" si="1279"/>
        <v>12</v>
      </c>
    </row>
    <row r="7199" spans="1:2" ht="15" customHeight="1" x14ac:dyDescent="0.3">
      <c r="A7199" t="s">
        <v>7197</v>
      </c>
      <c r="B7199">
        <f t="shared" si="1279"/>
        <v>12</v>
      </c>
    </row>
    <row r="7200" spans="1:2" ht="15" customHeight="1" x14ac:dyDescent="0.3">
      <c r="A7200" t="s">
        <v>7198</v>
      </c>
      <c r="B7200">
        <f t="shared" si="1279"/>
        <v>10</v>
      </c>
    </row>
    <row r="7201" spans="1:2" ht="15" customHeight="1" x14ac:dyDescent="0.3">
      <c r="A7201" t="s">
        <v>7199</v>
      </c>
      <c r="B7201">
        <f t="shared" si="1279"/>
        <v>10</v>
      </c>
    </row>
    <row r="7202" spans="1:2" ht="15" customHeight="1" x14ac:dyDescent="0.3">
      <c r="A7202" t="s">
        <v>7200</v>
      </c>
      <c r="B7202">
        <f>B6558</f>
        <v>15</v>
      </c>
    </row>
    <row r="7203" spans="1:2" ht="15" customHeight="1" x14ac:dyDescent="0.3">
      <c r="A7203" t="s">
        <v>7207</v>
      </c>
      <c r="B7203">
        <f t="shared" ref="B7203:B7234" si="1280">B6569</f>
        <v>15</v>
      </c>
    </row>
    <row r="7204" spans="1:2" ht="15" customHeight="1" x14ac:dyDescent="0.3">
      <c r="A7204" t="s">
        <v>7208</v>
      </c>
      <c r="B7204">
        <f t="shared" si="1280"/>
        <v>12</v>
      </c>
    </row>
    <row r="7205" spans="1:2" ht="15" customHeight="1" x14ac:dyDescent="0.3">
      <c r="A7205" t="s">
        <v>7209</v>
      </c>
      <c r="B7205">
        <f t="shared" si="1280"/>
        <v>15</v>
      </c>
    </row>
    <row r="7206" spans="1:2" ht="15" customHeight="1" x14ac:dyDescent="0.3">
      <c r="A7206" t="s">
        <v>7210</v>
      </c>
      <c r="B7206">
        <f t="shared" si="1280"/>
        <v>15</v>
      </c>
    </row>
    <row r="7207" spans="1:2" ht="15" customHeight="1" x14ac:dyDescent="0.3">
      <c r="A7207" t="s">
        <v>7211</v>
      </c>
      <c r="B7207">
        <f t="shared" si="1280"/>
        <v>15</v>
      </c>
    </row>
    <row r="7208" spans="1:2" ht="15" customHeight="1" x14ac:dyDescent="0.3">
      <c r="A7208" t="s">
        <v>7212</v>
      </c>
      <c r="B7208">
        <f t="shared" si="1280"/>
        <v>15</v>
      </c>
    </row>
    <row r="7209" spans="1:2" ht="15" customHeight="1" x14ac:dyDescent="0.3">
      <c r="A7209" t="s">
        <v>7213</v>
      </c>
      <c r="B7209">
        <f t="shared" si="1280"/>
        <v>15</v>
      </c>
    </row>
    <row r="7210" spans="1:2" ht="15" customHeight="1" x14ac:dyDescent="0.3">
      <c r="A7210" t="s">
        <v>7214</v>
      </c>
      <c r="B7210">
        <f t="shared" si="1280"/>
        <v>15</v>
      </c>
    </row>
    <row r="7211" spans="1:2" ht="15" customHeight="1" x14ac:dyDescent="0.3">
      <c r="A7211" t="s">
        <v>7215</v>
      </c>
      <c r="B7211">
        <f t="shared" si="1280"/>
        <v>15</v>
      </c>
    </row>
    <row r="7212" spans="1:2" ht="15" customHeight="1" x14ac:dyDescent="0.3">
      <c r="A7212" t="s">
        <v>7216</v>
      </c>
      <c r="B7212">
        <f t="shared" si="1280"/>
        <v>15</v>
      </c>
    </row>
    <row r="7213" spans="1:2" ht="15" customHeight="1" x14ac:dyDescent="0.3">
      <c r="A7213" t="s">
        <v>7217</v>
      </c>
      <c r="B7213">
        <f t="shared" si="1280"/>
        <v>15</v>
      </c>
    </row>
    <row r="7214" spans="1:2" ht="15" customHeight="1" x14ac:dyDescent="0.3">
      <c r="A7214" t="s">
        <v>7218</v>
      </c>
      <c r="B7214">
        <f t="shared" si="1280"/>
        <v>12</v>
      </c>
    </row>
    <row r="7215" spans="1:2" ht="15" customHeight="1" x14ac:dyDescent="0.3">
      <c r="A7215" t="s">
        <v>7219</v>
      </c>
      <c r="B7215">
        <f t="shared" si="1280"/>
        <v>12</v>
      </c>
    </row>
    <row r="7216" spans="1:2" ht="15" customHeight="1" x14ac:dyDescent="0.3">
      <c r="A7216" t="s">
        <v>7220</v>
      </c>
      <c r="B7216">
        <f t="shared" si="1280"/>
        <v>15</v>
      </c>
    </row>
    <row r="7217" spans="1:2" ht="15" customHeight="1" x14ac:dyDescent="0.3">
      <c r="A7217" t="s">
        <v>7221</v>
      </c>
      <c r="B7217">
        <f t="shared" si="1280"/>
        <v>15</v>
      </c>
    </row>
    <row r="7218" spans="1:2" ht="15" customHeight="1" x14ac:dyDescent="0.3">
      <c r="A7218" t="s">
        <v>7222</v>
      </c>
      <c r="B7218">
        <f t="shared" si="1280"/>
        <v>15</v>
      </c>
    </row>
    <row r="7219" spans="1:2" ht="15" customHeight="1" x14ac:dyDescent="0.3">
      <c r="A7219" t="s">
        <v>7223</v>
      </c>
      <c r="B7219">
        <f t="shared" si="1280"/>
        <v>12</v>
      </c>
    </row>
    <row r="7220" spans="1:2" ht="15" customHeight="1" x14ac:dyDescent="0.3">
      <c r="A7220" t="s">
        <v>7224</v>
      </c>
      <c r="B7220">
        <f t="shared" si="1280"/>
        <v>12</v>
      </c>
    </row>
    <row r="7221" spans="1:2" ht="15" customHeight="1" x14ac:dyDescent="0.3">
      <c r="A7221" t="s">
        <v>7225</v>
      </c>
      <c r="B7221">
        <f t="shared" si="1280"/>
        <v>12</v>
      </c>
    </row>
    <row r="7222" spans="1:2" ht="15" customHeight="1" x14ac:dyDescent="0.3">
      <c r="A7222" t="s">
        <v>7226</v>
      </c>
      <c r="B7222">
        <f t="shared" si="1280"/>
        <v>12</v>
      </c>
    </row>
    <row r="7223" spans="1:2" ht="15" customHeight="1" x14ac:dyDescent="0.3">
      <c r="A7223" t="s">
        <v>7227</v>
      </c>
      <c r="B7223">
        <f t="shared" si="1280"/>
        <v>12</v>
      </c>
    </row>
    <row r="7224" spans="1:2" ht="15" customHeight="1" x14ac:dyDescent="0.3">
      <c r="A7224" t="s">
        <v>7228</v>
      </c>
      <c r="B7224">
        <f t="shared" si="1280"/>
        <v>15</v>
      </c>
    </row>
    <row r="7225" spans="1:2" ht="15" customHeight="1" x14ac:dyDescent="0.3">
      <c r="A7225" t="s">
        <v>7229</v>
      </c>
      <c r="B7225">
        <f t="shared" si="1280"/>
        <v>15</v>
      </c>
    </row>
    <row r="7226" spans="1:2" ht="15" customHeight="1" x14ac:dyDescent="0.3">
      <c r="A7226" t="s">
        <v>7230</v>
      </c>
      <c r="B7226">
        <f t="shared" si="1280"/>
        <v>15</v>
      </c>
    </row>
    <row r="7227" spans="1:2" ht="15" customHeight="1" x14ac:dyDescent="0.3">
      <c r="A7227" t="s">
        <v>7231</v>
      </c>
      <c r="B7227">
        <f t="shared" si="1280"/>
        <v>12</v>
      </c>
    </row>
    <row r="7228" spans="1:2" ht="15" customHeight="1" x14ac:dyDescent="0.3">
      <c r="A7228" t="s">
        <v>7232</v>
      </c>
      <c r="B7228">
        <f t="shared" si="1280"/>
        <v>10</v>
      </c>
    </row>
    <row r="7229" spans="1:2" ht="15" customHeight="1" x14ac:dyDescent="0.3">
      <c r="A7229" t="s">
        <v>7233</v>
      </c>
      <c r="B7229">
        <f t="shared" si="1280"/>
        <v>10</v>
      </c>
    </row>
    <row r="7230" spans="1:2" ht="15" customHeight="1" x14ac:dyDescent="0.3">
      <c r="A7230" t="s">
        <v>7234</v>
      </c>
      <c r="B7230">
        <f t="shared" si="1280"/>
        <v>12</v>
      </c>
    </row>
    <row r="7231" spans="1:2" ht="15" customHeight="1" x14ac:dyDescent="0.3">
      <c r="A7231" t="s">
        <v>7235</v>
      </c>
      <c r="B7231">
        <f t="shared" si="1280"/>
        <v>15</v>
      </c>
    </row>
    <row r="7232" spans="1:2" ht="15" customHeight="1" x14ac:dyDescent="0.3">
      <c r="A7232" t="s">
        <v>7236</v>
      </c>
      <c r="B7232">
        <f t="shared" si="1280"/>
        <v>15</v>
      </c>
    </row>
    <row r="7233" spans="1:2" ht="15" customHeight="1" x14ac:dyDescent="0.3">
      <c r="A7233" t="s">
        <v>7237</v>
      </c>
      <c r="B7233">
        <f t="shared" si="1280"/>
        <v>15</v>
      </c>
    </row>
    <row r="7234" spans="1:2" ht="15" customHeight="1" x14ac:dyDescent="0.3">
      <c r="A7234" t="s">
        <v>7238</v>
      </c>
      <c r="B7234">
        <f t="shared" si="1280"/>
        <v>15</v>
      </c>
    </row>
    <row r="7235" spans="1:2" ht="15" customHeight="1" x14ac:dyDescent="0.3">
      <c r="A7235" t="s">
        <v>7239</v>
      </c>
      <c r="B7235">
        <f t="shared" ref="B7235:B7266" si="1281">B6601</f>
        <v>15</v>
      </c>
    </row>
    <row r="7236" spans="1:2" ht="15" customHeight="1" x14ac:dyDescent="0.3">
      <c r="A7236" t="s">
        <v>7240</v>
      </c>
      <c r="B7236">
        <f t="shared" si="1281"/>
        <v>15</v>
      </c>
    </row>
    <row r="7237" spans="1:2" ht="15" customHeight="1" x14ac:dyDescent="0.3">
      <c r="A7237" t="s">
        <v>7241</v>
      </c>
      <c r="B7237">
        <f t="shared" si="1281"/>
        <v>10</v>
      </c>
    </row>
    <row r="7238" spans="1:2" ht="15" customHeight="1" x14ac:dyDescent="0.3">
      <c r="A7238" t="s">
        <v>7242</v>
      </c>
      <c r="B7238">
        <f t="shared" si="1281"/>
        <v>10</v>
      </c>
    </row>
    <row r="7239" spans="1:2" ht="15" customHeight="1" x14ac:dyDescent="0.3">
      <c r="A7239" t="s">
        <v>7243</v>
      </c>
      <c r="B7239">
        <f t="shared" si="1281"/>
        <v>10</v>
      </c>
    </row>
    <row r="7240" spans="1:2" ht="15" customHeight="1" x14ac:dyDescent="0.3">
      <c r="A7240" t="s">
        <v>7244</v>
      </c>
      <c r="B7240">
        <f t="shared" si="1281"/>
        <v>15</v>
      </c>
    </row>
    <row r="7241" spans="1:2" ht="15" customHeight="1" x14ac:dyDescent="0.3">
      <c r="A7241" t="s">
        <v>7245</v>
      </c>
      <c r="B7241">
        <f t="shared" si="1281"/>
        <v>12</v>
      </c>
    </row>
    <row r="7242" spans="1:2" ht="15" customHeight="1" x14ac:dyDescent="0.3">
      <c r="A7242" t="s">
        <v>7246</v>
      </c>
      <c r="B7242">
        <f t="shared" si="1281"/>
        <v>12</v>
      </c>
    </row>
    <row r="7243" spans="1:2" ht="15" customHeight="1" x14ac:dyDescent="0.3">
      <c r="A7243" t="s">
        <v>7247</v>
      </c>
      <c r="B7243">
        <f t="shared" si="1281"/>
        <v>12</v>
      </c>
    </row>
    <row r="7244" spans="1:2" ht="15" customHeight="1" x14ac:dyDescent="0.3">
      <c r="A7244" t="s">
        <v>7248</v>
      </c>
      <c r="B7244">
        <f t="shared" si="1281"/>
        <v>15</v>
      </c>
    </row>
    <row r="7245" spans="1:2" ht="15" customHeight="1" x14ac:dyDescent="0.3">
      <c r="A7245" t="s">
        <v>7249</v>
      </c>
      <c r="B7245">
        <f t="shared" si="1281"/>
        <v>15</v>
      </c>
    </row>
    <row r="7246" spans="1:2" ht="15" customHeight="1" x14ac:dyDescent="0.3">
      <c r="A7246" t="s">
        <v>7250</v>
      </c>
      <c r="B7246">
        <f t="shared" si="1281"/>
        <v>15</v>
      </c>
    </row>
    <row r="7247" spans="1:2" ht="15" customHeight="1" x14ac:dyDescent="0.3">
      <c r="A7247" t="s">
        <v>7251</v>
      </c>
      <c r="B7247">
        <f t="shared" si="1281"/>
        <v>15</v>
      </c>
    </row>
    <row r="7248" spans="1:2" ht="15" customHeight="1" x14ac:dyDescent="0.3">
      <c r="A7248" t="s">
        <v>7252</v>
      </c>
      <c r="B7248">
        <f t="shared" si="1281"/>
        <v>15</v>
      </c>
    </row>
    <row r="7249" spans="1:2" ht="15" customHeight="1" x14ac:dyDescent="0.3">
      <c r="A7249" t="s">
        <v>7253</v>
      </c>
      <c r="B7249">
        <f t="shared" si="1281"/>
        <v>15</v>
      </c>
    </row>
    <row r="7250" spans="1:2" ht="15" customHeight="1" x14ac:dyDescent="0.3">
      <c r="A7250" t="s">
        <v>7254</v>
      </c>
      <c r="B7250">
        <f t="shared" si="1281"/>
        <v>15</v>
      </c>
    </row>
    <row r="7251" spans="1:2" ht="15" customHeight="1" x14ac:dyDescent="0.3">
      <c r="A7251" t="s">
        <v>7255</v>
      </c>
      <c r="B7251">
        <f t="shared" si="1281"/>
        <v>15</v>
      </c>
    </row>
    <row r="7252" spans="1:2" ht="15" customHeight="1" x14ac:dyDescent="0.3">
      <c r="A7252" t="s">
        <v>7256</v>
      </c>
      <c r="B7252">
        <f t="shared" si="1281"/>
        <v>0</v>
      </c>
    </row>
    <row r="7253" spans="1:2" ht="15" customHeight="1" x14ac:dyDescent="0.3">
      <c r="A7253" t="s">
        <v>7257</v>
      </c>
      <c r="B7253">
        <f t="shared" si="1281"/>
        <v>15</v>
      </c>
    </row>
    <row r="7254" spans="1:2" ht="15" customHeight="1" x14ac:dyDescent="0.3">
      <c r="A7254" t="s">
        <v>7258</v>
      </c>
      <c r="B7254">
        <f t="shared" si="1281"/>
        <v>15</v>
      </c>
    </row>
    <row r="7255" spans="1:2" ht="15" customHeight="1" x14ac:dyDescent="0.3">
      <c r="A7255" t="s">
        <v>7259</v>
      </c>
      <c r="B7255">
        <f t="shared" si="1281"/>
        <v>15</v>
      </c>
    </row>
    <row r="7256" spans="1:2" ht="15" customHeight="1" x14ac:dyDescent="0.3">
      <c r="A7256" t="s">
        <v>7260</v>
      </c>
      <c r="B7256">
        <f t="shared" si="1281"/>
        <v>15</v>
      </c>
    </row>
    <row r="7257" spans="1:2" ht="15" customHeight="1" x14ac:dyDescent="0.3">
      <c r="A7257" t="s">
        <v>7261</v>
      </c>
      <c r="B7257">
        <f t="shared" si="1281"/>
        <v>12</v>
      </c>
    </row>
    <row r="7258" spans="1:2" ht="15" customHeight="1" x14ac:dyDescent="0.3">
      <c r="A7258" t="s">
        <v>7262</v>
      </c>
      <c r="B7258">
        <f t="shared" si="1281"/>
        <v>12</v>
      </c>
    </row>
    <row r="7259" spans="1:2" ht="15" customHeight="1" x14ac:dyDescent="0.3">
      <c r="A7259" t="s">
        <v>7263</v>
      </c>
      <c r="B7259">
        <f t="shared" si="1281"/>
        <v>15</v>
      </c>
    </row>
    <row r="7260" spans="1:2" ht="15" customHeight="1" x14ac:dyDescent="0.3">
      <c r="A7260" t="s">
        <v>7264</v>
      </c>
      <c r="B7260">
        <f t="shared" si="1281"/>
        <v>15</v>
      </c>
    </row>
    <row r="7261" spans="1:2" ht="15" customHeight="1" x14ac:dyDescent="0.3">
      <c r="A7261" t="s">
        <v>7265</v>
      </c>
      <c r="B7261">
        <f t="shared" si="1281"/>
        <v>15</v>
      </c>
    </row>
    <row r="7262" spans="1:2" ht="15" customHeight="1" x14ac:dyDescent="0.3">
      <c r="A7262" t="s">
        <v>7266</v>
      </c>
      <c r="B7262">
        <f t="shared" si="1281"/>
        <v>15</v>
      </c>
    </row>
    <row r="7263" spans="1:2" ht="15" customHeight="1" x14ac:dyDescent="0.3">
      <c r="A7263" t="s">
        <v>7267</v>
      </c>
      <c r="B7263">
        <f t="shared" si="1281"/>
        <v>12</v>
      </c>
    </row>
    <row r="7264" spans="1:2" ht="15" customHeight="1" x14ac:dyDescent="0.3">
      <c r="A7264" t="s">
        <v>7268</v>
      </c>
      <c r="B7264">
        <f t="shared" si="1281"/>
        <v>15</v>
      </c>
    </row>
    <row r="7265" spans="1:2" ht="15" customHeight="1" x14ac:dyDescent="0.3">
      <c r="A7265" t="s">
        <v>7269</v>
      </c>
      <c r="B7265">
        <f t="shared" si="1281"/>
        <v>12</v>
      </c>
    </row>
    <row r="7266" spans="1:2" ht="15" customHeight="1" x14ac:dyDescent="0.3">
      <c r="A7266" t="s">
        <v>7270</v>
      </c>
      <c r="B7266">
        <f t="shared" si="1281"/>
        <v>12</v>
      </c>
    </row>
    <row r="7267" spans="1:2" ht="15" customHeight="1" x14ac:dyDescent="0.3">
      <c r="A7267" t="s">
        <v>7271</v>
      </c>
      <c r="B7267">
        <f t="shared" ref="B7267:B7269" si="1282">B6633</f>
        <v>15</v>
      </c>
    </row>
    <row r="7268" spans="1:2" ht="15" customHeight="1" x14ac:dyDescent="0.3">
      <c r="A7268" t="s">
        <v>7272</v>
      </c>
      <c r="B7268">
        <f t="shared" si="1282"/>
        <v>15</v>
      </c>
    </row>
    <row r="7269" spans="1:2" ht="15" customHeight="1" x14ac:dyDescent="0.3">
      <c r="A7269" t="s">
        <v>7273</v>
      </c>
      <c r="B7269">
        <f t="shared" si="1282"/>
        <v>15</v>
      </c>
    </row>
    <row r="7270" spans="1:2" ht="15" customHeight="1" x14ac:dyDescent="0.3">
      <c r="A7270" t="s">
        <v>7294</v>
      </c>
      <c r="B7270">
        <f t="shared" ref="B7270:B7292" si="1283">B6662</f>
        <v>12</v>
      </c>
    </row>
    <row r="7271" spans="1:2" ht="15" customHeight="1" x14ac:dyDescent="0.3">
      <c r="A7271" t="s">
        <v>7295</v>
      </c>
      <c r="B7271">
        <f t="shared" si="1283"/>
        <v>12</v>
      </c>
    </row>
    <row r="7272" spans="1:2" ht="15" customHeight="1" x14ac:dyDescent="0.3">
      <c r="A7272" t="s">
        <v>7296</v>
      </c>
      <c r="B7272">
        <f t="shared" si="1283"/>
        <v>15</v>
      </c>
    </row>
    <row r="7273" spans="1:2" ht="15" customHeight="1" x14ac:dyDescent="0.3">
      <c r="A7273" t="s">
        <v>7297</v>
      </c>
      <c r="B7273">
        <f t="shared" si="1283"/>
        <v>15</v>
      </c>
    </row>
    <row r="7274" spans="1:2" ht="15" customHeight="1" x14ac:dyDescent="0.3">
      <c r="A7274" t="s">
        <v>7298</v>
      </c>
      <c r="B7274">
        <f t="shared" si="1283"/>
        <v>15</v>
      </c>
    </row>
    <row r="7275" spans="1:2" ht="15" customHeight="1" x14ac:dyDescent="0.3">
      <c r="A7275" t="s">
        <v>7299</v>
      </c>
      <c r="B7275">
        <f t="shared" si="1283"/>
        <v>15</v>
      </c>
    </row>
    <row r="7276" spans="1:2" ht="15" customHeight="1" x14ac:dyDescent="0.3">
      <c r="A7276" t="s">
        <v>7300</v>
      </c>
      <c r="B7276">
        <f t="shared" si="1283"/>
        <v>12</v>
      </c>
    </row>
    <row r="7277" spans="1:2" ht="15" customHeight="1" x14ac:dyDescent="0.3">
      <c r="A7277" t="s">
        <v>7301</v>
      </c>
      <c r="B7277">
        <f t="shared" si="1283"/>
        <v>15</v>
      </c>
    </row>
    <row r="7278" spans="1:2" ht="15" customHeight="1" x14ac:dyDescent="0.3">
      <c r="A7278" t="s">
        <v>7302</v>
      </c>
      <c r="B7278">
        <f t="shared" si="1283"/>
        <v>10</v>
      </c>
    </row>
    <row r="7279" spans="1:2" ht="15" customHeight="1" x14ac:dyDescent="0.3">
      <c r="A7279" t="s">
        <v>7303</v>
      </c>
      <c r="B7279">
        <f t="shared" si="1283"/>
        <v>12</v>
      </c>
    </row>
    <row r="7280" spans="1:2" ht="15" customHeight="1" x14ac:dyDescent="0.3">
      <c r="A7280" t="s">
        <v>7304</v>
      </c>
      <c r="B7280">
        <f t="shared" si="1283"/>
        <v>12</v>
      </c>
    </row>
    <row r="7281" spans="1:2" ht="15" customHeight="1" x14ac:dyDescent="0.3">
      <c r="A7281" t="s">
        <v>7305</v>
      </c>
      <c r="B7281">
        <f t="shared" si="1283"/>
        <v>12</v>
      </c>
    </row>
    <row r="7282" spans="1:2" ht="15" customHeight="1" x14ac:dyDescent="0.3">
      <c r="A7282" t="s">
        <v>7306</v>
      </c>
      <c r="B7282">
        <f t="shared" si="1283"/>
        <v>12</v>
      </c>
    </row>
    <row r="7283" spans="1:2" ht="15" customHeight="1" x14ac:dyDescent="0.3">
      <c r="A7283" t="s">
        <v>7307</v>
      </c>
      <c r="B7283">
        <f t="shared" si="1283"/>
        <v>12</v>
      </c>
    </row>
    <row r="7284" spans="1:2" ht="15" customHeight="1" x14ac:dyDescent="0.3">
      <c r="A7284" t="s">
        <v>7308</v>
      </c>
      <c r="B7284">
        <f t="shared" si="1283"/>
        <v>12</v>
      </c>
    </row>
    <row r="7285" spans="1:2" ht="15" customHeight="1" x14ac:dyDescent="0.3">
      <c r="A7285" t="s">
        <v>7309</v>
      </c>
      <c r="B7285">
        <f t="shared" si="1283"/>
        <v>12</v>
      </c>
    </row>
    <row r="7286" spans="1:2" ht="15" customHeight="1" x14ac:dyDescent="0.3">
      <c r="A7286" t="s">
        <v>7310</v>
      </c>
      <c r="B7286">
        <f t="shared" si="1283"/>
        <v>15</v>
      </c>
    </row>
    <row r="7287" spans="1:2" ht="15" customHeight="1" x14ac:dyDescent="0.3">
      <c r="A7287" t="s">
        <v>7311</v>
      </c>
      <c r="B7287">
        <f t="shared" si="1283"/>
        <v>15</v>
      </c>
    </row>
    <row r="7288" spans="1:2" ht="15" customHeight="1" x14ac:dyDescent="0.3">
      <c r="A7288" t="s">
        <v>7312</v>
      </c>
      <c r="B7288">
        <f t="shared" si="1283"/>
        <v>12</v>
      </c>
    </row>
    <row r="7289" spans="1:2" ht="15" customHeight="1" x14ac:dyDescent="0.3">
      <c r="A7289" t="s">
        <v>7313</v>
      </c>
      <c r="B7289">
        <f t="shared" si="1283"/>
        <v>12</v>
      </c>
    </row>
    <row r="7290" spans="1:2" ht="15" customHeight="1" x14ac:dyDescent="0.3">
      <c r="A7290" t="s">
        <v>7314</v>
      </c>
      <c r="B7290">
        <f t="shared" si="1283"/>
        <v>12</v>
      </c>
    </row>
    <row r="7291" spans="1:2" ht="15" customHeight="1" x14ac:dyDescent="0.3">
      <c r="A7291" t="s">
        <v>7315</v>
      </c>
      <c r="B7291">
        <f t="shared" si="1283"/>
        <v>12</v>
      </c>
    </row>
    <row r="7292" spans="1:2" ht="15" customHeight="1" x14ac:dyDescent="0.3">
      <c r="A7292" t="s">
        <v>7316</v>
      </c>
      <c r="B7292">
        <f t="shared" si="1283"/>
        <v>12</v>
      </c>
    </row>
    <row r="7293" spans="1:2" ht="15" customHeight="1" x14ac:dyDescent="0.3">
      <c r="A7293" t="s">
        <v>7317</v>
      </c>
      <c r="B7293">
        <f>F1768</f>
        <v>10</v>
      </c>
    </row>
    <row r="7294" spans="1:2" ht="15" customHeight="1" x14ac:dyDescent="0.3">
      <c r="A7294" t="s">
        <v>7429</v>
      </c>
      <c r="B7294">
        <f>F1768</f>
        <v>10</v>
      </c>
    </row>
    <row r="7295" spans="1:2" ht="15" customHeight="1" x14ac:dyDescent="0.3">
      <c r="A7295" t="s">
        <v>7318</v>
      </c>
      <c r="B7295">
        <f t="shared" ref="B7295:B7302" si="1284">B6685</f>
        <v>12</v>
      </c>
    </row>
    <row r="7296" spans="1:2" ht="15" customHeight="1" x14ac:dyDescent="0.3">
      <c r="A7296" t="s">
        <v>7319</v>
      </c>
      <c r="B7296">
        <f t="shared" si="1284"/>
        <v>12</v>
      </c>
    </row>
    <row r="7297" spans="1:2" ht="15" customHeight="1" x14ac:dyDescent="0.3">
      <c r="A7297" t="s">
        <v>7320</v>
      </c>
      <c r="B7297">
        <f t="shared" si="1284"/>
        <v>12</v>
      </c>
    </row>
    <row r="7298" spans="1:2" ht="15" customHeight="1" x14ac:dyDescent="0.3">
      <c r="A7298" t="s">
        <v>7321</v>
      </c>
      <c r="B7298">
        <f t="shared" si="1284"/>
        <v>12</v>
      </c>
    </row>
    <row r="7299" spans="1:2" ht="15" customHeight="1" x14ac:dyDescent="0.3">
      <c r="A7299" t="s">
        <v>7322</v>
      </c>
      <c r="B7299">
        <f t="shared" si="1284"/>
        <v>12</v>
      </c>
    </row>
    <row r="7300" spans="1:2" ht="15" customHeight="1" x14ac:dyDescent="0.3">
      <c r="A7300" t="s">
        <v>7323</v>
      </c>
      <c r="B7300">
        <f t="shared" si="1284"/>
        <v>12</v>
      </c>
    </row>
    <row r="7301" spans="1:2" ht="15" customHeight="1" x14ac:dyDescent="0.3">
      <c r="A7301" t="s">
        <v>7324</v>
      </c>
      <c r="B7301">
        <f t="shared" si="1284"/>
        <v>12</v>
      </c>
    </row>
    <row r="7302" spans="1:2" ht="15" customHeight="1" x14ac:dyDescent="0.3">
      <c r="A7302" t="s">
        <v>7325</v>
      </c>
      <c r="B7302">
        <f t="shared" si="1284"/>
        <v>12</v>
      </c>
    </row>
    <row r="7303" spans="1:2" ht="15" customHeight="1" x14ac:dyDescent="0.3">
      <c r="A7303" s="62" t="s">
        <v>12965</v>
      </c>
      <c r="B7303">
        <f>F1773</f>
        <v>10</v>
      </c>
    </row>
    <row r="7304" spans="1:2" ht="15" customHeight="1" x14ac:dyDescent="0.3">
      <c r="A7304" s="62" t="s">
        <v>12966</v>
      </c>
      <c r="B7304">
        <f>B7303</f>
        <v>10</v>
      </c>
    </row>
    <row r="7305" spans="1:2" ht="15" customHeight="1" x14ac:dyDescent="0.3">
      <c r="A7305" t="s">
        <v>7326</v>
      </c>
      <c r="B7305">
        <f t="shared" ref="B7305:B7316" si="1285">B6693</f>
        <v>12</v>
      </c>
    </row>
    <row r="7306" spans="1:2" ht="15" customHeight="1" x14ac:dyDescent="0.3">
      <c r="A7306" t="s">
        <v>7327</v>
      </c>
      <c r="B7306">
        <f t="shared" si="1285"/>
        <v>12</v>
      </c>
    </row>
    <row r="7307" spans="1:2" ht="15" customHeight="1" x14ac:dyDescent="0.3">
      <c r="A7307" t="s">
        <v>7328</v>
      </c>
      <c r="B7307">
        <f t="shared" si="1285"/>
        <v>12</v>
      </c>
    </row>
    <row r="7308" spans="1:2" ht="15" customHeight="1" x14ac:dyDescent="0.3">
      <c r="A7308" t="s">
        <v>7329</v>
      </c>
      <c r="B7308">
        <f t="shared" si="1285"/>
        <v>12</v>
      </c>
    </row>
    <row r="7309" spans="1:2" ht="15" customHeight="1" x14ac:dyDescent="0.3">
      <c r="A7309" t="s">
        <v>7330</v>
      </c>
      <c r="B7309">
        <f t="shared" si="1285"/>
        <v>12</v>
      </c>
    </row>
    <row r="7310" spans="1:2" ht="15" customHeight="1" x14ac:dyDescent="0.3">
      <c r="A7310" t="s">
        <v>7331</v>
      </c>
      <c r="B7310">
        <f t="shared" si="1285"/>
        <v>12</v>
      </c>
    </row>
    <row r="7311" spans="1:2" ht="15" customHeight="1" x14ac:dyDescent="0.3">
      <c r="A7311" t="s">
        <v>7332</v>
      </c>
      <c r="B7311">
        <f t="shared" si="1285"/>
        <v>12</v>
      </c>
    </row>
    <row r="7312" spans="1:2" ht="15" customHeight="1" x14ac:dyDescent="0.3">
      <c r="A7312" t="s">
        <v>7333</v>
      </c>
      <c r="B7312">
        <f t="shared" si="1285"/>
        <v>12</v>
      </c>
    </row>
    <row r="7313" spans="1:2" ht="15" customHeight="1" x14ac:dyDescent="0.3">
      <c r="A7313" t="s">
        <v>7334</v>
      </c>
      <c r="B7313">
        <f t="shared" si="1285"/>
        <v>12</v>
      </c>
    </row>
    <row r="7314" spans="1:2" ht="15" customHeight="1" x14ac:dyDescent="0.3">
      <c r="A7314" t="s">
        <v>7335</v>
      </c>
      <c r="B7314">
        <f t="shared" si="1285"/>
        <v>12</v>
      </c>
    </row>
    <row r="7315" spans="1:2" ht="15" customHeight="1" x14ac:dyDescent="0.3">
      <c r="A7315" t="s">
        <v>7336</v>
      </c>
      <c r="B7315">
        <f t="shared" si="1285"/>
        <v>10</v>
      </c>
    </row>
    <row r="7316" spans="1:2" ht="15" customHeight="1" x14ac:dyDescent="0.3">
      <c r="A7316" t="s">
        <v>7337</v>
      </c>
      <c r="B7316">
        <f t="shared" si="1285"/>
        <v>10</v>
      </c>
    </row>
    <row r="7317" spans="1:2" ht="15" customHeight="1" x14ac:dyDescent="0.3">
      <c r="A7317" t="s">
        <v>6838</v>
      </c>
      <c r="B7317">
        <f>F1737</f>
        <v>15</v>
      </c>
    </row>
    <row r="7318" spans="1:2" ht="15" customHeight="1" x14ac:dyDescent="0.3">
      <c r="A7318" t="s">
        <v>6839</v>
      </c>
      <c r="B7318">
        <f>F1737</f>
        <v>15</v>
      </c>
    </row>
    <row r="7319" spans="1:2" ht="15" customHeight="1" x14ac:dyDescent="0.3">
      <c r="A7319" t="s">
        <v>6840</v>
      </c>
      <c r="B7319">
        <f>F1737</f>
        <v>15</v>
      </c>
    </row>
    <row r="7320" spans="1:2" ht="15" customHeight="1" x14ac:dyDescent="0.3">
      <c r="A7320" t="s">
        <v>6841</v>
      </c>
      <c r="B7320">
        <f>F1738</f>
        <v>10</v>
      </c>
    </row>
    <row r="7321" spans="1:2" ht="15" customHeight="1" x14ac:dyDescent="0.3">
      <c r="A7321" t="s">
        <v>6842</v>
      </c>
      <c r="B7321">
        <f t="shared" ref="B7321:B7329" si="1286">F1738</f>
        <v>10</v>
      </c>
    </row>
    <row r="7322" spans="1:2" ht="15" customHeight="1" x14ac:dyDescent="0.3">
      <c r="A7322" t="s">
        <v>1557</v>
      </c>
      <c r="B7322">
        <f t="shared" si="1286"/>
        <v>10</v>
      </c>
    </row>
    <row r="7323" spans="1:2" ht="15" customHeight="1" x14ac:dyDescent="0.3">
      <c r="A7323" t="s">
        <v>1558</v>
      </c>
      <c r="B7323">
        <f t="shared" si="1286"/>
        <v>15</v>
      </c>
    </row>
    <row r="7324" spans="1:2" ht="15" customHeight="1" x14ac:dyDescent="0.3">
      <c r="A7324" t="s">
        <v>1559</v>
      </c>
      <c r="B7324">
        <f t="shared" si="1286"/>
        <v>10</v>
      </c>
    </row>
    <row r="7325" spans="1:2" ht="15" customHeight="1" x14ac:dyDescent="0.3">
      <c r="A7325" t="s">
        <v>1560</v>
      </c>
      <c r="B7325">
        <f t="shared" si="1286"/>
        <v>10</v>
      </c>
    </row>
    <row r="7326" spans="1:2" ht="15" customHeight="1" x14ac:dyDescent="0.3">
      <c r="A7326" t="s">
        <v>1561</v>
      </c>
      <c r="B7326">
        <f t="shared" si="1286"/>
        <v>10</v>
      </c>
    </row>
    <row r="7327" spans="1:2" ht="15" customHeight="1" x14ac:dyDescent="0.3">
      <c r="A7327" t="s">
        <v>1562</v>
      </c>
      <c r="B7327">
        <f t="shared" si="1286"/>
        <v>10</v>
      </c>
    </row>
    <row r="7328" spans="1:2" ht="15" customHeight="1" x14ac:dyDescent="0.3">
      <c r="A7328" t="s">
        <v>1563</v>
      </c>
      <c r="B7328">
        <f t="shared" si="1286"/>
        <v>15</v>
      </c>
    </row>
    <row r="7329" spans="1:2" ht="15" customHeight="1" x14ac:dyDescent="0.3">
      <c r="A7329" t="s">
        <v>6843</v>
      </c>
      <c r="B7329">
        <f t="shared" si="1286"/>
        <v>10</v>
      </c>
    </row>
    <row r="7330" spans="1:2" ht="15" customHeight="1" x14ac:dyDescent="0.3">
      <c r="A7330" t="s">
        <v>6844</v>
      </c>
      <c r="B7330">
        <f>F1746</f>
        <v>10</v>
      </c>
    </row>
    <row r="7331" spans="1:2" ht="15" customHeight="1" x14ac:dyDescent="0.3">
      <c r="A7331" t="s">
        <v>1565</v>
      </c>
      <c r="B7331">
        <f>F1747</f>
        <v>10</v>
      </c>
    </row>
    <row r="7332" spans="1:2" ht="15" customHeight="1" x14ac:dyDescent="0.3">
      <c r="A7332" t="s">
        <v>6845</v>
      </c>
      <c r="B7332">
        <f>F1748</f>
        <v>10</v>
      </c>
    </row>
    <row r="7333" spans="1:2" ht="15" customHeight="1" x14ac:dyDescent="0.3">
      <c r="A7333" t="s">
        <v>6846</v>
      </c>
      <c r="B7333">
        <f>F1749</f>
        <v>10</v>
      </c>
    </row>
    <row r="7334" spans="1:2" ht="15" customHeight="1" x14ac:dyDescent="0.3">
      <c r="A7334" t="s">
        <v>6847</v>
      </c>
      <c r="B7334">
        <f>F1749</f>
        <v>10</v>
      </c>
    </row>
    <row r="7335" spans="1:2" ht="15" customHeight="1" x14ac:dyDescent="0.3">
      <c r="A7335" t="s">
        <v>6848</v>
      </c>
      <c r="B7335">
        <f>F1749</f>
        <v>10</v>
      </c>
    </row>
    <row r="7336" spans="1:2" ht="15" customHeight="1" x14ac:dyDescent="0.3">
      <c r="A7336" t="s">
        <v>6849</v>
      </c>
      <c r="B7336">
        <f>F1749</f>
        <v>10</v>
      </c>
    </row>
    <row r="7337" spans="1:2" ht="15" customHeight="1" x14ac:dyDescent="0.3">
      <c r="A7337" t="s">
        <v>6850</v>
      </c>
      <c r="B7337">
        <f>F1749</f>
        <v>10</v>
      </c>
    </row>
    <row r="7338" spans="1:2" ht="15" customHeight="1" x14ac:dyDescent="0.3">
      <c r="A7338" t="s">
        <v>6851</v>
      </c>
      <c r="B7338">
        <f>F1749</f>
        <v>10</v>
      </c>
    </row>
    <row r="7339" spans="1:2" ht="15" customHeight="1" x14ac:dyDescent="0.3">
      <c r="A7339" t="s">
        <v>6852</v>
      </c>
      <c r="B7339">
        <f>F1749</f>
        <v>10</v>
      </c>
    </row>
    <row r="7340" spans="1:2" ht="15" customHeight="1" x14ac:dyDescent="0.3">
      <c r="A7340" t="s">
        <v>6853</v>
      </c>
      <c r="B7340">
        <f>F1749</f>
        <v>10</v>
      </c>
    </row>
    <row r="7341" spans="1:2" ht="15" customHeight="1" x14ac:dyDescent="0.3">
      <c r="A7341" t="s">
        <v>6854</v>
      </c>
      <c r="B7341">
        <f>F1749</f>
        <v>10</v>
      </c>
    </row>
    <row r="7342" spans="1:2" ht="15" customHeight="1" x14ac:dyDescent="0.3">
      <c r="A7342" t="s">
        <v>6855</v>
      </c>
      <c r="B7342">
        <f>F1749</f>
        <v>10</v>
      </c>
    </row>
    <row r="7343" spans="1:2" ht="15" customHeight="1" x14ac:dyDescent="0.3">
      <c r="A7343" t="s">
        <v>6856</v>
      </c>
      <c r="B7343">
        <f>F1750</f>
        <v>10</v>
      </c>
    </row>
    <row r="7344" spans="1:2" ht="15" customHeight="1" x14ac:dyDescent="0.3">
      <c r="A7344" t="s">
        <v>6857</v>
      </c>
      <c r="B7344">
        <f>F1750</f>
        <v>10</v>
      </c>
    </row>
    <row r="7345" spans="1:2" ht="15" customHeight="1" x14ac:dyDescent="0.3">
      <c r="A7345" t="s">
        <v>6858</v>
      </c>
      <c r="B7345">
        <f>F1750</f>
        <v>10</v>
      </c>
    </row>
    <row r="7346" spans="1:2" ht="15" customHeight="1" x14ac:dyDescent="0.3">
      <c r="A7346" t="s">
        <v>6859</v>
      </c>
      <c r="B7346">
        <f>F1750</f>
        <v>10</v>
      </c>
    </row>
    <row r="7347" spans="1:2" ht="15" customHeight="1" x14ac:dyDescent="0.3">
      <c r="A7347" t="s">
        <v>6860</v>
      </c>
      <c r="B7347">
        <f>F1750</f>
        <v>10</v>
      </c>
    </row>
    <row r="7348" spans="1:2" ht="15" customHeight="1" x14ac:dyDescent="0.3">
      <c r="A7348" t="s">
        <v>6861</v>
      </c>
      <c r="B7348">
        <f>F1750</f>
        <v>10</v>
      </c>
    </row>
    <row r="7349" spans="1:2" ht="15" customHeight="1" x14ac:dyDescent="0.3">
      <c r="A7349" t="s">
        <v>6862</v>
      </c>
      <c r="B7349">
        <f>F1752</f>
        <v>10</v>
      </c>
    </row>
    <row r="7350" spans="1:2" ht="15" customHeight="1" x14ac:dyDescent="0.3">
      <c r="A7350" t="s">
        <v>6863</v>
      </c>
      <c r="B7350">
        <f>F1752</f>
        <v>10</v>
      </c>
    </row>
    <row r="7351" spans="1:2" ht="15" customHeight="1" x14ac:dyDescent="0.3">
      <c r="A7351" t="s">
        <v>6864</v>
      </c>
      <c r="B7351">
        <f>F1752</f>
        <v>10</v>
      </c>
    </row>
    <row r="7352" spans="1:2" ht="15" customHeight="1" x14ac:dyDescent="0.3">
      <c r="A7352" t="s">
        <v>6865</v>
      </c>
      <c r="B7352">
        <f>F1752</f>
        <v>10</v>
      </c>
    </row>
    <row r="7353" spans="1:2" ht="15" customHeight="1" x14ac:dyDescent="0.3">
      <c r="A7353" t="s">
        <v>6866</v>
      </c>
      <c r="B7353">
        <f>F1752</f>
        <v>10</v>
      </c>
    </row>
    <row r="7354" spans="1:2" ht="15" customHeight="1" x14ac:dyDescent="0.3">
      <c r="A7354" t="s">
        <v>6867</v>
      </c>
      <c r="B7354">
        <f>F1752</f>
        <v>10</v>
      </c>
    </row>
    <row r="7355" spans="1:2" ht="15" customHeight="1" x14ac:dyDescent="0.3">
      <c r="A7355" t="s">
        <v>6868</v>
      </c>
      <c r="B7355">
        <f>F1752</f>
        <v>10</v>
      </c>
    </row>
    <row r="7356" spans="1:2" ht="15" customHeight="1" x14ac:dyDescent="0.3">
      <c r="A7356" t="s">
        <v>6869</v>
      </c>
      <c r="B7356">
        <f>F1752</f>
        <v>10</v>
      </c>
    </row>
    <row r="7357" spans="1:2" ht="15" customHeight="1" x14ac:dyDescent="0.3">
      <c r="A7357" t="s">
        <v>6870</v>
      </c>
      <c r="B7357">
        <f>F1752</f>
        <v>10</v>
      </c>
    </row>
    <row r="7358" spans="1:2" ht="15" customHeight="1" x14ac:dyDescent="0.3">
      <c r="A7358" t="s">
        <v>1570</v>
      </c>
      <c r="B7358">
        <f>F1753</f>
        <v>25</v>
      </c>
    </row>
    <row r="7359" spans="1:2" ht="15" customHeight="1" x14ac:dyDescent="0.3">
      <c r="A7359" t="s">
        <v>1571</v>
      </c>
      <c r="B7359">
        <f>F1754</f>
        <v>25</v>
      </c>
    </row>
    <row r="7360" spans="1:2" ht="15" customHeight="1" x14ac:dyDescent="0.3">
      <c r="A7360" t="s">
        <v>6871</v>
      </c>
      <c r="B7360">
        <f>F1756</f>
        <v>30</v>
      </c>
    </row>
    <row r="7361" spans="1:2" ht="15" customHeight="1" x14ac:dyDescent="0.3">
      <c r="A7361" t="s">
        <v>6872</v>
      </c>
      <c r="B7361">
        <f>F1756</f>
        <v>30</v>
      </c>
    </row>
    <row r="7362" spans="1:2" ht="15" customHeight="1" x14ac:dyDescent="0.3">
      <c r="A7362" t="s">
        <v>1574</v>
      </c>
      <c r="B7362">
        <f>F1757</f>
        <v>25</v>
      </c>
    </row>
    <row r="7363" spans="1:2" ht="15" customHeight="1" x14ac:dyDescent="0.3">
      <c r="A7363" t="s">
        <v>7561</v>
      </c>
      <c r="B7363">
        <f>B7358</f>
        <v>25</v>
      </c>
    </row>
    <row r="7364" spans="1:2" ht="15" customHeight="1" x14ac:dyDescent="0.3">
      <c r="A7364" t="s">
        <v>7562</v>
      </c>
      <c r="B7364">
        <f>B7359</f>
        <v>25</v>
      </c>
    </row>
    <row r="7365" spans="1:2" ht="15" customHeight="1" x14ac:dyDescent="0.3">
      <c r="A7365" t="s">
        <v>7563</v>
      </c>
      <c r="B7365">
        <f>B7360</f>
        <v>30</v>
      </c>
    </row>
    <row r="7366" spans="1:2" ht="15" customHeight="1" x14ac:dyDescent="0.3">
      <c r="A7366" t="s">
        <v>7564</v>
      </c>
      <c r="B7366">
        <f>B7361</f>
        <v>30</v>
      </c>
    </row>
    <row r="7367" spans="1:2" ht="15" customHeight="1" x14ac:dyDescent="0.3">
      <c r="A7367" t="s">
        <v>7565</v>
      </c>
      <c r="B7367">
        <f>B7362</f>
        <v>25</v>
      </c>
    </row>
    <row r="7368" spans="1:2" ht="15" customHeight="1" x14ac:dyDescent="0.3">
      <c r="A7368" t="s">
        <v>6873</v>
      </c>
      <c r="B7368">
        <f>F1758</f>
        <v>15</v>
      </c>
    </row>
    <row r="7369" spans="1:2" ht="15" customHeight="1" x14ac:dyDescent="0.3">
      <c r="A7369" t="s">
        <v>6874</v>
      </c>
      <c r="B7369">
        <f>F1758</f>
        <v>15</v>
      </c>
    </row>
    <row r="7370" spans="1:2" ht="15" customHeight="1" x14ac:dyDescent="0.3">
      <c r="A7370" t="s">
        <v>6875</v>
      </c>
      <c r="B7370">
        <f>F1758</f>
        <v>15</v>
      </c>
    </row>
    <row r="7371" spans="1:2" ht="15" customHeight="1" x14ac:dyDescent="0.3">
      <c r="A7371" t="s">
        <v>6876</v>
      </c>
      <c r="B7371">
        <f>F1758</f>
        <v>15</v>
      </c>
    </row>
    <row r="7372" spans="1:2" ht="15" customHeight="1" x14ac:dyDescent="0.3">
      <c r="A7372" t="s">
        <v>1576</v>
      </c>
      <c r="B7372">
        <f>F1759</f>
        <v>0</v>
      </c>
    </row>
    <row r="7373" spans="1:2" ht="15" customHeight="1" x14ac:dyDescent="0.3">
      <c r="A7373" t="s">
        <v>6877</v>
      </c>
      <c r="B7373">
        <f>F1760</f>
        <v>10</v>
      </c>
    </row>
    <row r="7374" spans="1:2" ht="15" customHeight="1" x14ac:dyDescent="0.3">
      <c r="A7374" t="s">
        <v>6878</v>
      </c>
      <c r="B7374">
        <f>F1760</f>
        <v>10</v>
      </c>
    </row>
    <row r="7375" spans="1:2" ht="15" customHeight="1" x14ac:dyDescent="0.3">
      <c r="A7375" t="s">
        <v>10914</v>
      </c>
      <c r="B7375">
        <f>F1760</f>
        <v>10</v>
      </c>
    </row>
    <row r="7376" spans="1:2" ht="15" customHeight="1" x14ac:dyDescent="0.3">
      <c r="A7376" t="s">
        <v>10916</v>
      </c>
      <c r="B7376">
        <f>F1760</f>
        <v>10</v>
      </c>
    </row>
    <row r="7377" spans="1:2" ht="15" customHeight="1" x14ac:dyDescent="0.3">
      <c r="A7377" t="s">
        <v>10915</v>
      </c>
      <c r="B7377">
        <f>F1760</f>
        <v>10</v>
      </c>
    </row>
    <row r="7378" spans="1:2" ht="15" customHeight="1" x14ac:dyDescent="0.3">
      <c r="A7378" t="s">
        <v>10917</v>
      </c>
      <c r="B7378">
        <f>F1760</f>
        <v>10</v>
      </c>
    </row>
    <row r="7379" spans="1:2" ht="15" customHeight="1" x14ac:dyDescent="0.3">
      <c r="A7379" t="s">
        <v>7566</v>
      </c>
      <c r="B7379">
        <f>F1761</f>
        <v>10</v>
      </c>
    </row>
    <row r="7380" spans="1:2" ht="15" customHeight="1" x14ac:dyDescent="0.3">
      <c r="A7380" t="s">
        <v>7567</v>
      </c>
      <c r="B7380">
        <f>F1761</f>
        <v>10</v>
      </c>
    </row>
    <row r="7381" spans="1:2" ht="15" customHeight="1" x14ac:dyDescent="0.3">
      <c r="A7381" t="s">
        <v>7568</v>
      </c>
      <c r="B7381">
        <f>F1761</f>
        <v>10</v>
      </c>
    </row>
    <row r="7382" spans="1:2" ht="15" customHeight="1" x14ac:dyDescent="0.3">
      <c r="A7382" t="s">
        <v>7569</v>
      </c>
      <c r="B7382">
        <f>F1761</f>
        <v>10</v>
      </c>
    </row>
    <row r="7383" spans="1:2" ht="15" customHeight="1" x14ac:dyDescent="0.3">
      <c r="A7383" t="s">
        <v>1577</v>
      </c>
      <c r="B7383">
        <f>F1762</f>
        <v>10</v>
      </c>
    </row>
    <row r="7384" spans="1:2" ht="15" customHeight="1" x14ac:dyDescent="0.3">
      <c r="A7384" t="s">
        <v>1578</v>
      </c>
      <c r="B7384">
        <f>F1763</f>
        <v>10</v>
      </c>
    </row>
    <row r="7385" spans="1:2" ht="15" customHeight="1" x14ac:dyDescent="0.3">
      <c r="A7385" t="s">
        <v>6879</v>
      </c>
      <c r="B7385">
        <f>F1764</f>
        <v>10</v>
      </c>
    </row>
    <row r="7386" spans="1:2" ht="15" customHeight="1" x14ac:dyDescent="0.3">
      <c r="A7386" t="s">
        <v>6880</v>
      </c>
      <c r="B7386">
        <f>F1764</f>
        <v>10</v>
      </c>
    </row>
    <row r="7387" spans="1:2" ht="15" customHeight="1" x14ac:dyDescent="0.3">
      <c r="A7387" t="s">
        <v>1580</v>
      </c>
      <c r="B7387">
        <f>F1765</f>
        <v>10</v>
      </c>
    </row>
    <row r="7388" spans="1:2" ht="15" customHeight="1" x14ac:dyDescent="0.3">
      <c r="A7388" t="s">
        <v>6881</v>
      </c>
      <c r="B7388">
        <f>F1766</f>
        <v>10</v>
      </c>
    </row>
    <row r="7389" spans="1:2" ht="15" customHeight="1" x14ac:dyDescent="0.3">
      <c r="A7389" t="s">
        <v>6882</v>
      </c>
      <c r="B7389">
        <f>F1766</f>
        <v>10</v>
      </c>
    </row>
    <row r="7390" spans="1:2" ht="15" customHeight="1" x14ac:dyDescent="0.3">
      <c r="A7390" t="s">
        <v>10869</v>
      </c>
      <c r="B7390">
        <f>F1768</f>
        <v>10</v>
      </c>
    </row>
    <row r="7391" spans="1:2" ht="15" customHeight="1" x14ac:dyDescent="0.3">
      <c r="A7391" t="s">
        <v>10870</v>
      </c>
      <c r="B7391">
        <f>F1768</f>
        <v>10</v>
      </c>
    </row>
    <row r="7392" spans="1:2" ht="15" customHeight="1" x14ac:dyDescent="0.3">
      <c r="A7392" t="s">
        <v>1582</v>
      </c>
      <c r="B7392">
        <f>F1767</f>
        <v>10</v>
      </c>
    </row>
    <row r="7393" spans="1:2" ht="15" customHeight="1" x14ac:dyDescent="0.3">
      <c r="A7393" t="s">
        <v>1583</v>
      </c>
      <c r="B7393">
        <f>F1768</f>
        <v>10</v>
      </c>
    </row>
    <row r="7394" spans="1:2" ht="15" customHeight="1" x14ac:dyDescent="0.3">
      <c r="A7394" t="s">
        <v>10871</v>
      </c>
      <c r="B7394">
        <f>F1768</f>
        <v>10</v>
      </c>
    </row>
    <row r="7395" spans="1:2" ht="15" customHeight="1" x14ac:dyDescent="0.3">
      <c r="A7395" t="s">
        <v>10873</v>
      </c>
      <c r="B7395">
        <f>F1768</f>
        <v>10</v>
      </c>
    </row>
    <row r="7396" spans="1:2" ht="15" customHeight="1" x14ac:dyDescent="0.3">
      <c r="A7396" t="s">
        <v>10874</v>
      </c>
      <c r="B7396">
        <f>F1768</f>
        <v>10</v>
      </c>
    </row>
    <row r="7397" spans="1:2" ht="15" customHeight="1" x14ac:dyDescent="0.3">
      <c r="A7397" t="s">
        <v>10872</v>
      </c>
      <c r="B7397">
        <f>F1768</f>
        <v>10</v>
      </c>
    </row>
    <row r="7398" spans="1:2" ht="15" customHeight="1" x14ac:dyDescent="0.3">
      <c r="A7398" t="s">
        <v>10875</v>
      </c>
      <c r="B7398">
        <f>F1768</f>
        <v>10</v>
      </c>
    </row>
    <row r="7399" spans="1:2" ht="15" customHeight="1" x14ac:dyDescent="0.3">
      <c r="A7399" t="s">
        <v>10876</v>
      </c>
      <c r="B7399">
        <f>F1768</f>
        <v>10</v>
      </c>
    </row>
    <row r="7400" spans="1:2" ht="15" customHeight="1" x14ac:dyDescent="0.3">
      <c r="A7400" t="s">
        <v>10877</v>
      </c>
      <c r="B7400">
        <f>F1768</f>
        <v>10</v>
      </c>
    </row>
    <row r="7401" spans="1:2" ht="15" customHeight="1" x14ac:dyDescent="0.3">
      <c r="A7401" t="s">
        <v>10878</v>
      </c>
      <c r="B7401">
        <f>F1768</f>
        <v>10</v>
      </c>
    </row>
    <row r="7402" spans="1:2" ht="15" customHeight="1" x14ac:dyDescent="0.3">
      <c r="A7402" t="s">
        <v>7570</v>
      </c>
      <c r="B7402">
        <f>F1769</f>
        <v>10</v>
      </c>
    </row>
    <row r="7403" spans="1:2" ht="15" customHeight="1" x14ac:dyDescent="0.3">
      <c r="A7403" t="s">
        <v>7571</v>
      </c>
      <c r="B7403">
        <f>F1769</f>
        <v>10</v>
      </c>
    </row>
    <row r="7404" spans="1:2" ht="15" customHeight="1" x14ac:dyDescent="0.3">
      <c r="A7404" t="s">
        <v>6883</v>
      </c>
      <c r="B7404">
        <f>F1770</f>
        <v>12</v>
      </c>
    </row>
    <row r="7405" spans="1:2" ht="15" customHeight="1" x14ac:dyDescent="0.3">
      <c r="A7405" t="s">
        <v>10598</v>
      </c>
      <c r="B7405">
        <f>F1768</f>
        <v>10</v>
      </c>
    </row>
    <row r="7406" spans="1:2" ht="15" customHeight="1" x14ac:dyDescent="0.3">
      <c r="A7406" t="s">
        <v>10879</v>
      </c>
      <c r="B7406">
        <f>F1768</f>
        <v>10</v>
      </c>
    </row>
    <row r="7407" spans="1:2" ht="15" customHeight="1" x14ac:dyDescent="0.3">
      <c r="A7407" t="s">
        <v>10599</v>
      </c>
      <c r="B7407">
        <f>F1768</f>
        <v>10</v>
      </c>
    </row>
    <row r="7408" spans="1:2" ht="15" customHeight="1" x14ac:dyDescent="0.3">
      <c r="A7408" t="s">
        <v>10880</v>
      </c>
      <c r="B7408">
        <f>F1768</f>
        <v>10</v>
      </c>
    </row>
    <row r="7409" spans="1:2" ht="15" customHeight="1" x14ac:dyDescent="0.3">
      <c r="A7409" t="s">
        <v>10881</v>
      </c>
      <c r="B7409">
        <f>F1768</f>
        <v>10</v>
      </c>
    </row>
    <row r="7410" spans="1:2" ht="15" customHeight="1" x14ac:dyDescent="0.3">
      <c r="A7410" t="s">
        <v>10882</v>
      </c>
      <c r="B7410">
        <f>F1768</f>
        <v>10</v>
      </c>
    </row>
    <row r="7411" spans="1:2" ht="15" customHeight="1" x14ac:dyDescent="0.3">
      <c r="A7411" t="s">
        <v>10883</v>
      </c>
      <c r="B7411">
        <f>F1768</f>
        <v>10</v>
      </c>
    </row>
    <row r="7412" spans="1:2" ht="15" customHeight="1" x14ac:dyDescent="0.3">
      <c r="A7412" t="s">
        <v>10884</v>
      </c>
      <c r="B7412">
        <f>F1768</f>
        <v>10</v>
      </c>
    </row>
    <row r="7413" spans="1:2" ht="15" customHeight="1" x14ac:dyDescent="0.3">
      <c r="A7413" t="s">
        <v>10885</v>
      </c>
      <c r="B7413">
        <f>F1768</f>
        <v>10</v>
      </c>
    </row>
    <row r="7414" spans="1:2" ht="15" customHeight="1" x14ac:dyDescent="0.3">
      <c r="A7414" t="s">
        <v>10886</v>
      </c>
      <c r="B7414">
        <f>F1768</f>
        <v>10</v>
      </c>
    </row>
    <row r="7415" spans="1:2" ht="15" customHeight="1" x14ac:dyDescent="0.3">
      <c r="A7415" t="s">
        <v>6884</v>
      </c>
      <c r="B7415">
        <f>F1768</f>
        <v>10</v>
      </c>
    </row>
    <row r="7416" spans="1:2" ht="15" customHeight="1" x14ac:dyDescent="0.3">
      <c r="A7416" t="s">
        <v>10887</v>
      </c>
      <c r="B7416">
        <f>F1768</f>
        <v>10</v>
      </c>
    </row>
    <row r="7417" spans="1:2" ht="15" customHeight="1" x14ac:dyDescent="0.3">
      <c r="A7417" t="s">
        <v>10888</v>
      </c>
      <c r="B7417">
        <f>F1768</f>
        <v>10</v>
      </c>
    </row>
    <row r="7418" spans="1:2" ht="15" customHeight="1" x14ac:dyDescent="0.3">
      <c r="A7418" t="s">
        <v>10889</v>
      </c>
      <c r="B7418">
        <f>F1768</f>
        <v>10</v>
      </c>
    </row>
    <row r="7419" spans="1:2" ht="15" customHeight="1" x14ac:dyDescent="0.3">
      <c r="A7419" t="s">
        <v>10890</v>
      </c>
      <c r="B7419">
        <f>F1768</f>
        <v>10</v>
      </c>
    </row>
    <row r="7420" spans="1:2" ht="15" customHeight="1" x14ac:dyDescent="0.3">
      <c r="A7420" t="s">
        <v>10891</v>
      </c>
      <c r="B7420">
        <f>F1768</f>
        <v>10</v>
      </c>
    </row>
    <row r="7421" spans="1:2" ht="15" customHeight="1" x14ac:dyDescent="0.3">
      <c r="A7421" t="s">
        <v>10892</v>
      </c>
      <c r="B7421">
        <f>F1768</f>
        <v>10</v>
      </c>
    </row>
    <row r="7422" spans="1:2" ht="15" customHeight="1" x14ac:dyDescent="0.3">
      <c r="A7422" t="s">
        <v>6885</v>
      </c>
      <c r="B7422">
        <f>F1771</f>
        <v>10</v>
      </c>
    </row>
    <row r="7423" spans="1:2" ht="15" customHeight="1" x14ac:dyDescent="0.3">
      <c r="A7423" t="s">
        <v>6886</v>
      </c>
      <c r="B7423">
        <f>F1771</f>
        <v>10</v>
      </c>
    </row>
    <row r="7424" spans="1:2" ht="15" customHeight="1" x14ac:dyDescent="0.3">
      <c r="A7424" t="s">
        <v>6887</v>
      </c>
      <c r="B7424">
        <f>F1771</f>
        <v>10</v>
      </c>
    </row>
    <row r="7425" spans="1:2" ht="15" customHeight="1" x14ac:dyDescent="0.3">
      <c r="A7425" t="s">
        <v>6888</v>
      </c>
      <c r="B7425">
        <f>F1771</f>
        <v>10</v>
      </c>
    </row>
    <row r="7426" spans="1:2" ht="15" customHeight="1" x14ac:dyDescent="0.3">
      <c r="A7426" t="s">
        <v>6889</v>
      </c>
      <c r="B7426">
        <f>F1771</f>
        <v>10</v>
      </c>
    </row>
    <row r="7427" spans="1:2" ht="15" customHeight="1" x14ac:dyDescent="0.3">
      <c r="A7427" t="s">
        <v>6890</v>
      </c>
      <c r="B7427">
        <f>F1771</f>
        <v>10</v>
      </c>
    </row>
    <row r="7428" spans="1:2" ht="15" customHeight="1" x14ac:dyDescent="0.3">
      <c r="A7428" t="s">
        <v>6891</v>
      </c>
      <c r="B7428">
        <f>F1771</f>
        <v>10</v>
      </c>
    </row>
    <row r="7429" spans="1:2" ht="15" customHeight="1" x14ac:dyDescent="0.3">
      <c r="A7429" t="s">
        <v>6892</v>
      </c>
      <c r="B7429">
        <f>F1771</f>
        <v>10</v>
      </c>
    </row>
    <row r="7430" spans="1:2" ht="15" customHeight="1" x14ac:dyDescent="0.3">
      <c r="A7430" t="s">
        <v>6893</v>
      </c>
      <c r="B7430">
        <f>F1771</f>
        <v>10</v>
      </c>
    </row>
    <row r="7431" spans="1:2" ht="15" customHeight="1" x14ac:dyDescent="0.3">
      <c r="A7431" t="s">
        <v>6894</v>
      </c>
      <c r="B7431">
        <f>F1771</f>
        <v>10</v>
      </c>
    </row>
    <row r="7432" spans="1:2" ht="15" customHeight="1" x14ac:dyDescent="0.3">
      <c r="A7432" t="s">
        <v>6895</v>
      </c>
      <c r="B7432">
        <f>F1771</f>
        <v>10</v>
      </c>
    </row>
    <row r="7433" spans="1:2" ht="15" customHeight="1" x14ac:dyDescent="0.3">
      <c r="A7433" t="s">
        <v>6896</v>
      </c>
      <c r="B7433">
        <f>F1771</f>
        <v>10</v>
      </c>
    </row>
    <row r="7434" spans="1:2" ht="15" customHeight="1" x14ac:dyDescent="0.3">
      <c r="A7434" t="s">
        <v>6897</v>
      </c>
      <c r="B7434">
        <f>F1771</f>
        <v>10</v>
      </c>
    </row>
    <row r="7435" spans="1:2" ht="15" customHeight="1" x14ac:dyDescent="0.3">
      <c r="A7435" t="s">
        <v>6898</v>
      </c>
      <c r="B7435">
        <f>F1772</f>
        <v>12</v>
      </c>
    </row>
    <row r="7436" spans="1:2" ht="15" customHeight="1" x14ac:dyDescent="0.3">
      <c r="A7436" t="s">
        <v>6899</v>
      </c>
      <c r="B7436">
        <f>F1772</f>
        <v>12</v>
      </c>
    </row>
    <row r="7437" spans="1:2" ht="15" customHeight="1" x14ac:dyDescent="0.3">
      <c r="A7437" t="s">
        <v>6900</v>
      </c>
      <c r="B7437">
        <f>F1772</f>
        <v>12</v>
      </c>
    </row>
    <row r="7438" spans="1:2" ht="15" customHeight="1" x14ac:dyDescent="0.3">
      <c r="A7438" t="s">
        <v>6901</v>
      </c>
      <c r="B7438">
        <f>F1772</f>
        <v>12</v>
      </c>
    </row>
    <row r="7439" spans="1:2" ht="15" customHeight="1" x14ac:dyDescent="0.3">
      <c r="A7439" t="s">
        <v>6902</v>
      </c>
      <c r="B7439">
        <f>F1772</f>
        <v>12</v>
      </c>
    </row>
    <row r="7440" spans="1:2" ht="15" customHeight="1" x14ac:dyDescent="0.3">
      <c r="A7440" t="s">
        <v>6903</v>
      </c>
      <c r="B7440">
        <f>F1772</f>
        <v>12</v>
      </c>
    </row>
    <row r="7441" spans="1:2" ht="15" customHeight="1" x14ac:dyDescent="0.3">
      <c r="A7441" t="s">
        <v>7599</v>
      </c>
      <c r="B7441">
        <f>B7373</f>
        <v>10</v>
      </c>
    </row>
    <row r="7442" spans="1:2" ht="15" customHeight="1" x14ac:dyDescent="0.3">
      <c r="A7442" t="s">
        <v>7600</v>
      </c>
      <c r="B7442">
        <f>B7374</f>
        <v>10</v>
      </c>
    </row>
    <row r="7443" spans="1:2" ht="15" customHeight="1" x14ac:dyDescent="0.3">
      <c r="A7443" t="s">
        <v>7608</v>
      </c>
      <c r="B7443">
        <f t="shared" ref="B7443:B7453" si="1287">B7379</f>
        <v>10</v>
      </c>
    </row>
    <row r="7444" spans="1:2" ht="15" customHeight="1" x14ac:dyDescent="0.3">
      <c r="A7444" t="s">
        <v>7601</v>
      </c>
      <c r="B7444">
        <f t="shared" si="1287"/>
        <v>10</v>
      </c>
    </row>
    <row r="7445" spans="1:2" ht="15" customHeight="1" x14ac:dyDescent="0.3">
      <c r="A7445" t="s">
        <v>7609</v>
      </c>
      <c r="B7445">
        <f t="shared" si="1287"/>
        <v>10</v>
      </c>
    </row>
    <row r="7446" spans="1:2" ht="15" customHeight="1" x14ac:dyDescent="0.3">
      <c r="A7446" t="s">
        <v>7607</v>
      </c>
      <c r="B7446">
        <f t="shared" si="1287"/>
        <v>10</v>
      </c>
    </row>
    <row r="7447" spans="1:2" ht="15" customHeight="1" x14ac:dyDescent="0.3">
      <c r="A7447" t="s">
        <v>7602</v>
      </c>
      <c r="B7447">
        <f t="shared" si="1287"/>
        <v>10</v>
      </c>
    </row>
    <row r="7448" spans="1:2" ht="15" customHeight="1" x14ac:dyDescent="0.3">
      <c r="A7448" t="s">
        <v>7603</v>
      </c>
      <c r="B7448">
        <f t="shared" si="1287"/>
        <v>10</v>
      </c>
    </row>
    <row r="7449" spans="1:2" ht="15" customHeight="1" x14ac:dyDescent="0.3">
      <c r="A7449" t="s">
        <v>7604</v>
      </c>
      <c r="B7449">
        <f t="shared" si="1287"/>
        <v>10</v>
      </c>
    </row>
    <row r="7450" spans="1:2" ht="15" customHeight="1" x14ac:dyDescent="0.3">
      <c r="A7450" t="s">
        <v>7605</v>
      </c>
      <c r="B7450">
        <f t="shared" si="1287"/>
        <v>10</v>
      </c>
    </row>
    <row r="7451" spans="1:2" ht="15" customHeight="1" x14ac:dyDescent="0.3">
      <c r="A7451" t="s">
        <v>7606</v>
      </c>
      <c r="B7451">
        <f t="shared" si="1287"/>
        <v>10</v>
      </c>
    </row>
    <row r="7452" spans="1:2" ht="15" customHeight="1" x14ac:dyDescent="0.3">
      <c r="A7452" t="s">
        <v>7573</v>
      </c>
      <c r="B7452">
        <f t="shared" si="1287"/>
        <v>10</v>
      </c>
    </row>
    <row r="7453" spans="1:2" ht="15" customHeight="1" x14ac:dyDescent="0.3">
      <c r="A7453" t="s">
        <v>7574</v>
      </c>
      <c r="B7453">
        <f t="shared" si="1287"/>
        <v>10</v>
      </c>
    </row>
    <row r="7454" spans="1:2" ht="15" customHeight="1" x14ac:dyDescent="0.3">
      <c r="A7454" t="s">
        <v>7575</v>
      </c>
      <c r="B7454">
        <f>B7392</f>
        <v>10</v>
      </c>
    </row>
    <row r="7455" spans="1:2" ht="15" customHeight="1" x14ac:dyDescent="0.3">
      <c r="A7455" t="s">
        <v>7576</v>
      </c>
      <c r="B7455">
        <f>B7393</f>
        <v>10</v>
      </c>
    </row>
    <row r="7456" spans="1:2" ht="15" customHeight="1" x14ac:dyDescent="0.3">
      <c r="A7456" t="s">
        <v>7577</v>
      </c>
      <c r="B7456">
        <f>B7402</f>
        <v>10</v>
      </c>
    </row>
    <row r="7457" spans="1:2" ht="15" customHeight="1" x14ac:dyDescent="0.3">
      <c r="A7457" t="s">
        <v>7578</v>
      </c>
      <c r="B7457">
        <f>B7403</f>
        <v>10</v>
      </c>
    </row>
    <row r="7458" spans="1:2" ht="15" customHeight="1" x14ac:dyDescent="0.3">
      <c r="A7458" t="s">
        <v>7579</v>
      </c>
      <c r="B7458">
        <f>B7404</f>
        <v>12</v>
      </c>
    </row>
    <row r="7459" spans="1:2" ht="15" customHeight="1" x14ac:dyDescent="0.3">
      <c r="A7459" t="s">
        <v>7580</v>
      </c>
      <c r="B7459">
        <f>B7415</f>
        <v>10</v>
      </c>
    </row>
    <row r="7460" spans="1:2" ht="15" customHeight="1" x14ac:dyDescent="0.3">
      <c r="A7460" t="s">
        <v>7572</v>
      </c>
      <c r="B7460">
        <f t="shared" ref="B7460:B7478" si="1288">B7422</f>
        <v>10</v>
      </c>
    </row>
    <row r="7461" spans="1:2" ht="15" customHeight="1" x14ac:dyDescent="0.3">
      <c r="A7461" t="s">
        <v>7581</v>
      </c>
      <c r="B7461">
        <f t="shared" si="1288"/>
        <v>10</v>
      </c>
    </row>
    <row r="7462" spans="1:2" ht="15" customHeight="1" x14ac:dyDescent="0.3">
      <c r="A7462" t="s">
        <v>7582</v>
      </c>
      <c r="B7462">
        <f t="shared" si="1288"/>
        <v>10</v>
      </c>
    </row>
    <row r="7463" spans="1:2" ht="15" customHeight="1" x14ac:dyDescent="0.3">
      <c r="A7463" t="s">
        <v>7583</v>
      </c>
      <c r="B7463">
        <f t="shared" si="1288"/>
        <v>10</v>
      </c>
    </row>
    <row r="7464" spans="1:2" ht="15" customHeight="1" x14ac:dyDescent="0.3">
      <c r="A7464" t="s">
        <v>7584</v>
      </c>
      <c r="B7464">
        <f t="shared" si="1288"/>
        <v>10</v>
      </c>
    </row>
    <row r="7465" spans="1:2" ht="15" customHeight="1" x14ac:dyDescent="0.3">
      <c r="A7465" t="s">
        <v>7585</v>
      </c>
      <c r="B7465">
        <f t="shared" si="1288"/>
        <v>10</v>
      </c>
    </row>
    <row r="7466" spans="1:2" ht="15" customHeight="1" x14ac:dyDescent="0.3">
      <c r="A7466" t="s">
        <v>7586</v>
      </c>
      <c r="B7466">
        <f t="shared" si="1288"/>
        <v>10</v>
      </c>
    </row>
    <row r="7467" spans="1:2" ht="15" customHeight="1" x14ac:dyDescent="0.3">
      <c r="A7467" t="s">
        <v>7587</v>
      </c>
      <c r="B7467">
        <f t="shared" si="1288"/>
        <v>10</v>
      </c>
    </row>
    <row r="7468" spans="1:2" ht="15" customHeight="1" x14ac:dyDescent="0.3">
      <c r="A7468" t="s">
        <v>7588</v>
      </c>
      <c r="B7468">
        <f t="shared" si="1288"/>
        <v>10</v>
      </c>
    </row>
    <row r="7469" spans="1:2" ht="15" customHeight="1" x14ac:dyDescent="0.3">
      <c r="A7469" t="s">
        <v>7589</v>
      </c>
      <c r="B7469">
        <f t="shared" si="1288"/>
        <v>10</v>
      </c>
    </row>
    <row r="7470" spans="1:2" ht="15" customHeight="1" x14ac:dyDescent="0.3">
      <c r="A7470" t="s">
        <v>7590</v>
      </c>
      <c r="B7470">
        <f t="shared" si="1288"/>
        <v>10</v>
      </c>
    </row>
    <row r="7471" spans="1:2" ht="15" customHeight="1" x14ac:dyDescent="0.3">
      <c r="A7471" t="s">
        <v>7591</v>
      </c>
      <c r="B7471">
        <f t="shared" si="1288"/>
        <v>10</v>
      </c>
    </row>
    <row r="7472" spans="1:2" ht="15" customHeight="1" x14ac:dyDescent="0.3">
      <c r="A7472" t="s">
        <v>7592</v>
      </c>
      <c r="B7472">
        <f t="shared" si="1288"/>
        <v>10</v>
      </c>
    </row>
    <row r="7473" spans="1:2" ht="15" customHeight="1" x14ac:dyDescent="0.3">
      <c r="A7473" t="s">
        <v>7593</v>
      </c>
      <c r="B7473">
        <f t="shared" si="1288"/>
        <v>12</v>
      </c>
    </row>
    <row r="7474" spans="1:2" ht="15" customHeight="1" x14ac:dyDescent="0.3">
      <c r="A7474" t="s">
        <v>7594</v>
      </c>
      <c r="B7474">
        <f t="shared" si="1288"/>
        <v>12</v>
      </c>
    </row>
    <row r="7475" spans="1:2" ht="15" customHeight="1" x14ac:dyDescent="0.3">
      <c r="A7475" t="s">
        <v>7595</v>
      </c>
      <c r="B7475">
        <f t="shared" si="1288"/>
        <v>12</v>
      </c>
    </row>
    <row r="7476" spans="1:2" ht="15" customHeight="1" x14ac:dyDescent="0.3">
      <c r="A7476" t="s">
        <v>7596</v>
      </c>
      <c r="B7476">
        <f t="shared" si="1288"/>
        <v>12</v>
      </c>
    </row>
    <row r="7477" spans="1:2" ht="15" customHeight="1" x14ac:dyDescent="0.3">
      <c r="A7477" t="s">
        <v>7597</v>
      </c>
      <c r="B7477">
        <f t="shared" si="1288"/>
        <v>12</v>
      </c>
    </row>
    <row r="7478" spans="1:2" ht="15" customHeight="1" x14ac:dyDescent="0.3">
      <c r="A7478" t="s">
        <v>7598</v>
      </c>
      <c r="B7478">
        <f t="shared" si="1288"/>
        <v>12</v>
      </c>
    </row>
    <row r="7479" spans="1:2" ht="15" customHeight="1" x14ac:dyDescent="0.3">
      <c r="A7479" t="s">
        <v>6042</v>
      </c>
      <c r="B7479">
        <f>F1774</f>
        <v>20</v>
      </c>
    </row>
    <row r="7480" spans="1:2" ht="15" customHeight="1" x14ac:dyDescent="0.3">
      <c r="A7480" t="s">
        <v>5421</v>
      </c>
      <c r="B7480">
        <f>F1775</f>
        <v>15</v>
      </c>
    </row>
    <row r="7481" spans="1:2" ht="15" customHeight="1" x14ac:dyDescent="0.3">
      <c r="A7481" t="s">
        <v>5422</v>
      </c>
      <c r="B7481">
        <f>F1778</f>
        <v>15</v>
      </c>
    </row>
    <row r="7482" spans="1:2" ht="15" customHeight="1" x14ac:dyDescent="0.3">
      <c r="A7482" t="s">
        <v>5423</v>
      </c>
      <c r="B7482">
        <f>F1779</f>
        <v>15</v>
      </c>
    </row>
    <row r="7483" spans="1:2" ht="15" customHeight="1" x14ac:dyDescent="0.3">
      <c r="A7483" s="33" t="s">
        <v>5261</v>
      </c>
      <c r="B7483">
        <f>F1780</f>
        <v>12</v>
      </c>
    </row>
    <row r="7484" spans="1:2" ht="15" customHeight="1" x14ac:dyDescent="0.3">
      <c r="A7484" s="33" t="s">
        <v>5262</v>
      </c>
      <c r="B7484">
        <f>F1780</f>
        <v>12</v>
      </c>
    </row>
    <row r="7485" spans="1:2" ht="15" customHeight="1" x14ac:dyDescent="0.3">
      <c r="A7485" t="s">
        <v>5424</v>
      </c>
      <c r="B7485">
        <f>F1783</f>
        <v>15</v>
      </c>
    </row>
    <row r="7486" spans="1:2" ht="15" customHeight="1" x14ac:dyDescent="0.3">
      <c r="A7486" t="s">
        <v>5126</v>
      </c>
      <c r="B7486">
        <f>F1785</f>
        <v>15</v>
      </c>
    </row>
    <row r="7487" spans="1:2" ht="15" customHeight="1" x14ac:dyDescent="0.3">
      <c r="A7487" s="33" t="s">
        <v>5425</v>
      </c>
      <c r="B7487">
        <f>F1788</f>
        <v>15</v>
      </c>
    </row>
    <row r="7488" spans="1:2" ht="15" customHeight="1" x14ac:dyDescent="0.3">
      <c r="A7488" s="33" t="s">
        <v>6006</v>
      </c>
      <c r="B7488">
        <f>F1789</f>
        <v>15</v>
      </c>
    </row>
    <row r="7489" spans="1:2" ht="15" customHeight="1" x14ac:dyDescent="0.3">
      <c r="A7489" t="s">
        <v>1587</v>
      </c>
      <c r="B7489">
        <f>F1790</f>
        <v>0</v>
      </c>
    </row>
    <row r="7490" spans="1:2" ht="15" customHeight="1" x14ac:dyDescent="0.3">
      <c r="A7490" t="s">
        <v>5426</v>
      </c>
      <c r="B7490">
        <f>F1791</f>
        <v>15</v>
      </c>
    </row>
    <row r="7491" spans="1:2" ht="15" customHeight="1" x14ac:dyDescent="0.3">
      <c r="A7491" t="s">
        <v>5921</v>
      </c>
      <c r="B7491">
        <f>F1794</f>
        <v>15</v>
      </c>
    </row>
    <row r="7492" spans="1:2" ht="15" customHeight="1" x14ac:dyDescent="0.3">
      <c r="A7492" t="s">
        <v>5922</v>
      </c>
      <c r="B7492">
        <f>F1796</f>
        <v>15</v>
      </c>
    </row>
    <row r="7493" spans="1:2" ht="15" customHeight="1" x14ac:dyDescent="0.3">
      <c r="A7493" t="s">
        <v>5427</v>
      </c>
      <c r="B7493">
        <f>F1798</f>
        <v>15</v>
      </c>
    </row>
    <row r="7494" spans="1:2" ht="15" customHeight="1" x14ac:dyDescent="0.3">
      <c r="A7494" t="s">
        <v>1588</v>
      </c>
      <c r="B7494">
        <f>F1801</f>
        <v>15</v>
      </c>
    </row>
    <row r="7495" spans="1:2" ht="15" customHeight="1" x14ac:dyDescent="0.3">
      <c r="A7495" t="s">
        <v>5428</v>
      </c>
      <c r="B7495">
        <f>F1802</f>
        <v>15</v>
      </c>
    </row>
    <row r="7496" spans="1:2" ht="15" customHeight="1" x14ac:dyDescent="0.3">
      <c r="A7496" t="s">
        <v>6040</v>
      </c>
      <c r="B7496">
        <f>F1868</f>
        <v>15</v>
      </c>
    </row>
    <row r="7497" spans="1:2" ht="15" customHeight="1" x14ac:dyDescent="0.3">
      <c r="A7497" t="s">
        <v>5923</v>
      </c>
      <c r="B7497">
        <f>F1805</f>
        <v>12</v>
      </c>
    </row>
    <row r="7498" spans="1:2" ht="15" customHeight="1" x14ac:dyDescent="0.3">
      <c r="A7498" t="s">
        <v>5924</v>
      </c>
      <c r="B7498">
        <f>F1808</f>
        <v>12</v>
      </c>
    </row>
    <row r="7499" spans="1:2" ht="15" customHeight="1" x14ac:dyDescent="0.3">
      <c r="A7499" t="s">
        <v>5925</v>
      </c>
      <c r="B7499">
        <f>F1810</f>
        <v>12</v>
      </c>
    </row>
    <row r="7500" spans="1:2" ht="15" customHeight="1" x14ac:dyDescent="0.3">
      <c r="A7500" s="33" t="s">
        <v>5127</v>
      </c>
      <c r="B7500">
        <f>F1812</f>
        <v>15</v>
      </c>
    </row>
    <row r="7501" spans="1:2" ht="15" customHeight="1" x14ac:dyDescent="0.3">
      <c r="A7501" s="33" t="s">
        <v>5128</v>
      </c>
      <c r="B7501">
        <f>F1812</f>
        <v>15</v>
      </c>
    </row>
    <row r="7502" spans="1:2" ht="15" customHeight="1" x14ac:dyDescent="0.3">
      <c r="A7502" s="33" t="s">
        <v>5129</v>
      </c>
      <c r="B7502">
        <f>F1812</f>
        <v>15</v>
      </c>
    </row>
    <row r="7503" spans="1:2" ht="15" customHeight="1" x14ac:dyDescent="0.3">
      <c r="A7503" s="33" t="s">
        <v>5429</v>
      </c>
      <c r="B7503">
        <f>F1818</f>
        <v>15</v>
      </c>
    </row>
    <row r="7504" spans="1:2" ht="15" customHeight="1" x14ac:dyDescent="0.3">
      <c r="A7504" s="33" t="s">
        <v>5430</v>
      </c>
      <c r="B7504">
        <f>F1818</f>
        <v>15</v>
      </c>
    </row>
    <row r="7505" spans="1:2" ht="15" customHeight="1" x14ac:dyDescent="0.3">
      <c r="A7505" t="s">
        <v>5431</v>
      </c>
      <c r="B7505">
        <f>F1823</f>
        <v>12</v>
      </c>
    </row>
    <row r="7506" spans="1:2" ht="15" customHeight="1" x14ac:dyDescent="0.3">
      <c r="A7506" t="s">
        <v>5926</v>
      </c>
      <c r="B7506">
        <f>F1825</f>
        <v>15</v>
      </c>
    </row>
    <row r="7507" spans="1:2" ht="15" customHeight="1" x14ac:dyDescent="0.3">
      <c r="A7507" t="s">
        <v>5263</v>
      </c>
      <c r="B7507">
        <f>F1827</f>
        <v>15</v>
      </c>
    </row>
    <row r="7508" spans="1:2" ht="15" customHeight="1" x14ac:dyDescent="0.3">
      <c r="A7508" s="33" t="s">
        <v>5432</v>
      </c>
      <c r="B7508">
        <f>F1831</f>
        <v>15</v>
      </c>
    </row>
    <row r="7509" spans="1:2" ht="15" customHeight="1" x14ac:dyDescent="0.3">
      <c r="A7509" s="33" t="s">
        <v>5433</v>
      </c>
      <c r="B7509">
        <f>F1831</f>
        <v>15</v>
      </c>
    </row>
    <row r="7510" spans="1:2" ht="15" customHeight="1" x14ac:dyDescent="0.3">
      <c r="A7510" s="33" t="s">
        <v>5130</v>
      </c>
      <c r="B7510">
        <f>F1833</f>
        <v>15</v>
      </c>
    </row>
    <row r="7511" spans="1:2" ht="15" customHeight="1" x14ac:dyDescent="0.3">
      <c r="A7511" t="s">
        <v>5434</v>
      </c>
      <c r="B7511">
        <f>F1835</f>
        <v>12</v>
      </c>
    </row>
    <row r="7512" spans="1:2" ht="15" customHeight="1" x14ac:dyDescent="0.3">
      <c r="A7512" t="s">
        <v>6007</v>
      </c>
      <c r="B7512">
        <f>F1838</f>
        <v>15</v>
      </c>
    </row>
    <row r="7513" spans="1:2" ht="15" customHeight="1" x14ac:dyDescent="0.3">
      <c r="A7513" t="s">
        <v>5435</v>
      </c>
      <c r="B7513">
        <f>F1839</f>
        <v>15</v>
      </c>
    </row>
    <row r="7514" spans="1:2" ht="15" customHeight="1" x14ac:dyDescent="0.3">
      <c r="A7514" t="s">
        <v>5436</v>
      </c>
      <c r="B7514">
        <f>F1842</f>
        <v>15</v>
      </c>
    </row>
    <row r="7515" spans="1:2" ht="15" customHeight="1" x14ac:dyDescent="0.3">
      <c r="A7515" t="s">
        <v>5437</v>
      </c>
      <c r="B7515">
        <f>F1844</f>
        <v>12</v>
      </c>
    </row>
    <row r="7516" spans="1:2" ht="15" customHeight="1" x14ac:dyDescent="0.3">
      <c r="A7516" t="s">
        <v>6058</v>
      </c>
      <c r="B7516">
        <f>F1848</f>
        <v>12</v>
      </c>
    </row>
    <row r="7517" spans="1:2" ht="15" customHeight="1" x14ac:dyDescent="0.3">
      <c r="A7517" t="s">
        <v>5131</v>
      </c>
      <c r="B7517">
        <f>F1850</f>
        <v>15</v>
      </c>
    </row>
    <row r="7518" spans="1:2" ht="15" customHeight="1" x14ac:dyDescent="0.3">
      <c r="A7518" s="33" t="s">
        <v>5264</v>
      </c>
      <c r="B7518">
        <f>F1853</f>
        <v>15</v>
      </c>
    </row>
    <row r="7519" spans="1:2" ht="15" customHeight="1" x14ac:dyDescent="0.3">
      <c r="A7519" t="s">
        <v>5438</v>
      </c>
      <c r="B7519">
        <f>F1852</f>
        <v>15</v>
      </c>
    </row>
    <row r="7520" spans="1:2" ht="15" customHeight="1" x14ac:dyDescent="0.3">
      <c r="A7520" s="33" t="s">
        <v>5265</v>
      </c>
      <c r="B7520">
        <f>F1853</f>
        <v>15</v>
      </c>
    </row>
    <row r="7521" spans="1:2" ht="15" customHeight="1" x14ac:dyDescent="0.3">
      <c r="A7521" t="s">
        <v>5439</v>
      </c>
      <c r="B7521">
        <f>F1857</f>
        <v>12</v>
      </c>
    </row>
    <row r="7522" spans="1:2" ht="15" customHeight="1" x14ac:dyDescent="0.3">
      <c r="A7522" t="s">
        <v>5132</v>
      </c>
      <c r="B7522">
        <f>F1860</f>
        <v>15</v>
      </c>
    </row>
    <row r="7523" spans="1:2" ht="15" customHeight="1" x14ac:dyDescent="0.3">
      <c r="A7523" s="33" t="s">
        <v>5266</v>
      </c>
      <c r="B7523">
        <f>F1869</f>
        <v>15</v>
      </c>
    </row>
    <row r="7524" spans="1:2" ht="15" customHeight="1" x14ac:dyDescent="0.3">
      <c r="A7524" s="33" t="s">
        <v>5440</v>
      </c>
      <c r="B7524">
        <f>F1864</f>
        <v>12</v>
      </c>
    </row>
    <row r="7525" spans="1:2" ht="15" customHeight="1" x14ac:dyDescent="0.3">
      <c r="A7525" s="33" t="s">
        <v>5441</v>
      </c>
      <c r="B7525">
        <f>F1864</f>
        <v>12</v>
      </c>
    </row>
    <row r="7526" spans="1:2" ht="15" customHeight="1" x14ac:dyDescent="0.3">
      <c r="A7526" t="s">
        <v>5442</v>
      </c>
      <c r="B7526">
        <f>F1866</f>
        <v>15</v>
      </c>
    </row>
    <row r="7527" spans="1:2" ht="15" customHeight="1" x14ac:dyDescent="0.3">
      <c r="A7527" s="33" t="s">
        <v>5443</v>
      </c>
      <c r="B7527">
        <f>F1868</f>
        <v>15</v>
      </c>
    </row>
    <row r="7528" spans="1:2" ht="15" customHeight="1" x14ac:dyDescent="0.3">
      <c r="A7528" s="33" t="s">
        <v>5444</v>
      </c>
      <c r="B7528">
        <f>F1868</f>
        <v>15</v>
      </c>
    </row>
    <row r="7529" spans="1:2" ht="15" customHeight="1" x14ac:dyDescent="0.3">
      <c r="A7529" s="33" t="s">
        <v>5267</v>
      </c>
      <c r="B7529">
        <f>F1869</f>
        <v>15</v>
      </c>
    </row>
    <row r="7530" spans="1:2" ht="15" customHeight="1" x14ac:dyDescent="0.3">
      <c r="A7530" t="s">
        <v>1589</v>
      </c>
      <c r="B7530">
        <f>F1871</f>
        <v>15</v>
      </c>
    </row>
    <row r="7531" spans="1:2" ht="15" customHeight="1" x14ac:dyDescent="0.3">
      <c r="A7531" t="s">
        <v>5133</v>
      </c>
      <c r="B7531">
        <f>F1874</f>
        <v>12</v>
      </c>
    </row>
    <row r="7532" spans="1:2" ht="15" customHeight="1" x14ac:dyDescent="0.3">
      <c r="A7532" t="s">
        <v>5445</v>
      </c>
      <c r="B7532">
        <f>F1877</f>
        <v>15</v>
      </c>
    </row>
    <row r="7533" spans="1:2" ht="15" customHeight="1" x14ac:dyDescent="0.3">
      <c r="A7533" s="33" t="s">
        <v>5134</v>
      </c>
      <c r="B7533">
        <f>F1878</f>
        <v>12</v>
      </c>
    </row>
    <row r="7534" spans="1:2" ht="15" customHeight="1" x14ac:dyDescent="0.3">
      <c r="A7534" s="33" t="s">
        <v>5446</v>
      </c>
      <c r="B7534" s="33">
        <f>F1879</f>
        <v>15</v>
      </c>
    </row>
    <row r="7535" spans="1:2" ht="15" customHeight="1" x14ac:dyDescent="0.3">
      <c r="A7535" t="s">
        <v>5447</v>
      </c>
      <c r="B7535" t="e">
        <f>#REF!</f>
        <v>#REF!</v>
      </c>
    </row>
    <row r="7536" spans="1:2" ht="15" customHeight="1" x14ac:dyDescent="0.3">
      <c r="A7536" s="33" t="s">
        <v>5448</v>
      </c>
      <c r="B7536">
        <f>F1881</f>
        <v>15</v>
      </c>
    </row>
    <row r="7537" spans="1:2" ht="15" customHeight="1" x14ac:dyDescent="0.3">
      <c r="A7537" s="33" t="s">
        <v>5449</v>
      </c>
      <c r="B7537">
        <f>F1881</f>
        <v>15</v>
      </c>
    </row>
    <row r="7538" spans="1:2" ht="15" customHeight="1" x14ac:dyDescent="0.3">
      <c r="A7538" t="s">
        <v>5450</v>
      </c>
      <c r="B7538">
        <f t="shared" ref="B7538:B7548" si="1289">F1883</f>
        <v>12</v>
      </c>
    </row>
    <row r="7539" spans="1:2" ht="15" customHeight="1" x14ac:dyDescent="0.3">
      <c r="A7539" t="s">
        <v>5884</v>
      </c>
      <c r="B7539">
        <f t="shared" si="1289"/>
        <v>12</v>
      </c>
    </row>
    <row r="7540" spans="1:2" ht="15" customHeight="1" x14ac:dyDescent="0.3">
      <c r="A7540" t="s">
        <v>5268</v>
      </c>
      <c r="B7540">
        <f t="shared" si="1289"/>
        <v>12</v>
      </c>
    </row>
    <row r="7541" spans="1:2" ht="15" customHeight="1" x14ac:dyDescent="0.3">
      <c r="A7541" t="s">
        <v>5451</v>
      </c>
      <c r="B7541">
        <f t="shared" si="1289"/>
        <v>15</v>
      </c>
    </row>
    <row r="7542" spans="1:2" ht="15" customHeight="1" x14ac:dyDescent="0.3">
      <c r="A7542" t="s">
        <v>1590</v>
      </c>
      <c r="B7542">
        <f t="shared" si="1289"/>
        <v>15</v>
      </c>
    </row>
    <row r="7543" spans="1:2" ht="15" customHeight="1" x14ac:dyDescent="0.3">
      <c r="A7543" t="s">
        <v>5452</v>
      </c>
      <c r="B7543">
        <f t="shared" si="1289"/>
        <v>15</v>
      </c>
    </row>
    <row r="7544" spans="1:2" ht="15" customHeight="1" x14ac:dyDescent="0.3">
      <c r="A7544" t="s">
        <v>5453</v>
      </c>
      <c r="B7544">
        <f t="shared" si="1289"/>
        <v>15</v>
      </c>
    </row>
    <row r="7545" spans="1:2" ht="15" customHeight="1" x14ac:dyDescent="0.3">
      <c r="A7545" t="s">
        <v>5454</v>
      </c>
      <c r="B7545">
        <f t="shared" si="1289"/>
        <v>15</v>
      </c>
    </row>
    <row r="7546" spans="1:2" ht="15" customHeight="1" x14ac:dyDescent="0.3">
      <c r="A7546" t="s">
        <v>5269</v>
      </c>
      <c r="B7546">
        <f t="shared" si="1289"/>
        <v>12</v>
      </c>
    </row>
    <row r="7547" spans="1:2" ht="15" customHeight="1" x14ac:dyDescent="0.3">
      <c r="A7547" t="s">
        <v>5270</v>
      </c>
      <c r="B7547">
        <f t="shared" si="1289"/>
        <v>15</v>
      </c>
    </row>
    <row r="7548" spans="1:2" ht="15" customHeight="1" x14ac:dyDescent="0.3">
      <c r="A7548" s="33" t="s">
        <v>5455</v>
      </c>
      <c r="B7548">
        <f t="shared" si="1289"/>
        <v>15</v>
      </c>
    </row>
    <row r="7549" spans="1:2" ht="15" customHeight="1" x14ac:dyDescent="0.3">
      <c r="A7549" s="33" t="s">
        <v>5456</v>
      </c>
      <c r="B7549">
        <f>F1893</f>
        <v>15</v>
      </c>
    </row>
    <row r="7550" spans="1:2" ht="15" customHeight="1" x14ac:dyDescent="0.3">
      <c r="A7550" s="33" t="s">
        <v>5457</v>
      </c>
      <c r="B7550">
        <f>F1893</f>
        <v>15</v>
      </c>
    </row>
    <row r="7551" spans="1:2" ht="15" customHeight="1" x14ac:dyDescent="0.3">
      <c r="A7551" s="33" t="s">
        <v>5458</v>
      </c>
      <c r="B7551">
        <f>F1894</f>
        <v>15</v>
      </c>
    </row>
    <row r="7552" spans="1:2" ht="15" customHeight="1" x14ac:dyDescent="0.3">
      <c r="A7552" s="33" t="s">
        <v>5459</v>
      </c>
      <c r="B7552">
        <f>F1894</f>
        <v>15</v>
      </c>
    </row>
    <row r="7553" spans="1:2" ht="15" customHeight="1" x14ac:dyDescent="0.3">
      <c r="A7553" t="s">
        <v>5135</v>
      </c>
      <c r="B7553">
        <f>F1895</f>
        <v>12</v>
      </c>
    </row>
    <row r="7554" spans="1:2" ht="15" customHeight="1" x14ac:dyDescent="0.3">
      <c r="A7554" t="s">
        <v>5460</v>
      </c>
      <c r="B7554">
        <f>F1896</f>
        <v>12</v>
      </c>
    </row>
    <row r="7555" spans="1:2" ht="15" customHeight="1" x14ac:dyDescent="0.3">
      <c r="A7555" s="33" t="s">
        <v>5271</v>
      </c>
      <c r="B7555">
        <f>F1897</f>
        <v>12</v>
      </c>
    </row>
    <row r="7556" spans="1:2" ht="15" customHeight="1" x14ac:dyDescent="0.3">
      <c r="A7556" s="33" t="s">
        <v>5272</v>
      </c>
      <c r="B7556">
        <f>F1897</f>
        <v>12</v>
      </c>
    </row>
    <row r="7557" spans="1:2" ht="15" customHeight="1" x14ac:dyDescent="0.3">
      <c r="A7557" s="33" t="s">
        <v>5273</v>
      </c>
      <c r="B7557">
        <f>F1897</f>
        <v>12</v>
      </c>
    </row>
    <row r="7558" spans="1:2" ht="15" customHeight="1" x14ac:dyDescent="0.3">
      <c r="A7558" s="33" t="s">
        <v>5274</v>
      </c>
      <c r="B7558">
        <f t="shared" ref="B7558:B7570" si="1290">F1897</f>
        <v>12</v>
      </c>
    </row>
    <row r="7559" spans="1:2" ht="15" customHeight="1" x14ac:dyDescent="0.3">
      <c r="A7559" t="s">
        <v>5275</v>
      </c>
      <c r="B7559">
        <f t="shared" si="1290"/>
        <v>12</v>
      </c>
    </row>
    <row r="7560" spans="1:2" ht="15" customHeight="1" x14ac:dyDescent="0.3">
      <c r="A7560" t="s">
        <v>5461</v>
      </c>
      <c r="B7560">
        <f t="shared" si="1290"/>
        <v>15</v>
      </c>
    </row>
    <row r="7561" spans="1:2" ht="15" customHeight="1" x14ac:dyDescent="0.3">
      <c r="A7561" t="s">
        <v>5462</v>
      </c>
      <c r="B7561">
        <f t="shared" si="1290"/>
        <v>15</v>
      </c>
    </row>
    <row r="7562" spans="1:2" ht="15" customHeight="1" x14ac:dyDescent="0.3">
      <c r="A7562" t="s">
        <v>5136</v>
      </c>
      <c r="B7562">
        <f t="shared" si="1290"/>
        <v>15</v>
      </c>
    </row>
    <row r="7563" spans="1:2" ht="15" customHeight="1" x14ac:dyDescent="0.3">
      <c r="A7563" t="s">
        <v>1591</v>
      </c>
      <c r="B7563">
        <f t="shared" si="1290"/>
        <v>15</v>
      </c>
    </row>
    <row r="7564" spans="1:2" ht="15" customHeight="1" x14ac:dyDescent="0.3">
      <c r="A7564" t="s">
        <v>5463</v>
      </c>
      <c r="B7564">
        <f t="shared" si="1290"/>
        <v>15</v>
      </c>
    </row>
    <row r="7565" spans="1:2" ht="15" customHeight="1" x14ac:dyDescent="0.3">
      <c r="A7565" t="s">
        <v>5137</v>
      </c>
      <c r="B7565">
        <f t="shared" si="1290"/>
        <v>12</v>
      </c>
    </row>
    <row r="7566" spans="1:2" ht="15" customHeight="1" x14ac:dyDescent="0.3">
      <c r="A7566" t="s">
        <v>6904</v>
      </c>
      <c r="B7566">
        <f t="shared" si="1290"/>
        <v>15</v>
      </c>
    </row>
    <row r="7567" spans="1:2" ht="15" customHeight="1" x14ac:dyDescent="0.3">
      <c r="A7567" t="s">
        <v>5464</v>
      </c>
      <c r="B7567">
        <f t="shared" si="1290"/>
        <v>12</v>
      </c>
    </row>
    <row r="7568" spans="1:2" ht="15" customHeight="1" x14ac:dyDescent="0.3">
      <c r="A7568" t="s">
        <v>5465</v>
      </c>
      <c r="B7568">
        <f t="shared" si="1290"/>
        <v>15</v>
      </c>
    </row>
    <row r="7569" spans="1:2" ht="15" customHeight="1" x14ac:dyDescent="0.3">
      <c r="A7569" t="s">
        <v>5466</v>
      </c>
      <c r="B7569">
        <f t="shared" si="1290"/>
        <v>12</v>
      </c>
    </row>
    <row r="7570" spans="1:2" ht="15" customHeight="1" x14ac:dyDescent="0.3">
      <c r="A7570" t="s">
        <v>6905</v>
      </c>
      <c r="B7570">
        <f t="shared" si="1290"/>
        <v>15</v>
      </c>
    </row>
    <row r="7571" spans="1:2" ht="15" customHeight="1" x14ac:dyDescent="0.3">
      <c r="A7571" t="s">
        <v>6906</v>
      </c>
      <c r="B7571">
        <f>F1909</f>
        <v>15</v>
      </c>
    </row>
    <row r="7572" spans="1:2" ht="15" customHeight="1" x14ac:dyDescent="0.3">
      <c r="A7572" t="s">
        <v>6907</v>
      </c>
      <c r="B7572">
        <f>F1909</f>
        <v>15</v>
      </c>
    </row>
    <row r="7573" spans="1:2" ht="15" customHeight="1" x14ac:dyDescent="0.3">
      <c r="A7573" t="s">
        <v>6908</v>
      </c>
      <c r="B7573">
        <f>F1909</f>
        <v>15</v>
      </c>
    </row>
    <row r="7574" spans="1:2" ht="15" customHeight="1" x14ac:dyDescent="0.3">
      <c r="A7574" t="s">
        <v>6909</v>
      </c>
      <c r="B7574">
        <f>F1910</f>
        <v>15</v>
      </c>
    </row>
    <row r="7575" spans="1:2" ht="15" customHeight="1" x14ac:dyDescent="0.3">
      <c r="A7575" t="s">
        <v>6910</v>
      </c>
      <c r="B7575">
        <f>F1910</f>
        <v>15</v>
      </c>
    </row>
    <row r="7576" spans="1:2" ht="15" customHeight="1" x14ac:dyDescent="0.3">
      <c r="A7576" t="s">
        <v>6911</v>
      </c>
      <c r="B7576">
        <f>F1910</f>
        <v>15</v>
      </c>
    </row>
    <row r="7577" spans="1:2" ht="15" customHeight="1" x14ac:dyDescent="0.3">
      <c r="A7577" t="s">
        <v>6912</v>
      </c>
      <c r="B7577">
        <f>F1910</f>
        <v>15</v>
      </c>
    </row>
    <row r="7578" spans="1:2" ht="15" customHeight="1" x14ac:dyDescent="0.3">
      <c r="A7578" t="s">
        <v>6913</v>
      </c>
      <c r="B7578">
        <f>F1910</f>
        <v>15</v>
      </c>
    </row>
    <row r="7579" spans="1:2" ht="15" customHeight="1" x14ac:dyDescent="0.3">
      <c r="A7579" t="s">
        <v>6914</v>
      </c>
      <c r="B7579">
        <f>F1910</f>
        <v>15</v>
      </c>
    </row>
    <row r="7580" spans="1:2" ht="15" customHeight="1" x14ac:dyDescent="0.3">
      <c r="A7580" t="s">
        <v>6915</v>
      </c>
      <c r="B7580">
        <f>F1911</f>
        <v>12</v>
      </c>
    </row>
    <row r="7581" spans="1:2" ht="15" customHeight="1" x14ac:dyDescent="0.3">
      <c r="A7581" t="s">
        <v>6916</v>
      </c>
      <c r="B7581">
        <f>F1911</f>
        <v>12</v>
      </c>
    </row>
    <row r="7582" spans="1:2" ht="15" customHeight="1" x14ac:dyDescent="0.3">
      <c r="A7582" t="s">
        <v>6917</v>
      </c>
      <c r="B7582">
        <f>F1912</f>
        <v>12</v>
      </c>
    </row>
    <row r="7583" spans="1:2" ht="15" customHeight="1" x14ac:dyDescent="0.3">
      <c r="A7583" t="s">
        <v>6918</v>
      </c>
      <c r="B7583">
        <f>F1912</f>
        <v>12</v>
      </c>
    </row>
    <row r="7584" spans="1:2" ht="15" customHeight="1" x14ac:dyDescent="0.3">
      <c r="A7584" t="s">
        <v>6919</v>
      </c>
      <c r="B7584">
        <f>F1912</f>
        <v>12</v>
      </c>
    </row>
    <row r="7585" spans="1:2" ht="15" customHeight="1" x14ac:dyDescent="0.3">
      <c r="A7585" t="s">
        <v>5467</v>
      </c>
      <c r="B7585" t="e">
        <f>#REF!</f>
        <v>#REF!</v>
      </c>
    </row>
    <row r="7586" spans="1:2" ht="15" customHeight="1" x14ac:dyDescent="0.3">
      <c r="A7586" t="s">
        <v>5468</v>
      </c>
      <c r="B7586">
        <f>F1914</f>
        <v>15</v>
      </c>
    </row>
    <row r="7587" spans="1:2" ht="15" customHeight="1" x14ac:dyDescent="0.3">
      <c r="A7587" t="s">
        <v>6920</v>
      </c>
      <c r="B7587">
        <f>F1915</f>
        <v>12</v>
      </c>
    </row>
    <row r="7588" spans="1:2" ht="15" customHeight="1" x14ac:dyDescent="0.3">
      <c r="A7588" t="s">
        <v>6921</v>
      </c>
      <c r="B7588">
        <f>F1915</f>
        <v>12</v>
      </c>
    </row>
    <row r="7589" spans="1:2" ht="15" customHeight="1" x14ac:dyDescent="0.3">
      <c r="A7589" t="s">
        <v>6922</v>
      </c>
      <c r="B7589">
        <f>F1916</f>
        <v>15</v>
      </c>
    </row>
    <row r="7590" spans="1:2" ht="15" customHeight="1" x14ac:dyDescent="0.3">
      <c r="A7590" t="s">
        <v>6923</v>
      </c>
      <c r="B7590">
        <f>F1916</f>
        <v>15</v>
      </c>
    </row>
    <row r="7591" spans="1:2" ht="15" customHeight="1" x14ac:dyDescent="0.3">
      <c r="A7591" t="s">
        <v>5927</v>
      </c>
      <c r="B7591">
        <f>F1917</f>
        <v>15</v>
      </c>
    </row>
    <row r="7592" spans="1:2" ht="15" customHeight="1" x14ac:dyDescent="0.3">
      <c r="A7592" t="s">
        <v>6924</v>
      </c>
      <c r="B7592">
        <f>F1918</f>
        <v>15</v>
      </c>
    </row>
    <row r="7593" spans="1:2" ht="15" customHeight="1" x14ac:dyDescent="0.3">
      <c r="A7593" t="s">
        <v>6925</v>
      </c>
      <c r="B7593">
        <f>F1918</f>
        <v>15</v>
      </c>
    </row>
    <row r="7594" spans="1:2" ht="15" customHeight="1" x14ac:dyDescent="0.3">
      <c r="A7594" t="s">
        <v>6926</v>
      </c>
      <c r="B7594">
        <f>F1918</f>
        <v>15</v>
      </c>
    </row>
    <row r="7595" spans="1:2" ht="15" customHeight="1" x14ac:dyDescent="0.3">
      <c r="A7595" t="s">
        <v>6927</v>
      </c>
      <c r="B7595">
        <f>F1918</f>
        <v>15</v>
      </c>
    </row>
    <row r="7596" spans="1:2" ht="15" customHeight="1" x14ac:dyDescent="0.3">
      <c r="A7596" t="s">
        <v>6928</v>
      </c>
      <c r="B7596">
        <f>F1918</f>
        <v>15</v>
      </c>
    </row>
    <row r="7597" spans="1:2" ht="15" customHeight="1" x14ac:dyDescent="0.3">
      <c r="A7597" t="s">
        <v>10710</v>
      </c>
      <c r="B7597">
        <f>F1919</f>
        <v>15</v>
      </c>
    </row>
    <row r="7598" spans="1:2" ht="15" customHeight="1" x14ac:dyDescent="0.3">
      <c r="A7598" t="s">
        <v>10709</v>
      </c>
      <c r="B7598">
        <f>F1919</f>
        <v>15</v>
      </c>
    </row>
    <row r="7599" spans="1:2" ht="15" customHeight="1" x14ac:dyDescent="0.3">
      <c r="A7599" t="s">
        <v>6929</v>
      </c>
      <c r="B7599">
        <f>F1920</f>
        <v>15</v>
      </c>
    </row>
    <row r="7600" spans="1:2" ht="15" customHeight="1" x14ac:dyDescent="0.3">
      <c r="A7600" t="s">
        <v>6930</v>
      </c>
      <c r="B7600">
        <f>F1920</f>
        <v>15</v>
      </c>
    </row>
    <row r="7601" spans="1:2" ht="15" customHeight="1" x14ac:dyDescent="0.3">
      <c r="A7601" t="s">
        <v>6931</v>
      </c>
      <c r="B7601">
        <f>F1921</f>
        <v>15</v>
      </c>
    </row>
    <row r="7602" spans="1:2" ht="15" customHeight="1" x14ac:dyDescent="0.3">
      <c r="A7602" t="s">
        <v>6933</v>
      </c>
      <c r="B7602">
        <f>F1921</f>
        <v>15</v>
      </c>
    </row>
    <row r="7603" spans="1:2" ht="15" customHeight="1" x14ac:dyDescent="0.3">
      <c r="A7603" t="s">
        <v>6932</v>
      </c>
      <c r="B7603">
        <f>F1921</f>
        <v>15</v>
      </c>
    </row>
    <row r="7604" spans="1:2" ht="15" customHeight="1" x14ac:dyDescent="0.3">
      <c r="A7604" t="s">
        <v>1592</v>
      </c>
      <c r="B7604">
        <f>F1923</f>
        <v>15</v>
      </c>
    </row>
    <row r="7605" spans="1:2" ht="15" customHeight="1" x14ac:dyDescent="0.3">
      <c r="A7605" t="s">
        <v>1593</v>
      </c>
      <c r="B7605">
        <f>F1924</f>
        <v>15</v>
      </c>
    </row>
    <row r="7606" spans="1:2" ht="15" customHeight="1" x14ac:dyDescent="0.3">
      <c r="A7606" t="s">
        <v>6934</v>
      </c>
      <c r="B7606">
        <f>F1925</f>
        <v>15</v>
      </c>
    </row>
    <row r="7607" spans="1:2" ht="15" customHeight="1" x14ac:dyDescent="0.3">
      <c r="A7607" t="s">
        <v>6935</v>
      </c>
      <c r="B7607">
        <f>F1925</f>
        <v>15</v>
      </c>
    </row>
    <row r="7608" spans="1:2" ht="15" customHeight="1" x14ac:dyDescent="0.3">
      <c r="A7608" t="s">
        <v>6936</v>
      </c>
      <c r="B7608" t="e">
        <f>#REF!</f>
        <v>#REF!</v>
      </c>
    </row>
    <row r="7609" spans="1:2" ht="15" customHeight="1" x14ac:dyDescent="0.3">
      <c r="A7609" t="s">
        <v>6937</v>
      </c>
      <c r="B7609" t="e">
        <f>#REF!</f>
        <v>#REF!</v>
      </c>
    </row>
    <row r="7610" spans="1:2" ht="15" customHeight="1" x14ac:dyDescent="0.3">
      <c r="A7610" t="s">
        <v>6938</v>
      </c>
      <c r="B7610">
        <f>F1927</f>
        <v>12</v>
      </c>
    </row>
    <row r="7611" spans="1:2" ht="15" customHeight="1" x14ac:dyDescent="0.3">
      <c r="A7611" t="s">
        <v>6939</v>
      </c>
      <c r="B7611">
        <f>F1927</f>
        <v>12</v>
      </c>
    </row>
    <row r="7612" spans="1:2" ht="15" customHeight="1" x14ac:dyDescent="0.3">
      <c r="A7612" t="s">
        <v>6940</v>
      </c>
      <c r="B7612">
        <f>F1928</f>
        <v>12</v>
      </c>
    </row>
    <row r="7613" spans="1:2" ht="15" customHeight="1" x14ac:dyDescent="0.3">
      <c r="A7613" t="s">
        <v>6941</v>
      </c>
      <c r="B7613">
        <f>F1928</f>
        <v>12</v>
      </c>
    </row>
    <row r="7614" spans="1:2" ht="15" customHeight="1" x14ac:dyDescent="0.3">
      <c r="A7614" t="s">
        <v>1594</v>
      </c>
      <c r="B7614">
        <f>F1929</f>
        <v>15</v>
      </c>
    </row>
    <row r="7615" spans="1:2" ht="15" customHeight="1" x14ac:dyDescent="0.3">
      <c r="A7615" t="s">
        <v>6942</v>
      </c>
      <c r="B7615" t="e">
        <f>#REF!</f>
        <v>#REF!</v>
      </c>
    </row>
    <row r="7616" spans="1:2" ht="15" customHeight="1" x14ac:dyDescent="0.3">
      <c r="A7616" t="s">
        <v>6943</v>
      </c>
      <c r="B7616" t="e">
        <f>#REF!</f>
        <v>#REF!</v>
      </c>
    </row>
    <row r="7617" spans="1:2" ht="15" customHeight="1" x14ac:dyDescent="0.3">
      <c r="A7617" t="s">
        <v>5469</v>
      </c>
      <c r="B7617">
        <f>F1931</f>
        <v>12</v>
      </c>
    </row>
    <row r="7618" spans="1:2" ht="15" customHeight="1" x14ac:dyDescent="0.3">
      <c r="A7618" t="s">
        <v>5840</v>
      </c>
      <c r="B7618">
        <f t="shared" ref="B7618:B7649" si="1291">B7480</f>
        <v>15</v>
      </c>
    </row>
    <row r="7619" spans="1:2" ht="15" customHeight="1" x14ac:dyDescent="0.3">
      <c r="A7619" t="s">
        <v>5841</v>
      </c>
      <c r="B7619">
        <f t="shared" si="1291"/>
        <v>15</v>
      </c>
    </row>
    <row r="7620" spans="1:2" ht="15" customHeight="1" x14ac:dyDescent="0.3">
      <c r="A7620" t="s">
        <v>5842</v>
      </c>
      <c r="B7620">
        <f t="shared" si="1291"/>
        <v>15</v>
      </c>
    </row>
    <row r="7621" spans="1:2" ht="15" customHeight="1" x14ac:dyDescent="0.3">
      <c r="A7621" s="33" t="s">
        <v>5388</v>
      </c>
      <c r="B7621">
        <f t="shared" si="1291"/>
        <v>12</v>
      </c>
    </row>
    <row r="7622" spans="1:2" ht="15" customHeight="1" x14ac:dyDescent="0.3">
      <c r="A7622" s="33" t="s">
        <v>5389</v>
      </c>
      <c r="B7622">
        <f t="shared" si="1291"/>
        <v>12</v>
      </c>
    </row>
    <row r="7623" spans="1:2" ht="15" customHeight="1" x14ac:dyDescent="0.3">
      <c r="A7623" t="s">
        <v>5843</v>
      </c>
      <c r="B7623">
        <f t="shared" si="1291"/>
        <v>15</v>
      </c>
    </row>
    <row r="7624" spans="1:2" ht="15" customHeight="1" x14ac:dyDescent="0.3">
      <c r="A7624" t="s">
        <v>5246</v>
      </c>
      <c r="B7624">
        <f t="shared" si="1291"/>
        <v>15</v>
      </c>
    </row>
    <row r="7625" spans="1:2" ht="15" customHeight="1" x14ac:dyDescent="0.3">
      <c r="A7625" s="33" t="s">
        <v>5844</v>
      </c>
      <c r="B7625">
        <f t="shared" si="1291"/>
        <v>15</v>
      </c>
    </row>
    <row r="7626" spans="1:2" ht="15" customHeight="1" x14ac:dyDescent="0.3">
      <c r="A7626" s="33" t="s">
        <v>6038</v>
      </c>
      <c r="B7626">
        <f t="shared" si="1291"/>
        <v>15</v>
      </c>
    </row>
    <row r="7627" spans="1:2" ht="15" customHeight="1" x14ac:dyDescent="0.3">
      <c r="A7627" t="s">
        <v>4037</v>
      </c>
      <c r="B7627">
        <f t="shared" si="1291"/>
        <v>0</v>
      </c>
    </row>
    <row r="7628" spans="1:2" ht="15" customHeight="1" x14ac:dyDescent="0.3">
      <c r="A7628" t="s">
        <v>5845</v>
      </c>
      <c r="B7628">
        <f t="shared" si="1291"/>
        <v>15</v>
      </c>
    </row>
    <row r="7629" spans="1:2" ht="15" customHeight="1" x14ac:dyDescent="0.3">
      <c r="A7629" t="s">
        <v>6000</v>
      </c>
      <c r="B7629">
        <f t="shared" si="1291"/>
        <v>15</v>
      </c>
    </row>
    <row r="7630" spans="1:2" ht="15" customHeight="1" x14ac:dyDescent="0.3">
      <c r="A7630" t="s">
        <v>6001</v>
      </c>
      <c r="B7630">
        <f t="shared" si="1291"/>
        <v>15</v>
      </c>
    </row>
    <row r="7631" spans="1:2" ht="15" customHeight="1" x14ac:dyDescent="0.3">
      <c r="A7631" t="s">
        <v>5846</v>
      </c>
      <c r="B7631">
        <f t="shared" si="1291"/>
        <v>15</v>
      </c>
    </row>
    <row r="7632" spans="1:2" ht="15" customHeight="1" x14ac:dyDescent="0.3">
      <c r="A7632" t="s">
        <v>4038</v>
      </c>
      <c r="B7632">
        <f t="shared" si="1291"/>
        <v>15</v>
      </c>
    </row>
    <row r="7633" spans="1:2" ht="15" customHeight="1" x14ac:dyDescent="0.3">
      <c r="A7633" t="s">
        <v>5847</v>
      </c>
      <c r="B7633">
        <f t="shared" si="1291"/>
        <v>15</v>
      </c>
    </row>
    <row r="7634" spans="1:2" ht="15" customHeight="1" x14ac:dyDescent="0.3">
      <c r="A7634" t="s">
        <v>6041</v>
      </c>
      <c r="B7634">
        <f t="shared" si="1291"/>
        <v>15</v>
      </c>
    </row>
    <row r="7635" spans="1:2" ht="15" customHeight="1" x14ac:dyDescent="0.3">
      <c r="A7635" t="s">
        <v>6002</v>
      </c>
      <c r="B7635">
        <f t="shared" si="1291"/>
        <v>12</v>
      </c>
    </row>
    <row r="7636" spans="1:2" ht="15" customHeight="1" x14ac:dyDescent="0.3">
      <c r="A7636" t="s">
        <v>6003</v>
      </c>
      <c r="B7636">
        <f t="shared" si="1291"/>
        <v>12</v>
      </c>
    </row>
    <row r="7637" spans="1:2" ht="15" customHeight="1" x14ac:dyDescent="0.3">
      <c r="A7637" t="s">
        <v>6004</v>
      </c>
      <c r="B7637">
        <f t="shared" si="1291"/>
        <v>12</v>
      </c>
    </row>
    <row r="7638" spans="1:2" ht="15" customHeight="1" x14ac:dyDescent="0.3">
      <c r="A7638" s="33" t="s">
        <v>5247</v>
      </c>
      <c r="B7638">
        <f t="shared" si="1291"/>
        <v>15</v>
      </c>
    </row>
    <row r="7639" spans="1:2" ht="15" customHeight="1" x14ac:dyDescent="0.3">
      <c r="A7639" s="33" t="s">
        <v>5248</v>
      </c>
      <c r="B7639">
        <f t="shared" si="1291"/>
        <v>15</v>
      </c>
    </row>
    <row r="7640" spans="1:2" ht="15" customHeight="1" x14ac:dyDescent="0.3">
      <c r="A7640" s="33" t="s">
        <v>5249</v>
      </c>
      <c r="B7640">
        <f t="shared" si="1291"/>
        <v>15</v>
      </c>
    </row>
    <row r="7641" spans="1:2" ht="15" customHeight="1" x14ac:dyDescent="0.3">
      <c r="A7641" s="33" t="s">
        <v>5848</v>
      </c>
      <c r="B7641">
        <f t="shared" si="1291"/>
        <v>15</v>
      </c>
    </row>
    <row r="7642" spans="1:2" ht="15" customHeight="1" x14ac:dyDescent="0.3">
      <c r="A7642" s="33" t="s">
        <v>5849</v>
      </c>
      <c r="B7642">
        <f t="shared" si="1291"/>
        <v>15</v>
      </c>
    </row>
    <row r="7643" spans="1:2" ht="15" customHeight="1" x14ac:dyDescent="0.3">
      <c r="A7643" t="s">
        <v>5850</v>
      </c>
      <c r="B7643">
        <f t="shared" si="1291"/>
        <v>12</v>
      </c>
    </row>
    <row r="7644" spans="1:2" ht="15" customHeight="1" x14ac:dyDescent="0.3">
      <c r="A7644" t="s">
        <v>6005</v>
      </c>
      <c r="B7644">
        <f t="shared" si="1291"/>
        <v>15</v>
      </c>
    </row>
    <row r="7645" spans="1:2" ht="15" customHeight="1" x14ac:dyDescent="0.3">
      <c r="A7645" t="s">
        <v>5390</v>
      </c>
      <c r="B7645">
        <f t="shared" si="1291"/>
        <v>15</v>
      </c>
    </row>
    <row r="7646" spans="1:2" ht="15" customHeight="1" x14ac:dyDescent="0.3">
      <c r="A7646" s="33" t="s">
        <v>5851</v>
      </c>
      <c r="B7646">
        <f t="shared" si="1291"/>
        <v>15</v>
      </c>
    </row>
    <row r="7647" spans="1:2" ht="15" customHeight="1" x14ac:dyDescent="0.3">
      <c r="A7647" s="33" t="s">
        <v>5852</v>
      </c>
      <c r="B7647">
        <f t="shared" si="1291"/>
        <v>15</v>
      </c>
    </row>
    <row r="7648" spans="1:2" ht="15" customHeight="1" x14ac:dyDescent="0.3">
      <c r="A7648" s="33" t="s">
        <v>5250</v>
      </c>
      <c r="B7648">
        <f t="shared" si="1291"/>
        <v>15</v>
      </c>
    </row>
    <row r="7649" spans="1:2" ht="15" customHeight="1" x14ac:dyDescent="0.3">
      <c r="A7649" t="s">
        <v>5853</v>
      </c>
      <c r="B7649">
        <f t="shared" si="1291"/>
        <v>12</v>
      </c>
    </row>
    <row r="7650" spans="1:2" ht="15" customHeight="1" x14ac:dyDescent="0.3">
      <c r="A7650" t="s">
        <v>6039</v>
      </c>
      <c r="B7650">
        <f t="shared" ref="B7650:B7681" si="1292">B7512</f>
        <v>15</v>
      </c>
    </row>
    <row r="7651" spans="1:2" ht="15" customHeight="1" x14ac:dyDescent="0.3">
      <c r="A7651" t="s">
        <v>5854</v>
      </c>
      <c r="B7651">
        <f t="shared" si="1292"/>
        <v>15</v>
      </c>
    </row>
    <row r="7652" spans="1:2" ht="15" customHeight="1" x14ac:dyDescent="0.3">
      <c r="A7652" t="s">
        <v>5855</v>
      </c>
      <c r="B7652">
        <f t="shared" si="1292"/>
        <v>15</v>
      </c>
    </row>
    <row r="7653" spans="1:2" ht="15" customHeight="1" x14ac:dyDescent="0.3">
      <c r="A7653" t="s">
        <v>5856</v>
      </c>
      <c r="B7653">
        <f t="shared" si="1292"/>
        <v>12</v>
      </c>
    </row>
    <row r="7654" spans="1:2" ht="15" customHeight="1" x14ac:dyDescent="0.3">
      <c r="A7654" t="s">
        <v>6066</v>
      </c>
      <c r="B7654">
        <f t="shared" si="1292"/>
        <v>12</v>
      </c>
    </row>
    <row r="7655" spans="1:2" ht="15" customHeight="1" x14ac:dyDescent="0.3">
      <c r="A7655" t="s">
        <v>5251</v>
      </c>
      <c r="B7655">
        <f t="shared" si="1292"/>
        <v>15</v>
      </c>
    </row>
    <row r="7656" spans="1:2" ht="15" customHeight="1" x14ac:dyDescent="0.3">
      <c r="A7656" s="33" t="s">
        <v>5391</v>
      </c>
      <c r="B7656">
        <f t="shared" si="1292"/>
        <v>15</v>
      </c>
    </row>
    <row r="7657" spans="1:2" ht="15" customHeight="1" x14ac:dyDescent="0.3">
      <c r="A7657" t="s">
        <v>5857</v>
      </c>
      <c r="B7657">
        <f t="shared" si="1292"/>
        <v>15</v>
      </c>
    </row>
    <row r="7658" spans="1:2" ht="15" customHeight="1" x14ac:dyDescent="0.3">
      <c r="A7658" s="33" t="s">
        <v>5392</v>
      </c>
      <c r="B7658">
        <f t="shared" si="1292"/>
        <v>15</v>
      </c>
    </row>
    <row r="7659" spans="1:2" ht="15" customHeight="1" x14ac:dyDescent="0.3">
      <c r="A7659" t="s">
        <v>5858</v>
      </c>
      <c r="B7659">
        <f t="shared" si="1292"/>
        <v>12</v>
      </c>
    </row>
    <row r="7660" spans="1:2" ht="15" customHeight="1" x14ac:dyDescent="0.3">
      <c r="A7660" t="s">
        <v>5252</v>
      </c>
      <c r="B7660">
        <f t="shared" si="1292"/>
        <v>15</v>
      </c>
    </row>
    <row r="7661" spans="1:2" ht="15" customHeight="1" x14ac:dyDescent="0.3">
      <c r="A7661" s="33" t="s">
        <v>5393</v>
      </c>
      <c r="B7661">
        <f t="shared" si="1292"/>
        <v>15</v>
      </c>
    </row>
    <row r="7662" spans="1:2" ht="15" customHeight="1" x14ac:dyDescent="0.3">
      <c r="A7662" s="33" t="s">
        <v>5859</v>
      </c>
      <c r="B7662">
        <f t="shared" si="1292"/>
        <v>12</v>
      </c>
    </row>
    <row r="7663" spans="1:2" ht="15" customHeight="1" x14ac:dyDescent="0.3">
      <c r="A7663" s="33" t="s">
        <v>5860</v>
      </c>
      <c r="B7663">
        <f t="shared" si="1292"/>
        <v>12</v>
      </c>
    </row>
    <row r="7664" spans="1:2" ht="15" customHeight="1" x14ac:dyDescent="0.3">
      <c r="A7664" t="s">
        <v>5861</v>
      </c>
      <c r="B7664">
        <f t="shared" si="1292"/>
        <v>15</v>
      </c>
    </row>
    <row r="7665" spans="1:2" ht="15" customHeight="1" x14ac:dyDescent="0.3">
      <c r="A7665" s="33" t="s">
        <v>5862</v>
      </c>
      <c r="B7665">
        <f t="shared" si="1292"/>
        <v>15</v>
      </c>
    </row>
    <row r="7666" spans="1:2" ht="15" customHeight="1" x14ac:dyDescent="0.3">
      <c r="A7666" s="33" t="s">
        <v>5863</v>
      </c>
      <c r="B7666">
        <f t="shared" si="1292"/>
        <v>15</v>
      </c>
    </row>
    <row r="7667" spans="1:2" ht="15" customHeight="1" x14ac:dyDescent="0.3">
      <c r="A7667" s="33" t="s">
        <v>5394</v>
      </c>
      <c r="B7667">
        <f t="shared" si="1292"/>
        <v>15</v>
      </c>
    </row>
    <row r="7668" spans="1:2" ht="15" customHeight="1" x14ac:dyDescent="0.3">
      <c r="A7668" t="s">
        <v>4039</v>
      </c>
      <c r="B7668">
        <f t="shared" si="1292"/>
        <v>15</v>
      </c>
    </row>
    <row r="7669" spans="1:2" ht="15" customHeight="1" x14ac:dyDescent="0.3">
      <c r="A7669" t="s">
        <v>5253</v>
      </c>
      <c r="B7669">
        <f t="shared" si="1292"/>
        <v>12</v>
      </c>
    </row>
    <row r="7670" spans="1:2" ht="15" customHeight="1" x14ac:dyDescent="0.3">
      <c r="A7670" t="s">
        <v>5864</v>
      </c>
      <c r="B7670">
        <f t="shared" si="1292"/>
        <v>15</v>
      </c>
    </row>
    <row r="7671" spans="1:2" ht="15" customHeight="1" x14ac:dyDescent="0.3">
      <c r="A7671" s="33" t="s">
        <v>5254</v>
      </c>
      <c r="B7671">
        <f t="shared" si="1292"/>
        <v>12</v>
      </c>
    </row>
    <row r="7672" spans="1:2" ht="15" customHeight="1" x14ac:dyDescent="0.3">
      <c r="A7672" s="33" t="s">
        <v>5865</v>
      </c>
      <c r="B7672">
        <f t="shared" si="1292"/>
        <v>15</v>
      </c>
    </row>
    <row r="7673" spans="1:2" ht="15" customHeight="1" x14ac:dyDescent="0.3">
      <c r="A7673" t="s">
        <v>5866</v>
      </c>
      <c r="B7673" t="e">
        <f t="shared" si="1292"/>
        <v>#REF!</v>
      </c>
    </row>
    <row r="7674" spans="1:2" ht="15" customHeight="1" x14ac:dyDescent="0.3">
      <c r="A7674" s="33" t="s">
        <v>5867</v>
      </c>
      <c r="B7674">
        <f t="shared" si="1292"/>
        <v>15</v>
      </c>
    </row>
    <row r="7675" spans="1:2" ht="15" customHeight="1" x14ac:dyDescent="0.3">
      <c r="A7675" s="33" t="s">
        <v>5868</v>
      </c>
      <c r="B7675">
        <f t="shared" si="1292"/>
        <v>15</v>
      </c>
    </row>
    <row r="7676" spans="1:2" ht="15" customHeight="1" x14ac:dyDescent="0.3">
      <c r="A7676" t="s">
        <v>5869</v>
      </c>
      <c r="B7676">
        <f t="shared" si="1292"/>
        <v>12</v>
      </c>
    </row>
    <row r="7677" spans="1:2" ht="15" customHeight="1" x14ac:dyDescent="0.3">
      <c r="A7677" t="s">
        <v>5919</v>
      </c>
      <c r="B7677">
        <f t="shared" si="1292"/>
        <v>12</v>
      </c>
    </row>
    <row r="7678" spans="1:2" ht="15" customHeight="1" x14ac:dyDescent="0.3">
      <c r="A7678" t="s">
        <v>5395</v>
      </c>
      <c r="B7678">
        <f t="shared" si="1292"/>
        <v>12</v>
      </c>
    </row>
    <row r="7679" spans="1:2" ht="15" customHeight="1" x14ac:dyDescent="0.3">
      <c r="A7679" t="s">
        <v>5870</v>
      </c>
      <c r="B7679">
        <f t="shared" si="1292"/>
        <v>15</v>
      </c>
    </row>
    <row r="7680" spans="1:2" ht="15" customHeight="1" x14ac:dyDescent="0.3">
      <c r="A7680" t="s">
        <v>7656</v>
      </c>
      <c r="B7680">
        <f t="shared" si="1292"/>
        <v>15</v>
      </c>
    </row>
    <row r="7681" spans="1:2" ht="15" customHeight="1" x14ac:dyDescent="0.3">
      <c r="A7681" t="s">
        <v>7657</v>
      </c>
      <c r="B7681">
        <f t="shared" si="1292"/>
        <v>15</v>
      </c>
    </row>
    <row r="7682" spans="1:2" ht="15" customHeight="1" x14ac:dyDescent="0.3">
      <c r="A7682" t="s">
        <v>7658</v>
      </c>
      <c r="B7682">
        <f t="shared" ref="B7682:B7713" si="1293">B7544</f>
        <v>15</v>
      </c>
    </row>
    <row r="7683" spans="1:2" ht="15" customHeight="1" x14ac:dyDescent="0.3">
      <c r="A7683" t="s">
        <v>7659</v>
      </c>
      <c r="B7683">
        <f t="shared" si="1293"/>
        <v>15</v>
      </c>
    </row>
    <row r="7684" spans="1:2" ht="15" customHeight="1" x14ac:dyDescent="0.3">
      <c r="A7684" t="s">
        <v>5396</v>
      </c>
      <c r="B7684">
        <f t="shared" si="1293"/>
        <v>12</v>
      </c>
    </row>
    <row r="7685" spans="1:2" ht="15" customHeight="1" x14ac:dyDescent="0.3">
      <c r="A7685" t="s">
        <v>5397</v>
      </c>
      <c r="B7685">
        <f t="shared" si="1293"/>
        <v>15</v>
      </c>
    </row>
    <row r="7686" spans="1:2" ht="15" customHeight="1" x14ac:dyDescent="0.3">
      <c r="A7686" s="33" t="s">
        <v>5871</v>
      </c>
      <c r="B7686">
        <f t="shared" si="1293"/>
        <v>15</v>
      </c>
    </row>
    <row r="7687" spans="1:2" ht="15" customHeight="1" x14ac:dyDescent="0.3">
      <c r="A7687" s="33" t="s">
        <v>5872</v>
      </c>
      <c r="B7687">
        <f t="shared" si="1293"/>
        <v>15</v>
      </c>
    </row>
    <row r="7688" spans="1:2" ht="15" customHeight="1" x14ac:dyDescent="0.3">
      <c r="A7688" s="33" t="s">
        <v>5873</v>
      </c>
      <c r="B7688">
        <f t="shared" si="1293"/>
        <v>15</v>
      </c>
    </row>
    <row r="7689" spans="1:2" ht="15" customHeight="1" x14ac:dyDescent="0.3">
      <c r="A7689" s="33" t="s">
        <v>5874</v>
      </c>
      <c r="B7689">
        <f t="shared" si="1293"/>
        <v>15</v>
      </c>
    </row>
    <row r="7690" spans="1:2" ht="15" customHeight="1" x14ac:dyDescent="0.3">
      <c r="A7690" s="33" t="s">
        <v>5875</v>
      </c>
      <c r="B7690">
        <f t="shared" si="1293"/>
        <v>15</v>
      </c>
    </row>
    <row r="7691" spans="1:2" ht="15" customHeight="1" x14ac:dyDescent="0.3">
      <c r="A7691" t="s">
        <v>5255</v>
      </c>
      <c r="B7691">
        <f t="shared" si="1293"/>
        <v>12</v>
      </c>
    </row>
    <row r="7692" spans="1:2" ht="15" customHeight="1" x14ac:dyDescent="0.3">
      <c r="A7692" t="s">
        <v>5876</v>
      </c>
      <c r="B7692">
        <f t="shared" si="1293"/>
        <v>12</v>
      </c>
    </row>
    <row r="7693" spans="1:2" ht="15" customHeight="1" x14ac:dyDescent="0.3">
      <c r="A7693" s="33" t="s">
        <v>5398</v>
      </c>
      <c r="B7693">
        <f t="shared" si="1293"/>
        <v>12</v>
      </c>
    </row>
    <row r="7694" spans="1:2" ht="15" customHeight="1" x14ac:dyDescent="0.3">
      <c r="A7694" s="33" t="s">
        <v>5399</v>
      </c>
      <c r="B7694">
        <f t="shared" si="1293"/>
        <v>12</v>
      </c>
    </row>
    <row r="7695" spans="1:2" ht="15" customHeight="1" x14ac:dyDescent="0.3">
      <c r="A7695" s="33" t="s">
        <v>5400</v>
      </c>
      <c r="B7695">
        <f t="shared" si="1293"/>
        <v>12</v>
      </c>
    </row>
    <row r="7696" spans="1:2" ht="15" customHeight="1" x14ac:dyDescent="0.3">
      <c r="A7696" s="33" t="s">
        <v>5401</v>
      </c>
      <c r="B7696">
        <f t="shared" si="1293"/>
        <v>12</v>
      </c>
    </row>
    <row r="7697" spans="1:2" ht="15" customHeight="1" x14ac:dyDescent="0.3">
      <c r="A7697" t="s">
        <v>5402</v>
      </c>
      <c r="B7697">
        <f t="shared" si="1293"/>
        <v>12</v>
      </c>
    </row>
    <row r="7698" spans="1:2" ht="15" customHeight="1" x14ac:dyDescent="0.3">
      <c r="A7698" t="s">
        <v>5877</v>
      </c>
      <c r="B7698">
        <f t="shared" si="1293"/>
        <v>15</v>
      </c>
    </row>
    <row r="7699" spans="1:2" ht="15" customHeight="1" x14ac:dyDescent="0.3">
      <c r="A7699" t="s">
        <v>5878</v>
      </c>
      <c r="B7699">
        <f t="shared" si="1293"/>
        <v>15</v>
      </c>
    </row>
    <row r="7700" spans="1:2" ht="15" customHeight="1" x14ac:dyDescent="0.3">
      <c r="A7700" t="s">
        <v>7610</v>
      </c>
      <c r="B7700">
        <f t="shared" si="1293"/>
        <v>15</v>
      </c>
    </row>
    <row r="7701" spans="1:2" ht="15" customHeight="1" x14ac:dyDescent="0.3">
      <c r="A7701" t="s">
        <v>7611</v>
      </c>
      <c r="B7701">
        <f t="shared" si="1293"/>
        <v>15</v>
      </c>
    </row>
    <row r="7702" spans="1:2" ht="15" customHeight="1" x14ac:dyDescent="0.3">
      <c r="A7702" t="s">
        <v>7612</v>
      </c>
      <c r="B7702">
        <f t="shared" si="1293"/>
        <v>15</v>
      </c>
    </row>
    <row r="7703" spans="1:2" ht="15" customHeight="1" x14ac:dyDescent="0.3">
      <c r="A7703" t="s">
        <v>7613</v>
      </c>
      <c r="B7703">
        <f t="shared" si="1293"/>
        <v>12</v>
      </c>
    </row>
    <row r="7704" spans="1:2" ht="15" customHeight="1" x14ac:dyDescent="0.3">
      <c r="A7704" t="s">
        <v>7614</v>
      </c>
      <c r="B7704">
        <f t="shared" si="1293"/>
        <v>15</v>
      </c>
    </row>
    <row r="7705" spans="1:2" ht="15" customHeight="1" x14ac:dyDescent="0.3">
      <c r="A7705" t="s">
        <v>7615</v>
      </c>
      <c r="B7705">
        <f t="shared" si="1293"/>
        <v>12</v>
      </c>
    </row>
    <row r="7706" spans="1:2" ht="15" customHeight="1" x14ac:dyDescent="0.3">
      <c r="A7706" t="s">
        <v>7616</v>
      </c>
      <c r="B7706">
        <f t="shared" si="1293"/>
        <v>15</v>
      </c>
    </row>
    <row r="7707" spans="1:2" ht="15" customHeight="1" x14ac:dyDescent="0.3">
      <c r="A7707" t="s">
        <v>7617</v>
      </c>
      <c r="B7707">
        <f t="shared" si="1293"/>
        <v>12</v>
      </c>
    </row>
    <row r="7708" spans="1:2" ht="15" customHeight="1" x14ac:dyDescent="0.3">
      <c r="A7708" t="s">
        <v>7618</v>
      </c>
      <c r="B7708">
        <f t="shared" si="1293"/>
        <v>15</v>
      </c>
    </row>
    <row r="7709" spans="1:2" ht="15" customHeight="1" x14ac:dyDescent="0.3">
      <c r="A7709" t="s">
        <v>7619</v>
      </c>
      <c r="B7709">
        <f t="shared" si="1293"/>
        <v>15</v>
      </c>
    </row>
    <row r="7710" spans="1:2" ht="15" customHeight="1" x14ac:dyDescent="0.3">
      <c r="A7710" t="s">
        <v>7620</v>
      </c>
      <c r="B7710">
        <f t="shared" si="1293"/>
        <v>15</v>
      </c>
    </row>
    <row r="7711" spans="1:2" ht="15" customHeight="1" x14ac:dyDescent="0.3">
      <c r="A7711" t="s">
        <v>7621</v>
      </c>
      <c r="B7711">
        <f t="shared" si="1293"/>
        <v>15</v>
      </c>
    </row>
    <row r="7712" spans="1:2" ht="15" customHeight="1" x14ac:dyDescent="0.3">
      <c r="A7712" t="s">
        <v>7622</v>
      </c>
      <c r="B7712">
        <f t="shared" si="1293"/>
        <v>15</v>
      </c>
    </row>
    <row r="7713" spans="1:2" ht="15" customHeight="1" x14ac:dyDescent="0.3">
      <c r="A7713" t="s">
        <v>7623</v>
      </c>
      <c r="B7713">
        <f t="shared" si="1293"/>
        <v>15</v>
      </c>
    </row>
    <row r="7714" spans="1:2" ht="15" customHeight="1" x14ac:dyDescent="0.3">
      <c r="A7714" t="s">
        <v>7624</v>
      </c>
      <c r="B7714">
        <f t="shared" ref="B7714:B7735" si="1294">B7576</f>
        <v>15</v>
      </c>
    </row>
    <row r="7715" spans="1:2" ht="15" customHeight="1" x14ac:dyDescent="0.3">
      <c r="A7715" t="s">
        <v>7625</v>
      </c>
      <c r="B7715">
        <f t="shared" si="1294"/>
        <v>15</v>
      </c>
    </row>
    <row r="7716" spans="1:2" ht="15" customHeight="1" x14ac:dyDescent="0.3">
      <c r="A7716" t="s">
        <v>7626</v>
      </c>
      <c r="B7716">
        <f t="shared" si="1294"/>
        <v>15</v>
      </c>
    </row>
    <row r="7717" spans="1:2" ht="15" customHeight="1" x14ac:dyDescent="0.3">
      <c r="A7717" t="s">
        <v>7627</v>
      </c>
      <c r="B7717">
        <f t="shared" si="1294"/>
        <v>15</v>
      </c>
    </row>
    <row r="7718" spans="1:2" ht="15" customHeight="1" x14ac:dyDescent="0.3">
      <c r="A7718" t="s">
        <v>7628</v>
      </c>
      <c r="B7718">
        <f t="shared" si="1294"/>
        <v>12</v>
      </c>
    </row>
    <row r="7719" spans="1:2" ht="15" customHeight="1" x14ac:dyDescent="0.3">
      <c r="A7719" t="s">
        <v>7629</v>
      </c>
      <c r="B7719">
        <f t="shared" si="1294"/>
        <v>12</v>
      </c>
    </row>
    <row r="7720" spans="1:2" ht="15" customHeight="1" x14ac:dyDescent="0.3">
      <c r="A7720" t="s">
        <v>7630</v>
      </c>
      <c r="B7720">
        <f t="shared" si="1294"/>
        <v>12</v>
      </c>
    </row>
    <row r="7721" spans="1:2" ht="15" customHeight="1" x14ac:dyDescent="0.3">
      <c r="A7721" t="s">
        <v>7631</v>
      </c>
      <c r="B7721">
        <f t="shared" si="1294"/>
        <v>12</v>
      </c>
    </row>
    <row r="7722" spans="1:2" ht="15" customHeight="1" x14ac:dyDescent="0.3">
      <c r="A7722" t="s">
        <v>7632</v>
      </c>
      <c r="B7722">
        <f t="shared" si="1294"/>
        <v>12</v>
      </c>
    </row>
    <row r="7723" spans="1:2" ht="15" customHeight="1" x14ac:dyDescent="0.3">
      <c r="A7723" t="s">
        <v>7633</v>
      </c>
      <c r="B7723" t="e">
        <f t="shared" si="1294"/>
        <v>#REF!</v>
      </c>
    </row>
    <row r="7724" spans="1:2" ht="15" customHeight="1" x14ac:dyDescent="0.3">
      <c r="A7724" t="s">
        <v>7634</v>
      </c>
      <c r="B7724">
        <f t="shared" si="1294"/>
        <v>15</v>
      </c>
    </row>
    <row r="7725" spans="1:2" ht="15" customHeight="1" x14ac:dyDescent="0.3">
      <c r="A7725" t="s">
        <v>7652</v>
      </c>
      <c r="B7725">
        <f t="shared" si="1294"/>
        <v>12</v>
      </c>
    </row>
    <row r="7726" spans="1:2" ht="15" customHeight="1" x14ac:dyDescent="0.3">
      <c r="A7726" t="s">
        <v>7653</v>
      </c>
      <c r="B7726">
        <f t="shared" si="1294"/>
        <v>12</v>
      </c>
    </row>
    <row r="7727" spans="1:2" ht="15" customHeight="1" x14ac:dyDescent="0.3">
      <c r="A7727" t="s">
        <v>7654</v>
      </c>
      <c r="B7727">
        <f t="shared" si="1294"/>
        <v>15</v>
      </c>
    </row>
    <row r="7728" spans="1:2" ht="15" customHeight="1" x14ac:dyDescent="0.3">
      <c r="A7728" t="s">
        <v>7655</v>
      </c>
      <c r="B7728">
        <f t="shared" si="1294"/>
        <v>15</v>
      </c>
    </row>
    <row r="7729" spans="1:2" ht="15" customHeight="1" x14ac:dyDescent="0.3">
      <c r="A7729" t="s">
        <v>7635</v>
      </c>
      <c r="B7729">
        <f t="shared" si="1294"/>
        <v>15</v>
      </c>
    </row>
    <row r="7730" spans="1:2" ht="15" customHeight="1" x14ac:dyDescent="0.3">
      <c r="A7730" t="s">
        <v>7636</v>
      </c>
      <c r="B7730">
        <f t="shared" si="1294"/>
        <v>15</v>
      </c>
    </row>
    <row r="7731" spans="1:2" ht="15" customHeight="1" x14ac:dyDescent="0.3">
      <c r="A7731" t="s">
        <v>7637</v>
      </c>
      <c r="B7731">
        <f t="shared" si="1294"/>
        <v>15</v>
      </c>
    </row>
    <row r="7732" spans="1:2" ht="15" customHeight="1" x14ac:dyDescent="0.3">
      <c r="A7732" t="s">
        <v>7638</v>
      </c>
      <c r="B7732">
        <f t="shared" si="1294"/>
        <v>15</v>
      </c>
    </row>
    <row r="7733" spans="1:2" ht="15" customHeight="1" x14ac:dyDescent="0.3">
      <c r="A7733" t="s">
        <v>7639</v>
      </c>
      <c r="B7733">
        <f t="shared" si="1294"/>
        <v>15</v>
      </c>
    </row>
    <row r="7734" spans="1:2" ht="15" customHeight="1" x14ac:dyDescent="0.3">
      <c r="A7734" t="s">
        <v>7640</v>
      </c>
      <c r="B7734">
        <f t="shared" si="1294"/>
        <v>15</v>
      </c>
    </row>
    <row r="7735" spans="1:2" ht="15" customHeight="1" x14ac:dyDescent="0.3">
      <c r="A7735" t="s">
        <v>10712</v>
      </c>
      <c r="B7735">
        <f t="shared" si="1294"/>
        <v>15</v>
      </c>
    </row>
    <row r="7736" spans="1:2" ht="15" customHeight="1" x14ac:dyDescent="0.3">
      <c r="A7736" t="s">
        <v>10713</v>
      </c>
      <c r="B7736">
        <f>F1919</f>
        <v>15</v>
      </c>
    </row>
    <row r="7737" spans="1:2" ht="15" customHeight="1" x14ac:dyDescent="0.3">
      <c r="A7737" t="s">
        <v>7641</v>
      </c>
      <c r="B7737">
        <f t="shared" ref="B7737:B7755" si="1295">B7599</f>
        <v>15</v>
      </c>
    </row>
    <row r="7738" spans="1:2" ht="15" customHeight="1" x14ac:dyDescent="0.3">
      <c r="A7738" t="s">
        <v>7642</v>
      </c>
      <c r="B7738">
        <f t="shared" si="1295"/>
        <v>15</v>
      </c>
    </row>
    <row r="7739" spans="1:2" ht="15" customHeight="1" x14ac:dyDescent="0.3">
      <c r="A7739" t="s">
        <v>7643</v>
      </c>
      <c r="B7739">
        <f t="shared" si="1295"/>
        <v>15</v>
      </c>
    </row>
    <row r="7740" spans="1:2" ht="15" customHeight="1" x14ac:dyDescent="0.3">
      <c r="A7740" t="s">
        <v>7644</v>
      </c>
      <c r="B7740">
        <f t="shared" si="1295"/>
        <v>15</v>
      </c>
    </row>
    <row r="7741" spans="1:2" ht="15" customHeight="1" x14ac:dyDescent="0.3">
      <c r="A7741" t="s">
        <v>7645</v>
      </c>
      <c r="B7741">
        <f t="shared" si="1295"/>
        <v>15</v>
      </c>
    </row>
    <row r="7742" spans="1:2" ht="15" customHeight="1" x14ac:dyDescent="0.3">
      <c r="A7742" t="s">
        <v>7646</v>
      </c>
      <c r="B7742">
        <f t="shared" si="1295"/>
        <v>15</v>
      </c>
    </row>
    <row r="7743" spans="1:2" ht="15" customHeight="1" x14ac:dyDescent="0.3">
      <c r="A7743" t="s">
        <v>7647</v>
      </c>
      <c r="B7743">
        <f t="shared" si="1295"/>
        <v>15</v>
      </c>
    </row>
    <row r="7744" spans="1:2" ht="15" customHeight="1" x14ac:dyDescent="0.3">
      <c r="A7744" t="s">
        <v>7648</v>
      </c>
      <c r="B7744">
        <f t="shared" si="1295"/>
        <v>15</v>
      </c>
    </row>
    <row r="7745" spans="1:2" ht="15" customHeight="1" x14ac:dyDescent="0.3">
      <c r="A7745" t="s">
        <v>7649</v>
      </c>
      <c r="B7745">
        <f t="shared" si="1295"/>
        <v>15</v>
      </c>
    </row>
    <row r="7746" spans="1:2" ht="15" customHeight="1" x14ac:dyDescent="0.3">
      <c r="A7746" t="s">
        <v>7650</v>
      </c>
      <c r="B7746" t="e">
        <f t="shared" si="1295"/>
        <v>#REF!</v>
      </c>
    </row>
    <row r="7747" spans="1:2" ht="15" customHeight="1" x14ac:dyDescent="0.3">
      <c r="A7747" t="s">
        <v>7651</v>
      </c>
      <c r="B7747" t="e">
        <f t="shared" si="1295"/>
        <v>#REF!</v>
      </c>
    </row>
    <row r="7748" spans="1:2" ht="15" customHeight="1" x14ac:dyDescent="0.3">
      <c r="A7748" t="s">
        <v>7660</v>
      </c>
      <c r="B7748">
        <f t="shared" si="1295"/>
        <v>12</v>
      </c>
    </row>
    <row r="7749" spans="1:2" ht="15" customHeight="1" x14ac:dyDescent="0.3">
      <c r="A7749" t="s">
        <v>7661</v>
      </c>
      <c r="B7749">
        <f t="shared" si="1295"/>
        <v>12</v>
      </c>
    </row>
    <row r="7750" spans="1:2" ht="15" customHeight="1" x14ac:dyDescent="0.3">
      <c r="A7750" t="s">
        <v>7662</v>
      </c>
      <c r="B7750">
        <f t="shared" si="1295"/>
        <v>12</v>
      </c>
    </row>
    <row r="7751" spans="1:2" ht="15" customHeight="1" x14ac:dyDescent="0.3">
      <c r="A7751" t="s">
        <v>7663</v>
      </c>
      <c r="B7751">
        <f t="shared" si="1295"/>
        <v>12</v>
      </c>
    </row>
    <row r="7752" spans="1:2" ht="15" customHeight="1" x14ac:dyDescent="0.3">
      <c r="A7752" t="s">
        <v>7664</v>
      </c>
      <c r="B7752">
        <f t="shared" si="1295"/>
        <v>15</v>
      </c>
    </row>
    <row r="7753" spans="1:2" ht="15" customHeight="1" x14ac:dyDescent="0.3">
      <c r="A7753" t="s">
        <v>7665</v>
      </c>
      <c r="B7753" t="e">
        <f t="shared" si="1295"/>
        <v>#REF!</v>
      </c>
    </row>
    <row r="7754" spans="1:2" ht="15" customHeight="1" x14ac:dyDescent="0.3">
      <c r="A7754" t="s">
        <v>7666</v>
      </c>
      <c r="B7754" t="e">
        <f t="shared" si="1295"/>
        <v>#REF!</v>
      </c>
    </row>
    <row r="7755" spans="1:2" ht="15" customHeight="1" x14ac:dyDescent="0.3">
      <c r="A7755" t="s">
        <v>7667</v>
      </c>
      <c r="B7755">
        <f t="shared" si="1295"/>
        <v>12</v>
      </c>
    </row>
    <row r="7756" spans="1:2" ht="15" customHeight="1" x14ac:dyDescent="0.3">
      <c r="A7756" t="s">
        <v>8926</v>
      </c>
      <c r="B7756">
        <f>F1932</f>
        <v>15</v>
      </c>
    </row>
    <row r="7757" spans="1:2" ht="15" customHeight="1" x14ac:dyDescent="0.3">
      <c r="A7757" t="s">
        <v>8927</v>
      </c>
      <c r="B7757">
        <f>F1932</f>
        <v>15</v>
      </c>
    </row>
    <row r="7758" spans="1:2" ht="15" customHeight="1" x14ac:dyDescent="0.3">
      <c r="A7758" t="s">
        <v>8928</v>
      </c>
      <c r="B7758">
        <f>F1933</f>
        <v>12</v>
      </c>
    </row>
    <row r="7759" spans="1:2" ht="15" customHeight="1" x14ac:dyDescent="0.3">
      <c r="A7759" t="s">
        <v>8929</v>
      </c>
      <c r="B7759">
        <f>F1934</f>
        <v>15</v>
      </c>
    </row>
    <row r="7760" spans="1:2" ht="15" customHeight="1" x14ac:dyDescent="0.3">
      <c r="A7760" t="s">
        <v>8930</v>
      </c>
      <c r="B7760">
        <f>F1934</f>
        <v>15</v>
      </c>
    </row>
    <row r="7761" spans="1:2" ht="15" customHeight="1" x14ac:dyDescent="0.3">
      <c r="A7761" t="s">
        <v>8931</v>
      </c>
      <c r="B7761">
        <f>F1937</f>
        <v>13</v>
      </c>
    </row>
    <row r="7762" spans="1:2" ht="15" customHeight="1" x14ac:dyDescent="0.3">
      <c r="A7762" t="s">
        <v>8932</v>
      </c>
      <c r="B7762">
        <f>F1935</f>
        <v>15</v>
      </c>
    </row>
    <row r="7763" spans="1:2" ht="15" customHeight="1" x14ac:dyDescent="0.3">
      <c r="A7763" t="s">
        <v>8933</v>
      </c>
      <c r="B7763">
        <f>F1936</f>
        <v>13</v>
      </c>
    </row>
    <row r="7764" spans="1:2" ht="15" customHeight="1" x14ac:dyDescent="0.3">
      <c r="A7764" t="s">
        <v>8934</v>
      </c>
      <c r="B7764">
        <f>F1937</f>
        <v>13</v>
      </c>
    </row>
    <row r="7765" spans="1:2" ht="15" customHeight="1" x14ac:dyDescent="0.3">
      <c r="A7765" t="s">
        <v>8935</v>
      </c>
      <c r="B7765">
        <v>0</v>
      </c>
    </row>
    <row r="7766" spans="1:2" ht="15" customHeight="1" x14ac:dyDescent="0.3">
      <c r="A7766" t="s">
        <v>8936</v>
      </c>
      <c r="B7766">
        <f>F1938</f>
        <v>18</v>
      </c>
    </row>
    <row r="7767" spans="1:2" ht="15" customHeight="1" x14ac:dyDescent="0.3">
      <c r="A7767" t="s">
        <v>8937</v>
      </c>
      <c r="B7767">
        <f>F1938</f>
        <v>18</v>
      </c>
    </row>
    <row r="7768" spans="1:2" ht="15" customHeight="1" x14ac:dyDescent="0.3">
      <c r="A7768" t="s">
        <v>8938</v>
      </c>
      <c r="B7768">
        <f>F1940</f>
        <v>15</v>
      </c>
    </row>
    <row r="7769" spans="1:2" ht="15" customHeight="1" x14ac:dyDescent="0.3">
      <c r="A7769" t="s">
        <v>8939</v>
      </c>
      <c r="B7769">
        <f>F1939</f>
        <v>20</v>
      </c>
    </row>
    <row r="7770" spans="1:2" ht="15" customHeight="1" x14ac:dyDescent="0.3">
      <c r="A7770" t="s">
        <v>8940</v>
      </c>
      <c r="B7770">
        <f>F1939</f>
        <v>20</v>
      </c>
    </row>
    <row r="7771" spans="1:2" ht="15" customHeight="1" x14ac:dyDescent="0.3">
      <c r="A7771" t="s">
        <v>8941</v>
      </c>
      <c r="B7771">
        <f>F1940</f>
        <v>15</v>
      </c>
    </row>
    <row r="7772" spans="1:2" ht="15" customHeight="1" x14ac:dyDescent="0.3">
      <c r="A7772" t="s">
        <v>8942</v>
      </c>
      <c r="B7772">
        <v>0</v>
      </c>
    </row>
    <row r="7773" spans="1:2" ht="15" customHeight="1" x14ac:dyDescent="0.3">
      <c r="A7773" t="s">
        <v>8943</v>
      </c>
      <c r="B7773">
        <v>0</v>
      </c>
    </row>
    <row r="7774" spans="1:2" ht="15" customHeight="1" x14ac:dyDescent="0.3">
      <c r="A7774" t="s">
        <v>8944</v>
      </c>
      <c r="B7774">
        <f>F1941</f>
        <v>0</v>
      </c>
    </row>
    <row r="7775" spans="1:2" ht="15" customHeight="1" x14ac:dyDescent="0.3">
      <c r="A7775" t="s">
        <v>8945</v>
      </c>
      <c r="B7775">
        <f>F1943</f>
        <v>10</v>
      </c>
    </row>
    <row r="7776" spans="1:2" ht="15" customHeight="1" x14ac:dyDescent="0.3">
      <c r="A7776" t="s">
        <v>8946</v>
      </c>
      <c r="B7776">
        <f>F1943</f>
        <v>10</v>
      </c>
    </row>
    <row r="7777" spans="1:2" ht="15" customHeight="1" x14ac:dyDescent="0.3">
      <c r="A7777" t="s">
        <v>8947</v>
      </c>
      <c r="B7777">
        <f>F1942</f>
        <v>10</v>
      </c>
    </row>
    <row r="7778" spans="1:2" ht="15" customHeight="1" x14ac:dyDescent="0.3">
      <c r="A7778" t="s">
        <v>8948</v>
      </c>
      <c r="B7778">
        <f>F1942</f>
        <v>10</v>
      </c>
    </row>
    <row r="7779" spans="1:2" ht="15" customHeight="1" x14ac:dyDescent="0.3">
      <c r="A7779" t="s">
        <v>8949</v>
      </c>
      <c r="B7779">
        <f>F1945</f>
        <v>10</v>
      </c>
    </row>
    <row r="7780" spans="1:2" ht="15" customHeight="1" x14ac:dyDescent="0.3">
      <c r="A7780" t="s">
        <v>8950</v>
      </c>
      <c r="B7780">
        <f>F1945</f>
        <v>10</v>
      </c>
    </row>
    <row r="7781" spans="1:2" ht="15" customHeight="1" x14ac:dyDescent="0.3">
      <c r="A7781" t="s">
        <v>8951</v>
      </c>
      <c r="B7781">
        <f>F1944</f>
        <v>10</v>
      </c>
    </row>
    <row r="7782" spans="1:2" ht="15" customHeight="1" x14ac:dyDescent="0.3">
      <c r="A7782" t="s">
        <v>8952</v>
      </c>
      <c r="B7782">
        <f>F1944</f>
        <v>10</v>
      </c>
    </row>
    <row r="7783" spans="1:2" ht="15" customHeight="1" x14ac:dyDescent="0.3">
      <c r="A7783" t="s">
        <v>8953</v>
      </c>
      <c r="B7783">
        <f>F1946</f>
        <v>10</v>
      </c>
    </row>
    <row r="7784" spans="1:2" ht="15" customHeight="1" x14ac:dyDescent="0.3">
      <c r="A7784" t="s">
        <v>8954</v>
      </c>
      <c r="B7784">
        <f>F1946</f>
        <v>10</v>
      </c>
    </row>
    <row r="7785" spans="1:2" ht="15" customHeight="1" x14ac:dyDescent="0.3">
      <c r="A7785" t="s">
        <v>8955</v>
      </c>
      <c r="B7785">
        <f>F1946</f>
        <v>10</v>
      </c>
    </row>
    <row r="7786" spans="1:2" ht="15" customHeight="1" x14ac:dyDescent="0.3">
      <c r="A7786" t="s">
        <v>8956</v>
      </c>
      <c r="B7786">
        <f>F1947</f>
        <v>10</v>
      </c>
    </row>
    <row r="7787" spans="1:2" ht="15" customHeight="1" x14ac:dyDescent="0.3">
      <c r="A7787" t="s">
        <v>8957</v>
      </c>
      <c r="B7787">
        <f>F1948</f>
        <v>10</v>
      </c>
    </row>
    <row r="7788" spans="1:2" ht="15" customHeight="1" x14ac:dyDescent="0.3">
      <c r="A7788" t="s">
        <v>8958</v>
      </c>
      <c r="B7788">
        <f>F1949</f>
        <v>10</v>
      </c>
    </row>
    <row r="7789" spans="1:2" ht="15" customHeight="1" x14ac:dyDescent="0.3">
      <c r="A7789" t="s">
        <v>8959</v>
      </c>
      <c r="B7789">
        <f>F1949</f>
        <v>10</v>
      </c>
    </row>
    <row r="7790" spans="1:2" ht="15" customHeight="1" x14ac:dyDescent="0.3">
      <c r="A7790" t="s">
        <v>8960</v>
      </c>
      <c r="B7790">
        <f>F1950</f>
        <v>15</v>
      </c>
    </row>
    <row r="7791" spans="1:2" ht="15" customHeight="1" x14ac:dyDescent="0.3">
      <c r="A7791" t="s">
        <v>8961</v>
      </c>
      <c r="B7791">
        <f>F1950</f>
        <v>15</v>
      </c>
    </row>
    <row r="7792" spans="1:2" ht="15" customHeight="1" x14ac:dyDescent="0.3">
      <c r="A7792" t="s">
        <v>8962</v>
      </c>
      <c r="B7792">
        <f>F1951</f>
        <v>10</v>
      </c>
    </row>
    <row r="7793" spans="1:2" ht="15" customHeight="1" x14ac:dyDescent="0.3">
      <c r="A7793" t="s">
        <v>8963</v>
      </c>
      <c r="B7793">
        <f>F1952</f>
        <v>12</v>
      </c>
    </row>
    <row r="7794" spans="1:2" ht="15" customHeight="1" x14ac:dyDescent="0.3">
      <c r="A7794" t="s">
        <v>8964</v>
      </c>
      <c r="B7794">
        <f>F1952</f>
        <v>12</v>
      </c>
    </row>
    <row r="7795" spans="1:2" ht="15" customHeight="1" x14ac:dyDescent="0.3">
      <c r="A7795" t="s">
        <v>8965</v>
      </c>
      <c r="B7795">
        <f>F1952</f>
        <v>12</v>
      </c>
    </row>
    <row r="7796" spans="1:2" ht="15" customHeight="1" x14ac:dyDescent="0.3">
      <c r="A7796" t="s">
        <v>8966</v>
      </c>
      <c r="B7796">
        <f>F1953</f>
        <v>12</v>
      </c>
    </row>
    <row r="7797" spans="1:2" ht="15" customHeight="1" x14ac:dyDescent="0.3">
      <c r="A7797" t="s">
        <v>8967</v>
      </c>
      <c r="B7797">
        <f t="shared" ref="B7797:B7802" si="1296">F1953</f>
        <v>12</v>
      </c>
    </row>
    <row r="7798" spans="1:2" ht="15" customHeight="1" x14ac:dyDescent="0.3">
      <c r="A7798" t="s">
        <v>8968</v>
      </c>
      <c r="B7798">
        <f t="shared" si="1296"/>
        <v>10</v>
      </c>
    </row>
    <row r="7799" spans="1:2" ht="15" customHeight="1" x14ac:dyDescent="0.3">
      <c r="A7799" t="s">
        <v>8969</v>
      </c>
      <c r="B7799">
        <f t="shared" si="1296"/>
        <v>13</v>
      </c>
    </row>
    <row r="7800" spans="1:2" ht="15" customHeight="1" x14ac:dyDescent="0.3">
      <c r="A7800" t="s">
        <v>8970</v>
      </c>
      <c r="B7800">
        <f t="shared" si="1296"/>
        <v>10</v>
      </c>
    </row>
    <row r="7801" spans="1:2" ht="15" customHeight="1" x14ac:dyDescent="0.3">
      <c r="A7801" t="s">
        <v>8971</v>
      </c>
      <c r="B7801">
        <f t="shared" si="1296"/>
        <v>13</v>
      </c>
    </row>
    <row r="7802" spans="1:2" ht="15" customHeight="1" x14ac:dyDescent="0.3">
      <c r="A7802" t="s">
        <v>8972</v>
      </c>
      <c r="B7802">
        <f t="shared" si="1296"/>
        <v>12</v>
      </c>
    </row>
    <row r="7803" spans="1:2" ht="15" customHeight="1" x14ac:dyDescent="0.3">
      <c r="A7803" t="s">
        <v>8973</v>
      </c>
      <c r="B7803">
        <f t="shared" ref="B7803:B7809" si="1297">F1958</f>
        <v>12</v>
      </c>
    </row>
    <row r="7804" spans="1:2" ht="15" customHeight="1" x14ac:dyDescent="0.3">
      <c r="A7804" t="s">
        <v>8974</v>
      </c>
      <c r="B7804">
        <f t="shared" si="1297"/>
        <v>13</v>
      </c>
    </row>
    <row r="7805" spans="1:2" ht="15" customHeight="1" x14ac:dyDescent="0.3">
      <c r="A7805" t="s">
        <v>8975</v>
      </c>
      <c r="B7805">
        <f t="shared" si="1297"/>
        <v>12</v>
      </c>
    </row>
    <row r="7806" spans="1:2" ht="15" customHeight="1" x14ac:dyDescent="0.3">
      <c r="A7806" t="s">
        <v>8976</v>
      </c>
      <c r="B7806">
        <f t="shared" si="1297"/>
        <v>13</v>
      </c>
    </row>
    <row r="7807" spans="1:2" ht="15" customHeight="1" x14ac:dyDescent="0.3">
      <c r="A7807" t="s">
        <v>8977</v>
      </c>
      <c r="B7807">
        <f t="shared" si="1297"/>
        <v>12</v>
      </c>
    </row>
    <row r="7808" spans="1:2" ht="15" customHeight="1" x14ac:dyDescent="0.3">
      <c r="A7808" t="s">
        <v>8978</v>
      </c>
      <c r="B7808">
        <f t="shared" si="1297"/>
        <v>12</v>
      </c>
    </row>
    <row r="7809" spans="1:2" ht="15" customHeight="1" x14ac:dyDescent="0.3">
      <c r="A7809" s="62" t="s">
        <v>12404</v>
      </c>
      <c r="B7809" s="62">
        <f t="shared" si="1297"/>
        <v>15</v>
      </c>
    </row>
    <row r="7810" spans="1:2" ht="15" customHeight="1" x14ac:dyDescent="0.3">
      <c r="A7810" s="62" t="s">
        <v>12405</v>
      </c>
      <c r="B7810" s="62">
        <f>F1964</f>
        <v>15</v>
      </c>
    </row>
    <row r="7811" spans="1:2" ht="15" customHeight="1" x14ac:dyDescent="0.3">
      <c r="A7811" s="62" t="s">
        <v>12406</v>
      </c>
      <c r="B7811" s="62">
        <f>F1964</f>
        <v>15</v>
      </c>
    </row>
    <row r="7812" spans="1:2" ht="15" customHeight="1" x14ac:dyDescent="0.3">
      <c r="A7812" t="s">
        <v>8979</v>
      </c>
      <c r="B7812">
        <f>F1965</f>
        <v>12</v>
      </c>
    </row>
    <row r="7813" spans="1:2" ht="15" customHeight="1" x14ac:dyDescent="0.3">
      <c r="A7813" t="s">
        <v>8980</v>
      </c>
      <c r="B7813">
        <f>F1965</f>
        <v>12</v>
      </c>
    </row>
    <row r="7814" spans="1:2" ht="15" customHeight="1" x14ac:dyDescent="0.3">
      <c r="A7814" t="s">
        <v>8981</v>
      </c>
      <c r="B7814">
        <f>F1965</f>
        <v>12</v>
      </c>
    </row>
    <row r="7815" spans="1:2" ht="15" customHeight="1" x14ac:dyDescent="0.3">
      <c r="A7815" t="s">
        <v>8982</v>
      </c>
      <c r="B7815">
        <f>F1966</f>
        <v>10</v>
      </c>
    </row>
    <row r="7816" spans="1:2" ht="15" customHeight="1" x14ac:dyDescent="0.3">
      <c r="A7816" s="62" t="s">
        <v>12946</v>
      </c>
      <c r="B7816">
        <f>F1967</f>
        <v>12</v>
      </c>
    </row>
    <row r="7817" spans="1:2" ht="15" customHeight="1" x14ac:dyDescent="0.3">
      <c r="A7817" s="62" t="s">
        <v>12947</v>
      </c>
      <c r="B7817">
        <f>F1967</f>
        <v>12</v>
      </c>
    </row>
    <row r="7818" spans="1:2" ht="15" customHeight="1" x14ac:dyDescent="0.3">
      <c r="A7818" s="62" t="s">
        <v>12948</v>
      </c>
      <c r="B7818">
        <f>F1967</f>
        <v>12</v>
      </c>
    </row>
    <row r="7819" spans="1:2" ht="15" customHeight="1" x14ac:dyDescent="0.3">
      <c r="A7819" t="s">
        <v>8983</v>
      </c>
      <c r="B7819">
        <f>F1968</f>
        <v>12</v>
      </c>
    </row>
    <row r="7820" spans="1:2" ht="15" customHeight="1" x14ac:dyDescent="0.3">
      <c r="A7820" t="s">
        <v>8984</v>
      </c>
      <c r="B7820">
        <f>F1969</f>
        <v>10</v>
      </c>
    </row>
    <row r="7821" spans="1:2" ht="15" customHeight="1" x14ac:dyDescent="0.3">
      <c r="A7821" t="s">
        <v>8985</v>
      </c>
      <c r="B7821">
        <f>F1970</f>
        <v>12</v>
      </c>
    </row>
    <row r="7822" spans="1:2" ht="15" customHeight="1" x14ac:dyDescent="0.3">
      <c r="A7822" t="s">
        <v>8986</v>
      </c>
      <c r="B7822" t="e">
        <f>#REF!</f>
        <v>#REF!</v>
      </c>
    </row>
    <row r="7823" spans="1:2" ht="15" customHeight="1" x14ac:dyDescent="0.3">
      <c r="A7823" t="s">
        <v>8987</v>
      </c>
      <c r="B7823" t="e">
        <f>#REF!</f>
        <v>#REF!</v>
      </c>
    </row>
    <row r="7824" spans="1:2" ht="15" customHeight="1" x14ac:dyDescent="0.3">
      <c r="A7824" t="s">
        <v>8988</v>
      </c>
      <c r="B7824">
        <f t="shared" ref="B7824:B7838" si="1298">F1973</f>
        <v>10</v>
      </c>
    </row>
    <row r="7825" spans="1:2" ht="15" customHeight="1" x14ac:dyDescent="0.3">
      <c r="A7825" t="s">
        <v>8989</v>
      </c>
      <c r="B7825">
        <f t="shared" si="1298"/>
        <v>10</v>
      </c>
    </row>
    <row r="7826" spans="1:2" ht="15" customHeight="1" x14ac:dyDescent="0.3">
      <c r="A7826" t="s">
        <v>8990</v>
      </c>
      <c r="B7826">
        <f t="shared" si="1298"/>
        <v>10</v>
      </c>
    </row>
    <row r="7827" spans="1:2" ht="15" customHeight="1" x14ac:dyDescent="0.3">
      <c r="A7827" t="s">
        <v>8991</v>
      </c>
      <c r="B7827">
        <f t="shared" si="1298"/>
        <v>15</v>
      </c>
    </row>
    <row r="7828" spans="1:2" ht="15" customHeight="1" x14ac:dyDescent="0.3">
      <c r="A7828" t="s">
        <v>8992</v>
      </c>
      <c r="B7828">
        <f t="shared" si="1298"/>
        <v>12</v>
      </c>
    </row>
    <row r="7829" spans="1:2" ht="15" customHeight="1" x14ac:dyDescent="0.3">
      <c r="A7829" t="s">
        <v>8993</v>
      </c>
      <c r="B7829">
        <f t="shared" si="1298"/>
        <v>12</v>
      </c>
    </row>
    <row r="7830" spans="1:2" ht="15" customHeight="1" x14ac:dyDescent="0.3">
      <c r="A7830" t="s">
        <v>8994</v>
      </c>
      <c r="B7830">
        <f t="shared" si="1298"/>
        <v>10</v>
      </c>
    </row>
    <row r="7831" spans="1:2" ht="15" customHeight="1" x14ac:dyDescent="0.3">
      <c r="A7831" t="s">
        <v>8995</v>
      </c>
      <c r="B7831">
        <f t="shared" si="1298"/>
        <v>10</v>
      </c>
    </row>
    <row r="7832" spans="1:2" ht="15" customHeight="1" x14ac:dyDescent="0.3">
      <c r="A7832" t="s">
        <v>8996</v>
      </c>
      <c r="B7832">
        <f t="shared" si="1298"/>
        <v>12</v>
      </c>
    </row>
    <row r="7833" spans="1:2" ht="15" customHeight="1" x14ac:dyDescent="0.3">
      <c r="A7833" t="s">
        <v>8997</v>
      </c>
      <c r="B7833">
        <f t="shared" si="1298"/>
        <v>15</v>
      </c>
    </row>
    <row r="7834" spans="1:2" ht="15" customHeight="1" x14ac:dyDescent="0.3">
      <c r="A7834" t="s">
        <v>8998</v>
      </c>
      <c r="B7834">
        <f t="shared" si="1298"/>
        <v>13</v>
      </c>
    </row>
    <row r="7835" spans="1:2" ht="15" customHeight="1" x14ac:dyDescent="0.3">
      <c r="A7835" t="s">
        <v>8999</v>
      </c>
      <c r="B7835">
        <f t="shared" si="1298"/>
        <v>10</v>
      </c>
    </row>
    <row r="7836" spans="1:2" ht="15" customHeight="1" x14ac:dyDescent="0.3">
      <c r="A7836" t="s">
        <v>9000</v>
      </c>
      <c r="B7836">
        <f t="shared" si="1298"/>
        <v>15</v>
      </c>
    </row>
    <row r="7837" spans="1:2" ht="15" customHeight="1" x14ac:dyDescent="0.3">
      <c r="A7837" t="s">
        <v>9001</v>
      </c>
      <c r="B7837">
        <f t="shared" si="1298"/>
        <v>15</v>
      </c>
    </row>
    <row r="7838" spans="1:2" ht="15" customHeight="1" x14ac:dyDescent="0.3">
      <c r="A7838" t="s">
        <v>9002</v>
      </c>
      <c r="B7838">
        <f t="shared" si="1298"/>
        <v>10</v>
      </c>
    </row>
    <row r="7839" spans="1:2" ht="15" customHeight="1" x14ac:dyDescent="0.3">
      <c r="A7839" t="s">
        <v>9003</v>
      </c>
      <c r="B7839">
        <f>F2051</f>
        <v>12</v>
      </c>
    </row>
    <row r="7840" spans="1:2" ht="15" customHeight="1" x14ac:dyDescent="0.3">
      <c r="A7840" t="s">
        <v>9004</v>
      </c>
      <c r="B7840">
        <f>F2052</f>
        <v>12</v>
      </c>
    </row>
    <row r="7841" spans="1:2" ht="15" customHeight="1" x14ac:dyDescent="0.3">
      <c r="A7841" t="s">
        <v>7737</v>
      </c>
      <c r="B7841">
        <f>B7840</f>
        <v>12</v>
      </c>
    </row>
    <row r="7842" spans="1:2" ht="15" customHeight="1" x14ac:dyDescent="0.3">
      <c r="A7842" t="s">
        <v>12626</v>
      </c>
      <c r="B7842">
        <f>B7840</f>
        <v>12</v>
      </c>
    </row>
    <row r="7843" spans="1:2" ht="15" customHeight="1" x14ac:dyDescent="0.3">
      <c r="A7843" t="s">
        <v>9005</v>
      </c>
      <c r="B7843">
        <f>F2052</f>
        <v>12</v>
      </c>
    </row>
    <row r="7844" spans="1:2" ht="15" customHeight="1" x14ac:dyDescent="0.3">
      <c r="A7844" t="s">
        <v>7738</v>
      </c>
      <c r="B7844">
        <f>B7843</f>
        <v>12</v>
      </c>
    </row>
    <row r="7845" spans="1:2" ht="15" customHeight="1" x14ac:dyDescent="0.3">
      <c r="A7845" t="s">
        <v>12627</v>
      </c>
      <c r="B7845">
        <f>B7843</f>
        <v>12</v>
      </c>
    </row>
    <row r="7846" spans="1:2" ht="15" customHeight="1" x14ac:dyDescent="0.3">
      <c r="A7846" t="s">
        <v>12628</v>
      </c>
      <c r="B7846">
        <f>B7843</f>
        <v>12</v>
      </c>
    </row>
    <row r="7847" spans="1:2" ht="15" customHeight="1" x14ac:dyDescent="0.3">
      <c r="A7847" t="s">
        <v>12629</v>
      </c>
      <c r="B7847">
        <f>B7843</f>
        <v>12</v>
      </c>
    </row>
    <row r="7848" spans="1:2" ht="15" customHeight="1" x14ac:dyDescent="0.3">
      <c r="A7848" t="s">
        <v>12630</v>
      </c>
      <c r="B7848">
        <f>B7843</f>
        <v>12</v>
      </c>
    </row>
    <row r="7849" spans="1:2" ht="15" customHeight="1" x14ac:dyDescent="0.3">
      <c r="A7849" t="s">
        <v>9006</v>
      </c>
      <c r="B7849">
        <f>F1988</f>
        <v>13</v>
      </c>
    </row>
    <row r="7850" spans="1:2" ht="15" customHeight="1" x14ac:dyDescent="0.3">
      <c r="A7850" t="s">
        <v>9007</v>
      </c>
      <c r="B7850">
        <f>F1989</f>
        <v>10</v>
      </c>
    </row>
    <row r="7851" spans="1:2" ht="15" customHeight="1" x14ac:dyDescent="0.3">
      <c r="A7851" t="s">
        <v>9008</v>
      </c>
      <c r="B7851">
        <f>F1990</f>
        <v>12</v>
      </c>
    </row>
    <row r="7852" spans="1:2" ht="15" customHeight="1" x14ac:dyDescent="0.3">
      <c r="A7852" t="s">
        <v>9009</v>
      </c>
      <c r="B7852">
        <f>F1991</f>
        <v>12</v>
      </c>
    </row>
    <row r="7853" spans="1:2" ht="15" customHeight="1" x14ac:dyDescent="0.3">
      <c r="A7853" t="s">
        <v>9010</v>
      </c>
      <c r="B7853">
        <f>F1990</f>
        <v>12</v>
      </c>
    </row>
    <row r="7854" spans="1:2" ht="15" customHeight="1" x14ac:dyDescent="0.3">
      <c r="A7854" t="s">
        <v>9011</v>
      </c>
      <c r="B7854">
        <f>F1992</f>
        <v>12</v>
      </c>
    </row>
    <row r="7855" spans="1:2" ht="15" customHeight="1" x14ac:dyDescent="0.3">
      <c r="A7855" t="s">
        <v>9012</v>
      </c>
      <c r="B7855">
        <f>F1993</f>
        <v>12</v>
      </c>
    </row>
    <row r="7856" spans="1:2" ht="15" customHeight="1" x14ac:dyDescent="0.3">
      <c r="A7856" t="s">
        <v>9013</v>
      </c>
      <c r="B7856">
        <f>F1994</f>
        <v>10</v>
      </c>
    </row>
    <row r="7857" spans="1:2" ht="15" customHeight="1" x14ac:dyDescent="0.3">
      <c r="A7857" t="s">
        <v>9014</v>
      </c>
      <c r="B7857">
        <f>F1994</f>
        <v>10</v>
      </c>
    </row>
    <row r="7858" spans="1:2" ht="15" customHeight="1" x14ac:dyDescent="0.3">
      <c r="A7858" t="s">
        <v>9015</v>
      </c>
      <c r="B7858">
        <f>F1994</f>
        <v>10</v>
      </c>
    </row>
    <row r="7859" spans="1:2" ht="15" customHeight="1" x14ac:dyDescent="0.3">
      <c r="A7859" t="s">
        <v>9016</v>
      </c>
      <c r="B7859">
        <f>F1995</f>
        <v>13</v>
      </c>
    </row>
    <row r="7860" spans="1:2" ht="15" customHeight="1" x14ac:dyDescent="0.3">
      <c r="A7860" t="s">
        <v>9017</v>
      </c>
      <c r="B7860">
        <f>F1996</f>
        <v>10</v>
      </c>
    </row>
    <row r="7861" spans="1:2" ht="15" customHeight="1" x14ac:dyDescent="0.3">
      <c r="A7861" t="s">
        <v>9018</v>
      </c>
      <c r="B7861">
        <f>F1997</f>
        <v>12</v>
      </c>
    </row>
    <row r="7862" spans="1:2" ht="15" customHeight="1" x14ac:dyDescent="0.3">
      <c r="A7862" t="s">
        <v>9019</v>
      </c>
      <c r="B7862">
        <f>F1997</f>
        <v>12</v>
      </c>
    </row>
    <row r="7863" spans="1:2" ht="15" customHeight="1" x14ac:dyDescent="0.3">
      <c r="A7863" t="s">
        <v>9020</v>
      </c>
      <c r="B7863">
        <f>F1997</f>
        <v>12</v>
      </c>
    </row>
    <row r="7864" spans="1:2" ht="15" customHeight="1" x14ac:dyDescent="0.3">
      <c r="A7864" t="s">
        <v>9021</v>
      </c>
      <c r="B7864">
        <f>F1997</f>
        <v>12</v>
      </c>
    </row>
    <row r="7865" spans="1:2" ht="15" customHeight="1" x14ac:dyDescent="0.3">
      <c r="A7865" t="s">
        <v>9022</v>
      </c>
      <c r="B7865">
        <f t="shared" ref="B7865:B7872" si="1299">F1997</f>
        <v>12</v>
      </c>
    </row>
    <row r="7866" spans="1:2" ht="15" customHeight="1" x14ac:dyDescent="0.3">
      <c r="A7866" t="s">
        <v>9023</v>
      </c>
      <c r="B7866">
        <f t="shared" si="1299"/>
        <v>12</v>
      </c>
    </row>
    <row r="7867" spans="1:2" ht="15" customHeight="1" x14ac:dyDescent="0.3">
      <c r="A7867" t="s">
        <v>9024</v>
      </c>
      <c r="B7867">
        <f t="shared" si="1299"/>
        <v>12</v>
      </c>
    </row>
    <row r="7868" spans="1:2" ht="15" customHeight="1" x14ac:dyDescent="0.3">
      <c r="A7868" t="s">
        <v>9025</v>
      </c>
      <c r="B7868">
        <f t="shared" si="1299"/>
        <v>15</v>
      </c>
    </row>
    <row r="7869" spans="1:2" ht="15" customHeight="1" x14ac:dyDescent="0.3">
      <c r="A7869" t="s">
        <v>9026</v>
      </c>
      <c r="B7869">
        <f t="shared" si="1299"/>
        <v>15</v>
      </c>
    </row>
    <row r="7870" spans="1:2" ht="15" customHeight="1" x14ac:dyDescent="0.3">
      <c r="A7870" t="s">
        <v>9027</v>
      </c>
      <c r="B7870">
        <f t="shared" si="1299"/>
        <v>13</v>
      </c>
    </row>
    <row r="7871" spans="1:2" ht="15" customHeight="1" x14ac:dyDescent="0.3">
      <c r="A7871" t="s">
        <v>9028</v>
      </c>
      <c r="B7871">
        <f t="shared" si="1299"/>
        <v>10</v>
      </c>
    </row>
    <row r="7872" spans="1:2" ht="15" customHeight="1" x14ac:dyDescent="0.3">
      <c r="A7872" t="s">
        <v>9029</v>
      </c>
      <c r="B7872">
        <f t="shared" si="1299"/>
        <v>20</v>
      </c>
    </row>
    <row r="7873" spans="1:2" ht="15" customHeight="1" x14ac:dyDescent="0.3">
      <c r="A7873" t="s">
        <v>9030</v>
      </c>
      <c r="B7873">
        <f>F2004</f>
        <v>20</v>
      </c>
    </row>
    <row r="7874" spans="1:2" ht="15" customHeight="1" x14ac:dyDescent="0.3">
      <c r="A7874" t="s">
        <v>9031</v>
      </c>
      <c r="B7874">
        <f>F2005</f>
        <v>10</v>
      </c>
    </row>
    <row r="7875" spans="1:2" ht="15" customHeight="1" x14ac:dyDescent="0.3">
      <c r="A7875" t="s">
        <v>9032</v>
      </c>
      <c r="B7875">
        <f>F2005</f>
        <v>10</v>
      </c>
    </row>
    <row r="7876" spans="1:2" ht="15" customHeight="1" x14ac:dyDescent="0.3">
      <c r="A7876" t="s">
        <v>9033</v>
      </c>
      <c r="B7876">
        <f>F2006</f>
        <v>15</v>
      </c>
    </row>
    <row r="7877" spans="1:2" ht="15" customHeight="1" x14ac:dyDescent="0.3">
      <c r="A7877" t="s">
        <v>9034</v>
      </c>
      <c r="B7877">
        <f>F2007</f>
        <v>12</v>
      </c>
    </row>
    <row r="7878" spans="1:2" ht="15" customHeight="1" x14ac:dyDescent="0.3">
      <c r="A7878" t="s">
        <v>9035</v>
      </c>
      <c r="B7878">
        <f>F2008</f>
        <v>10</v>
      </c>
    </row>
    <row r="7879" spans="1:2" ht="15" customHeight="1" x14ac:dyDescent="0.3">
      <c r="A7879" t="s">
        <v>9036</v>
      </c>
      <c r="B7879">
        <f t="shared" ref="B7879:B7885" si="1300">F2008</f>
        <v>10</v>
      </c>
    </row>
    <row r="7880" spans="1:2" ht="15" customHeight="1" x14ac:dyDescent="0.3">
      <c r="A7880" t="s">
        <v>9037</v>
      </c>
      <c r="B7880">
        <f t="shared" si="1300"/>
        <v>12</v>
      </c>
    </row>
    <row r="7881" spans="1:2" ht="15" customHeight="1" x14ac:dyDescent="0.3">
      <c r="A7881" t="s">
        <v>9038</v>
      </c>
      <c r="B7881">
        <f t="shared" si="1300"/>
        <v>15</v>
      </c>
    </row>
    <row r="7882" spans="1:2" ht="15" customHeight="1" x14ac:dyDescent="0.3">
      <c r="A7882" t="s">
        <v>9039</v>
      </c>
      <c r="B7882">
        <f t="shared" si="1300"/>
        <v>13</v>
      </c>
    </row>
    <row r="7883" spans="1:2" ht="15" customHeight="1" x14ac:dyDescent="0.3">
      <c r="A7883" t="s">
        <v>9040</v>
      </c>
      <c r="B7883">
        <f t="shared" si="1300"/>
        <v>10</v>
      </c>
    </row>
    <row r="7884" spans="1:2" ht="15" customHeight="1" x14ac:dyDescent="0.3">
      <c r="A7884" t="s">
        <v>9041</v>
      </c>
      <c r="B7884">
        <f t="shared" si="1300"/>
        <v>13</v>
      </c>
    </row>
    <row r="7885" spans="1:2" ht="15" customHeight="1" x14ac:dyDescent="0.3">
      <c r="A7885" t="s">
        <v>9042</v>
      </c>
      <c r="B7885">
        <f t="shared" si="1300"/>
        <v>13</v>
      </c>
    </row>
    <row r="7886" spans="1:2" ht="15" customHeight="1" x14ac:dyDescent="0.3">
      <c r="A7886" t="s">
        <v>9043</v>
      </c>
      <c r="B7886">
        <f>F2014</f>
        <v>13</v>
      </c>
    </row>
    <row r="7887" spans="1:2" ht="15" customHeight="1" x14ac:dyDescent="0.3">
      <c r="A7887" t="s">
        <v>9044</v>
      </c>
      <c r="B7887">
        <f>F2015</f>
        <v>10</v>
      </c>
    </row>
    <row r="7888" spans="1:2" ht="15" customHeight="1" x14ac:dyDescent="0.3">
      <c r="A7888" t="s">
        <v>9045</v>
      </c>
      <c r="B7888">
        <f>F2016</f>
        <v>10</v>
      </c>
    </row>
    <row r="7889" spans="1:2" ht="15" customHeight="1" x14ac:dyDescent="0.3">
      <c r="A7889" t="s">
        <v>9046</v>
      </c>
      <c r="B7889">
        <f>F2017</f>
        <v>10</v>
      </c>
    </row>
    <row r="7890" spans="1:2" ht="15" customHeight="1" x14ac:dyDescent="0.3">
      <c r="A7890" t="s">
        <v>9047</v>
      </c>
      <c r="B7890">
        <f>F2018</f>
        <v>13</v>
      </c>
    </row>
    <row r="7891" spans="1:2" ht="15" customHeight="1" x14ac:dyDescent="0.3">
      <c r="A7891" t="s">
        <v>9048</v>
      </c>
      <c r="B7891">
        <f>F2018</f>
        <v>13</v>
      </c>
    </row>
    <row r="7892" spans="1:2" ht="15" customHeight="1" x14ac:dyDescent="0.3">
      <c r="A7892" t="s">
        <v>9049</v>
      </c>
      <c r="B7892">
        <f>F2019</f>
        <v>12</v>
      </c>
    </row>
    <row r="7893" spans="1:2" ht="15" customHeight="1" x14ac:dyDescent="0.3">
      <c r="A7893" t="s">
        <v>9050</v>
      </c>
      <c r="B7893">
        <f>F2020</f>
        <v>18</v>
      </c>
    </row>
    <row r="7894" spans="1:2" ht="15" customHeight="1" x14ac:dyDescent="0.3">
      <c r="A7894" t="s">
        <v>9051</v>
      </c>
      <c r="B7894">
        <f>F2021</f>
        <v>18</v>
      </c>
    </row>
    <row r="7895" spans="1:2" ht="15" customHeight="1" x14ac:dyDescent="0.3">
      <c r="A7895" t="s">
        <v>9052</v>
      </c>
      <c r="B7895">
        <f>F2021</f>
        <v>18</v>
      </c>
    </row>
    <row r="7896" spans="1:2" ht="15" customHeight="1" x14ac:dyDescent="0.3">
      <c r="A7896" t="s">
        <v>9053</v>
      </c>
      <c r="B7896">
        <f>F2022</f>
        <v>13</v>
      </c>
    </row>
    <row r="7897" spans="1:2" ht="15" customHeight="1" x14ac:dyDescent="0.3">
      <c r="A7897" t="s">
        <v>9054</v>
      </c>
      <c r="B7897">
        <f>F2023</f>
        <v>13</v>
      </c>
    </row>
    <row r="7898" spans="1:2" ht="15" customHeight="1" x14ac:dyDescent="0.3">
      <c r="A7898" t="s">
        <v>9055</v>
      </c>
      <c r="B7898">
        <f t="shared" ref="B7898:B7903" si="1301">F2023</f>
        <v>13</v>
      </c>
    </row>
    <row r="7899" spans="1:2" ht="15" customHeight="1" x14ac:dyDescent="0.3">
      <c r="A7899" t="s">
        <v>9056</v>
      </c>
      <c r="B7899">
        <f t="shared" si="1301"/>
        <v>13</v>
      </c>
    </row>
    <row r="7900" spans="1:2" ht="15" customHeight="1" x14ac:dyDescent="0.3">
      <c r="A7900" t="s">
        <v>9057</v>
      </c>
      <c r="B7900">
        <f t="shared" si="1301"/>
        <v>13</v>
      </c>
    </row>
    <row r="7901" spans="1:2" ht="15" customHeight="1" x14ac:dyDescent="0.3">
      <c r="A7901" t="s">
        <v>9058</v>
      </c>
      <c r="B7901">
        <f t="shared" si="1301"/>
        <v>13</v>
      </c>
    </row>
    <row r="7902" spans="1:2" ht="15" customHeight="1" x14ac:dyDescent="0.3">
      <c r="A7902" t="s">
        <v>9059</v>
      </c>
      <c r="B7902">
        <f t="shared" si="1301"/>
        <v>15</v>
      </c>
    </row>
    <row r="7903" spans="1:2" ht="15" customHeight="1" x14ac:dyDescent="0.3">
      <c r="A7903" t="s">
        <v>9060</v>
      </c>
      <c r="B7903">
        <f t="shared" si="1301"/>
        <v>13</v>
      </c>
    </row>
    <row r="7904" spans="1:2" ht="15" customHeight="1" x14ac:dyDescent="0.3">
      <c r="A7904" t="s">
        <v>9061</v>
      </c>
      <c r="B7904">
        <f>F2028</f>
        <v>13</v>
      </c>
    </row>
    <row r="7905" spans="1:2" ht="15" customHeight="1" x14ac:dyDescent="0.3">
      <c r="A7905" t="s">
        <v>9062</v>
      </c>
      <c r="B7905">
        <f>F2029</f>
        <v>25</v>
      </c>
    </row>
    <row r="7906" spans="1:2" ht="15" customHeight="1" x14ac:dyDescent="0.3">
      <c r="A7906" t="s">
        <v>9063</v>
      </c>
      <c r="B7906">
        <f>F2030</f>
        <v>12</v>
      </c>
    </row>
    <row r="7907" spans="1:2" ht="15" customHeight="1" x14ac:dyDescent="0.3">
      <c r="A7907" t="s">
        <v>13079</v>
      </c>
      <c r="B7907">
        <f>F2032</f>
        <v>15</v>
      </c>
    </row>
    <row r="7908" spans="1:2" ht="15" customHeight="1" x14ac:dyDescent="0.3">
      <c r="A7908" t="s">
        <v>13080</v>
      </c>
      <c r="B7908">
        <f>B7907</f>
        <v>15</v>
      </c>
    </row>
    <row r="7909" spans="1:2" ht="15" customHeight="1" x14ac:dyDescent="0.3">
      <c r="A7909" t="s">
        <v>13081</v>
      </c>
      <c r="B7909">
        <f>B7907</f>
        <v>15</v>
      </c>
    </row>
    <row r="7910" spans="1:2" ht="15" customHeight="1" x14ac:dyDescent="0.3">
      <c r="A7910" t="s">
        <v>13082</v>
      </c>
      <c r="B7910">
        <f>B7907</f>
        <v>15</v>
      </c>
    </row>
    <row r="7911" spans="1:2" ht="15" customHeight="1" x14ac:dyDescent="0.3">
      <c r="A7911" t="s">
        <v>13083</v>
      </c>
      <c r="B7911">
        <f>B7907</f>
        <v>15</v>
      </c>
    </row>
    <row r="7912" spans="1:2" ht="15" customHeight="1" x14ac:dyDescent="0.3">
      <c r="A7912" t="s">
        <v>13084</v>
      </c>
      <c r="B7912">
        <f>B7907</f>
        <v>15</v>
      </c>
    </row>
    <row r="7913" spans="1:2" ht="15" customHeight="1" x14ac:dyDescent="0.3">
      <c r="A7913" t="s">
        <v>9064</v>
      </c>
      <c r="B7913">
        <f>F2033</f>
        <v>12</v>
      </c>
    </row>
    <row r="7914" spans="1:2" ht="15" customHeight="1" x14ac:dyDescent="0.3">
      <c r="A7914" t="s">
        <v>9065</v>
      </c>
      <c r="B7914">
        <f>F2034</f>
        <v>15</v>
      </c>
    </row>
    <row r="7915" spans="1:2" ht="15" customHeight="1" x14ac:dyDescent="0.3">
      <c r="A7915" t="s">
        <v>9066</v>
      </c>
      <c r="B7915">
        <f>F2035</f>
        <v>13</v>
      </c>
    </row>
    <row r="7916" spans="1:2" ht="15" customHeight="1" x14ac:dyDescent="0.3">
      <c r="A7916" t="s">
        <v>9067</v>
      </c>
      <c r="B7916">
        <f>F2035</f>
        <v>13</v>
      </c>
    </row>
    <row r="7917" spans="1:2" ht="15" customHeight="1" x14ac:dyDescent="0.3">
      <c r="A7917" t="s">
        <v>9068</v>
      </c>
      <c r="B7917">
        <f>F2031</f>
        <v>10</v>
      </c>
    </row>
    <row r="7918" spans="1:2" ht="15" customHeight="1" x14ac:dyDescent="0.3">
      <c r="A7918" t="s">
        <v>9069</v>
      </c>
      <c r="B7918">
        <f>F2036</f>
        <v>15</v>
      </c>
    </row>
    <row r="7919" spans="1:2" ht="15" customHeight="1" x14ac:dyDescent="0.3">
      <c r="A7919" t="s">
        <v>9070</v>
      </c>
      <c r="B7919">
        <f>F2037</f>
        <v>10</v>
      </c>
    </row>
    <row r="7920" spans="1:2" ht="15" customHeight="1" x14ac:dyDescent="0.3">
      <c r="A7920" t="s">
        <v>9071</v>
      </c>
      <c r="B7920">
        <f>F2038</f>
        <v>12</v>
      </c>
    </row>
    <row r="7921" spans="1:2" ht="15" customHeight="1" x14ac:dyDescent="0.3">
      <c r="A7921" t="s">
        <v>9072</v>
      </c>
      <c r="B7921">
        <f>F2039</f>
        <v>10</v>
      </c>
    </row>
    <row r="7922" spans="1:2" ht="15" customHeight="1" x14ac:dyDescent="0.3">
      <c r="A7922" t="s">
        <v>9073</v>
      </c>
      <c r="B7922">
        <f>F2039</f>
        <v>10</v>
      </c>
    </row>
    <row r="7923" spans="1:2" ht="15" customHeight="1" x14ac:dyDescent="0.3">
      <c r="A7923" t="s">
        <v>9074</v>
      </c>
      <c r="B7923">
        <f>F2040</f>
        <v>12</v>
      </c>
    </row>
    <row r="7924" spans="1:2" ht="15" customHeight="1" x14ac:dyDescent="0.3">
      <c r="A7924" t="s">
        <v>9075</v>
      </c>
      <c r="B7924">
        <f>F2041</f>
        <v>10</v>
      </c>
    </row>
    <row r="7925" spans="1:2" ht="15" customHeight="1" x14ac:dyDescent="0.3">
      <c r="A7925" t="s">
        <v>9076</v>
      </c>
      <c r="B7925">
        <f>F2042</f>
        <v>10</v>
      </c>
    </row>
    <row r="7926" spans="1:2" ht="15" customHeight="1" x14ac:dyDescent="0.3">
      <c r="A7926" t="s">
        <v>9077</v>
      </c>
      <c r="B7926">
        <f>F2042</f>
        <v>10</v>
      </c>
    </row>
    <row r="7927" spans="1:2" ht="15" customHeight="1" x14ac:dyDescent="0.3">
      <c r="A7927" t="s">
        <v>9078</v>
      </c>
      <c r="B7927">
        <f>F2043</f>
        <v>12</v>
      </c>
    </row>
    <row r="7928" spans="1:2" ht="15" customHeight="1" x14ac:dyDescent="0.3">
      <c r="A7928" t="s">
        <v>9079</v>
      </c>
      <c r="B7928">
        <f>F2044</f>
        <v>12</v>
      </c>
    </row>
    <row r="7929" spans="1:2" ht="15" customHeight="1" x14ac:dyDescent="0.3">
      <c r="A7929" t="s">
        <v>9080</v>
      </c>
      <c r="B7929">
        <f>F2045</f>
        <v>12</v>
      </c>
    </row>
    <row r="7930" spans="1:2" ht="15" customHeight="1" x14ac:dyDescent="0.3">
      <c r="A7930" t="s">
        <v>9081</v>
      </c>
      <c r="B7930">
        <f>F2050</f>
        <v>15</v>
      </c>
    </row>
    <row r="7931" spans="1:2" ht="15" customHeight="1" x14ac:dyDescent="0.3">
      <c r="A7931" t="s">
        <v>9082</v>
      </c>
      <c r="B7931">
        <f>F2050</f>
        <v>15</v>
      </c>
    </row>
    <row r="7932" spans="1:2" ht="15" customHeight="1" x14ac:dyDescent="0.3">
      <c r="A7932" t="s">
        <v>9083</v>
      </c>
      <c r="B7932">
        <f>F2046</f>
        <v>18</v>
      </c>
    </row>
    <row r="7933" spans="1:2" ht="15" customHeight="1" x14ac:dyDescent="0.3">
      <c r="A7933" t="s">
        <v>9084</v>
      </c>
      <c r="B7933">
        <f>F2047</f>
        <v>13</v>
      </c>
    </row>
    <row r="7934" spans="1:2" ht="15" customHeight="1" x14ac:dyDescent="0.3">
      <c r="A7934" t="s">
        <v>9085</v>
      </c>
      <c r="B7934">
        <f>F2047</f>
        <v>13</v>
      </c>
    </row>
    <row r="7935" spans="1:2" ht="15" customHeight="1" x14ac:dyDescent="0.3">
      <c r="A7935" t="s">
        <v>9086</v>
      </c>
      <c r="B7935">
        <f>F2048</f>
        <v>12</v>
      </c>
    </row>
    <row r="7936" spans="1:2" ht="15" customHeight="1" x14ac:dyDescent="0.3">
      <c r="A7936" t="s">
        <v>9087</v>
      </c>
      <c r="B7936">
        <f>F2048</f>
        <v>12</v>
      </c>
    </row>
    <row r="7937" spans="1:2" ht="15" customHeight="1" x14ac:dyDescent="0.3">
      <c r="A7937" t="s">
        <v>9088</v>
      </c>
      <c r="B7937">
        <f>F2049</f>
        <v>10</v>
      </c>
    </row>
    <row r="7938" spans="1:2" ht="15" customHeight="1" x14ac:dyDescent="0.3">
      <c r="A7938" t="s">
        <v>9089</v>
      </c>
      <c r="B7938">
        <f>F2049</f>
        <v>10</v>
      </c>
    </row>
    <row r="7939" spans="1:2" ht="15" customHeight="1" x14ac:dyDescent="0.3">
      <c r="A7939" t="s">
        <v>9090</v>
      </c>
      <c r="B7939">
        <f>F2049</f>
        <v>10</v>
      </c>
    </row>
    <row r="7940" spans="1:2" ht="15" customHeight="1" x14ac:dyDescent="0.3">
      <c r="A7940" t="s">
        <v>9091</v>
      </c>
      <c r="B7940">
        <f>F2049</f>
        <v>10</v>
      </c>
    </row>
    <row r="7941" spans="1:2" ht="15" customHeight="1" x14ac:dyDescent="0.3">
      <c r="A7941" t="s">
        <v>7668</v>
      </c>
      <c r="B7941">
        <f>B7756</f>
        <v>15</v>
      </c>
    </row>
    <row r="7942" spans="1:2" ht="15" customHeight="1" x14ac:dyDescent="0.3">
      <c r="A7942" t="s">
        <v>7669</v>
      </c>
      <c r="B7942">
        <f>B7757</f>
        <v>15</v>
      </c>
    </row>
    <row r="7943" spans="1:2" ht="15" customHeight="1" x14ac:dyDescent="0.3">
      <c r="A7943" t="s">
        <v>7670</v>
      </c>
      <c r="B7943">
        <f>B7759</f>
        <v>15</v>
      </c>
    </row>
    <row r="7944" spans="1:2" ht="15" customHeight="1" x14ac:dyDescent="0.3">
      <c r="A7944" t="s">
        <v>7671</v>
      </c>
      <c r="B7944">
        <f>B7760</f>
        <v>15</v>
      </c>
    </row>
    <row r="7945" spans="1:2" ht="15" customHeight="1" x14ac:dyDescent="0.3">
      <c r="A7945" t="s">
        <v>7672</v>
      </c>
      <c r="B7945">
        <f>B7762</f>
        <v>15</v>
      </c>
    </row>
    <row r="7946" spans="1:2" ht="15" customHeight="1" x14ac:dyDescent="0.3">
      <c r="A7946" t="s">
        <v>7673</v>
      </c>
      <c r="B7946">
        <f>B7763</f>
        <v>13</v>
      </c>
    </row>
    <row r="7947" spans="1:2" ht="15" customHeight="1" x14ac:dyDescent="0.3">
      <c r="A7947" t="s">
        <v>7674</v>
      </c>
      <c r="B7947">
        <f>B7764</f>
        <v>13</v>
      </c>
    </row>
    <row r="7948" spans="1:2" ht="15" customHeight="1" x14ac:dyDescent="0.3">
      <c r="A7948" t="s">
        <v>7675</v>
      </c>
      <c r="B7948">
        <f>B7766</f>
        <v>18</v>
      </c>
    </row>
    <row r="7949" spans="1:2" ht="15" customHeight="1" x14ac:dyDescent="0.3">
      <c r="A7949" t="s">
        <v>7676</v>
      </c>
      <c r="B7949">
        <f>B7767</f>
        <v>18</v>
      </c>
    </row>
    <row r="7950" spans="1:2" ht="15" customHeight="1" x14ac:dyDescent="0.3">
      <c r="A7950" t="s">
        <v>7677</v>
      </c>
      <c r="B7950">
        <f>B7769</f>
        <v>20</v>
      </c>
    </row>
    <row r="7951" spans="1:2" ht="15" customHeight="1" x14ac:dyDescent="0.3">
      <c r="A7951" t="s">
        <v>7678</v>
      </c>
      <c r="B7951">
        <f>B7770</f>
        <v>20</v>
      </c>
    </row>
    <row r="7952" spans="1:2" ht="15" customHeight="1" x14ac:dyDescent="0.3">
      <c r="A7952" t="s">
        <v>7679</v>
      </c>
      <c r="B7952">
        <f>B7771</f>
        <v>15</v>
      </c>
    </row>
    <row r="7953" spans="1:2" ht="15" customHeight="1" x14ac:dyDescent="0.3">
      <c r="A7953" t="s">
        <v>7680</v>
      </c>
      <c r="B7953">
        <f>B7773</f>
        <v>0</v>
      </c>
    </row>
    <row r="7954" spans="1:2" ht="15" customHeight="1" x14ac:dyDescent="0.3">
      <c r="A7954" t="s">
        <v>7681</v>
      </c>
      <c r="B7954">
        <f>B7774</f>
        <v>0</v>
      </c>
    </row>
    <row r="7955" spans="1:2" ht="15" customHeight="1" x14ac:dyDescent="0.3">
      <c r="A7955" t="s">
        <v>7682</v>
      </c>
      <c r="B7955">
        <f>B7776</f>
        <v>10</v>
      </c>
    </row>
    <row r="7956" spans="1:2" ht="15" customHeight="1" x14ac:dyDescent="0.3">
      <c r="A7956" t="s">
        <v>7683</v>
      </c>
      <c r="B7956">
        <f>B7777</f>
        <v>10</v>
      </c>
    </row>
    <row r="7957" spans="1:2" ht="15" customHeight="1" x14ac:dyDescent="0.3">
      <c r="A7957" t="s">
        <v>7684</v>
      </c>
      <c r="B7957">
        <f>B7778</f>
        <v>10</v>
      </c>
    </row>
    <row r="7958" spans="1:2" ht="15" customHeight="1" x14ac:dyDescent="0.3">
      <c r="A7958" t="s">
        <v>7685</v>
      </c>
      <c r="B7958">
        <f>B7781</f>
        <v>10</v>
      </c>
    </row>
    <row r="7959" spans="1:2" ht="15" customHeight="1" x14ac:dyDescent="0.3">
      <c r="A7959" t="s">
        <v>7686</v>
      </c>
      <c r="B7959">
        <f>B7782</f>
        <v>10</v>
      </c>
    </row>
    <row r="7960" spans="1:2" ht="15" customHeight="1" x14ac:dyDescent="0.3">
      <c r="A7960" t="s">
        <v>7687</v>
      </c>
      <c r="B7960">
        <f t="shared" ref="B7960:B7984" si="1302">B7784</f>
        <v>10</v>
      </c>
    </row>
    <row r="7961" spans="1:2" ht="15" customHeight="1" x14ac:dyDescent="0.3">
      <c r="A7961" t="s">
        <v>7688</v>
      </c>
      <c r="B7961">
        <f t="shared" si="1302"/>
        <v>10</v>
      </c>
    </row>
    <row r="7962" spans="1:2" ht="15" customHeight="1" x14ac:dyDescent="0.3">
      <c r="A7962" t="s">
        <v>7689</v>
      </c>
      <c r="B7962">
        <f t="shared" si="1302"/>
        <v>10</v>
      </c>
    </row>
    <row r="7963" spans="1:2" ht="15" customHeight="1" x14ac:dyDescent="0.3">
      <c r="A7963" t="s">
        <v>7690</v>
      </c>
      <c r="B7963">
        <f t="shared" si="1302"/>
        <v>10</v>
      </c>
    </row>
    <row r="7964" spans="1:2" ht="15" customHeight="1" x14ac:dyDescent="0.3">
      <c r="A7964" t="s">
        <v>7691</v>
      </c>
      <c r="B7964">
        <f t="shared" si="1302"/>
        <v>10</v>
      </c>
    </row>
    <row r="7965" spans="1:2" ht="15" customHeight="1" x14ac:dyDescent="0.3">
      <c r="A7965" t="s">
        <v>7692</v>
      </c>
      <c r="B7965">
        <f t="shared" si="1302"/>
        <v>10</v>
      </c>
    </row>
    <row r="7966" spans="1:2" ht="15" customHeight="1" x14ac:dyDescent="0.3">
      <c r="A7966" t="s">
        <v>7693</v>
      </c>
      <c r="B7966">
        <f t="shared" si="1302"/>
        <v>15</v>
      </c>
    </row>
    <row r="7967" spans="1:2" ht="15" customHeight="1" x14ac:dyDescent="0.3">
      <c r="A7967" t="s">
        <v>7694</v>
      </c>
      <c r="B7967">
        <f t="shared" si="1302"/>
        <v>15</v>
      </c>
    </row>
    <row r="7968" spans="1:2" ht="15" customHeight="1" x14ac:dyDescent="0.3">
      <c r="A7968" t="s">
        <v>7695</v>
      </c>
      <c r="B7968">
        <f t="shared" si="1302"/>
        <v>10</v>
      </c>
    </row>
    <row r="7969" spans="1:2" ht="15" customHeight="1" x14ac:dyDescent="0.3">
      <c r="A7969" t="s">
        <v>7696</v>
      </c>
      <c r="B7969">
        <f t="shared" si="1302"/>
        <v>12</v>
      </c>
    </row>
    <row r="7970" spans="1:2" ht="15" customHeight="1" x14ac:dyDescent="0.3">
      <c r="A7970" t="s">
        <v>7697</v>
      </c>
      <c r="B7970">
        <f t="shared" si="1302"/>
        <v>12</v>
      </c>
    </row>
    <row r="7971" spans="1:2" ht="15" customHeight="1" x14ac:dyDescent="0.3">
      <c r="A7971" t="s">
        <v>7698</v>
      </c>
      <c r="B7971">
        <f t="shared" si="1302"/>
        <v>12</v>
      </c>
    </row>
    <row r="7972" spans="1:2" ht="15" customHeight="1" x14ac:dyDescent="0.3">
      <c r="A7972" t="s">
        <v>7699</v>
      </c>
      <c r="B7972">
        <f t="shared" si="1302"/>
        <v>12</v>
      </c>
    </row>
    <row r="7973" spans="1:2" ht="15" customHeight="1" x14ac:dyDescent="0.3">
      <c r="A7973" t="s">
        <v>7700</v>
      </c>
      <c r="B7973">
        <f t="shared" si="1302"/>
        <v>12</v>
      </c>
    </row>
    <row r="7974" spans="1:2" ht="15" customHeight="1" x14ac:dyDescent="0.3">
      <c r="A7974" t="s">
        <v>7701</v>
      </c>
      <c r="B7974">
        <f t="shared" si="1302"/>
        <v>10</v>
      </c>
    </row>
    <row r="7975" spans="1:2" ht="15" customHeight="1" x14ac:dyDescent="0.3">
      <c r="A7975" t="s">
        <v>7702</v>
      </c>
      <c r="B7975">
        <f t="shared" si="1302"/>
        <v>13</v>
      </c>
    </row>
    <row r="7976" spans="1:2" ht="15" customHeight="1" x14ac:dyDescent="0.3">
      <c r="A7976" t="s">
        <v>7703</v>
      </c>
      <c r="B7976">
        <f t="shared" si="1302"/>
        <v>10</v>
      </c>
    </row>
    <row r="7977" spans="1:2" ht="15" customHeight="1" x14ac:dyDescent="0.3">
      <c r="A7977" t="s">
        <v>7704</v>
      </c>
      <c r="B7977">
        <f t="shared" si="1302"/>
        <v>13</v>
      </c>
    </row>
    <row r="7978" spans="1:2" ht="15" customHeight="1" x14ac:dyDescent="0.3">
      <c r="A7978" t="s">
        <v>7705</v>
      </c>
      <c r="B7978">
        <f t="shared" si="1302"/>
        <v>12</v>
      </c>
    </row>
    <row r="7979" spans="1:2" ht="15" customHeight="1" x14ac:dyDescent="0.3">
      <c r="A7979" t="s">
        <v>7706</v>
      </c>
      <c r="B7979">
        <f t="shared" si="1302"/>
        <v>12</v>
      </c>
    </row>
    <row r="7980" spans="1:2" ht="15" customHeight="1" x14ac:dyDescent="0.3">
      <c r="A7980" t="s">
        <v>7707</v>
      </c>
      <c r="B7980">
        <f t="shared" si="1302"/>
        <v>13</v>
      </c>
    </row>
    <row r="7981" spans="1:2" ht="15" customHeight="1" x14ac:dyDescent="0.3">
      <c r="A7981" t="s">
        <v>7708</v>
      </c>
      <c r="B7981">
        <f t="shared" si="1302"/>
        <v>12</v>
      </c>
    </row>
    <row r="7982" spans="1:2" ht="15" customHeight="1" x14ac:dyDescent="0.3">
      <c r="A7982" t="s">
        <v>7709</v>
      </c>
      <c r="B7982">
        <f t="shared" si="1302"/>
        <v>13</v>
      </c>
    </row>
    <row r="7983" spans="1:2" ht="15" customHeight="1" x14ac:dyDescent="0.3">
      <c r="A7983" t="s">
        <v>7710</v>
      </c>
      <c r="B7983">
        <f t="shared" si="1302"/>
        <v>12</v>
      </c>
    </row>
    <row r="7984" spans="1:2" ht="15" customHeight="1" x14ac:dyDescent="0.3">
      <c r="A7984" t="s">
        <v>7711</v>
      </c>
      <c r="B7984">
        <f t="shared" si="1302"/>
        <v>12</v>
      </c>
    </row>
    <row r="7985" spans="1:2" ht="15" customHeight="1" x14ac:dyDescent="0.3">
      <c r="A7985" t="s">
        <v>7712</v>
      </c>
      <c r="B7985">
        <f>B7812</f>
        <v>12</v>
      </c>
    </row>
    <row r="7986" spans="1:2" ht="15" customHeight="1" x14ac:dyDescent="0.3">
      <c r="A7986" t="s">
        <v>7713</v>
      </c>
      <c r="B7986">
        <f>B7813</f>
        <v>12</v>
      </c>
    </row>
    <row r="7987" spans="1:2" ht="15" customHeight="1" x14ac:dyDescent="0.3">
      <c r="A7987" t="s">
        <v>7714</v>
      </c>
      <c r="B7987">
        <f>B7814</f>
        <v>12</v>
      </c>
    </row>
    <row r="7988" spans="1:2" ht="15" customHeight="1" x14ac:dyDescent="0.3">
      <c r="A7988" t="s">
        <v>7715</v>
      </c>
      <c r="B7988">
        <f>B7815</f>
        <v>10</v>
      </c>
    </row>
    <row r="7989" spans="1:2" ht="15" customHeight="1" x14ac:dyDescent="0.3">
      <c r="A7989" t="s">
        <v>7716</v>
      </c>
      <c r="B7989">
        <f t="shared" ref="B7989:B8009" si="1303">B7819</f>
        <v>12</v>
      </c>
    </row>
    <row r="7990" spans="1:2" ht="15" customHeight="1" x14ac:dyDescent="0.3">
      <c r="A7990" t="s">
        <v>7717</v>
      </c>
      <c r="B7990">
        <f t="shared" si="1303"/>
        <v>10</v>
      </c>
    </row>
    <row r="7991" spans="1:2" ht="15" customHeight="1" x14ac:dyDescent="0.3">
      <c r="A7991" t="s">
        <v>7718</v>
      </c>
      <c r="B7991">
        <f t="shared" si="1303"/>
        <v>12</v>
      </c>
    </row>
    <row r="7992" spans="1:2" ht="15" customHeight="1" x14ac:dyDescent="0.3">
      <c r="A7992" t="s">
        <v>7719</v>
      </c>
      <c r="B7992" t="e">
        <f t="shared" si="1303"/>
        <v>#REF!</v>
      </c>
    </row>
    <row r="7993" spans="1:2" ht="15" customHeight="1" x14ac:dyDescent="0.3">
      <c r="A7993" t="s">
        <v>7720</v>
      </c>
      <c r="B7993" t="e">
        <f t="shared" si="1303"/>
        <v>#REF!</v>
      </c>
    </row>
    <row r="7994" spans="1:2" ht="15" customHeight="1" x14ac:dyDescent="0.3">
      <c r="A7994" t="s">
        <v>7721</v>
      </c>
      <c r="B7994">
        <f t="shared" si="1303"/>
        <v>10</v>
      </c>
    </row>
    <row r="7995" spans="1:2" ht="15" customHeight="1" x14ac:dyDescent="0.3">
      <c r="A7995" t="s">
        <v>7722</v>
      </c>
      <c r="B7995">
        <f t="shared" si="1303"/>
        <v>10</v>
      </c>
    </row>
    <row r="7996" spans="1:2" ht="15" customHeight="1" x14ac:dyDescent="0.3">
      <c r="A7996" t="s">
        <v>7723</v>
      </c>
      <c r="B7996">
        <f t="shared" si="1303"/>
        <v>10</v>
      </c>
    </row>
    <row r="7997" spans="1:2" ht="15" customHeight="1" x14ac:dyDescent="0.3">
      <c r="A7997" t="s">
        <v>7724</v>
      </c>
      <c r="B7997">
        <f t="shared" si="1303"/>
        <v>15</v>
      </c>
    </row>
    <row r="7998" spans="1:2" ht="15" customHeight="1" x14ac:dyDescent="0.3">
      <c r="A7998" t="s">
        <v>7725</v>
      </c>
      <c r="B7998">
        <f t="shared" si="1303"/>
        <v>12</v>
      </c>
    </row>
    <row r="7999" spans="1:2" ht="15" customHeight="1" x14ac:dyDescent="0.3">
      <c r="A7999" t="s">
        <v>7726</v>
      </c>
      <c r="B7999">
        <f t="shared" si="1303"/>
        <v>12</v>
      </c>
    </row>
    <row r="8000" spans="1:2" ht="15" customHeight="1" x14ac:dyDescent="0.3">
      <c r="A8000" t="s">
        <v>7727</v>
      </c>
      <c r="B8000">
        <f t="shared" si="1303"/>
        <v>10</v>
      </c>
    </row>
    <row r="8001" spans="1:2" ht="15" customHeight="1" x14ac:dyDescent="0.3">
      <c r="A8001" t="s">
        <v>7728</v>
      </c>
      <c r="B8001">
        <f t="shared" si="1303"/>
        <v>10</v>
      </c>
    </row>
    <row r="8002" spans="1:2" ht="15" customHeight="1" x14ac:dyDescent="0.3">
      <c r="A8002" t="s">
        <v>7729</v>
      </c>
      <c r="B8002">
        <f t="shared" si="1303"/>
        <v>12</v>
      </c>
    </row>
    <row r="8003" spans="1:2" ht="15" customHeight="1" x14ac:dyDescent="0.3">
      <c r="A8003" t="s">
        <v>7730</v>
      </c>
      <c r="B8003">
        <f t="shared" si="1303"/>
        <v>15</v>
      </c>
    </row>
    <row r="8004" spans="1:2" ht="15" customHeight="1" x14ac:dyDescent="0.3">
      <c r="A8004" t="s">
        <v>7731</v>
      </c>
      <c r="B8004">
        <f t="shared" si="1303"/>
        <v>13</v>
      </c>
    </row>
    <row r="8005" spans="1:2" ht="15" customHeight="1" x14ac:dyDescent="0.3">
      <c r="A8005" t="s">
        <v>7732</v>
      </c>
      <c r="B8005">
        <f t="shared" si="1303"/>
        <v>10</v>
      </c>
    </row>
    <row r="8006" spans="1:2" ht="15" customHeight="1" x14ac:dyDescent="0.3">
      <c r="A8006" t="s">
        <v>7733</v>
      </c>
      <c r="B8006">
        <f t="shared" si="1303"/>
        <v>15</v>
      </c>
    </row>
    <row r="8007" spans="1:2" ht="15" customHeight="1" x14ac:dyDescent="0.3">
      <c r="A8007" t="s">
        <v>7734</v>
      </c>
      <c r="B8007">
        <f t="shared" si="1303"/>
        <v>15</v>
      </c>
    </row>
    <row r="8008" spans="1:2" ht="15" customHeight="1" x14ac:dyDescent="0.3">
      <c r="A8008" t="s">
        <v>7735</v>
      </c>
      <c r="B8008">
        <f t="shared" si="1303"/>
        <v>10</v>
      </c>
    </row>
    <row r="8009" spans="1:2" ht="15" customHeight="1" x14ac:dyDescent="0.3">
      <c r="A8009" t="s">
        <v>7736</v>
      </c>
      <c r="B8009">
        <f t="shared" si="1303"/>
        <v>12</v>
      </c>
    </row>
    <row r="8010" spans="1:2" ht="15" customHeight="1" x14ac:dyDescent="0.3">
      <c r="A8010" t="s">
        <v>7739</v>
      </c>
      <c r="B8010">
        <f t="shared" ref="B8010:B8041" si="1304">B7849</f>
        <v>13</v>
      </c>
    </row>
    <row r="8011" spans="1:2" ht="15" customHeight="1" x14ac:dyDescent="0.3">
      <c r="A8011" t="s">
        <v>7740</v>
      </c>
      <c r="B8011">
        <f t="shared" si="1304"/>
        <v>10</v>
      </c>
    </row>
    <row r="8012" spans="1:2" ht="15" customHeight="1" x14ac:dyDescent="0.3">
      <c r="A8012" t="s">
        <v>7741</v>
      </c>
      <c r="B8012">
        <f t="shared" si="1304"/>
        <v>12</v>
      </c>
    </row>
    <row r="8013" spans="1:2" ht="15" customHeight="1" x14ac:dyDescent="0.3">
      <c r="A8013" t="s">
        <v>7742</v>
      </c>
      <c r="B8013">
        <f t="shared" si="1304"/>
        <v>12</v>
      </c>
    </row>
    <row r="8014" spans="1:2" ht="15" customHeight="1" x14ac:dyDescent="0.3">
      <c r="A8014" t="s">
        <v>7743</v>
      </c>
      <c r="B8014">
        <f t="shared" si="1304"/>
        <v>12</v>
      </c>
    </row>
    <row r="8015" spans="1:2" ht="15" customHeight="1" x14ac:dyDescent="0.3">
      <c r="A8015" t="s">
        <v>7744</v>
      </c>
      <c r="B8015">
        <f t="shared" si="1304"/>
        <v>12</v>
      </c>
    </row>
    <row r="8016" spans="1:2" ht="15" customHeight="1" x14ac:dyDescent="0.3">
      <c r="A8016" t="s">
        <v>7745</v>
      </c>
      <c r="B8016">
        <f t="shared" si="1304"/>
        <v>12</v>
      </c>
    </row>
    <row r="8017" spans="1:2" ht="15" customHeight="1" x14ac:dyDescent="0.3">
      <c r="A8017" t="s">
        <v>7746</v>
      </c>
      <c r="B8017">
        <f t="shared" si="1304"/>
        <v>10</v>
      </c>
    </row>
    <row r="8018" spans="1:2" ht="15" customHeight="1" x14ac:dyDescent="0.3">
      <c r="A8018" t="s">
        <v>7747</v>
      </c>
      <c r="B8018">
        <f t="shared" si="1304"/>
        <v>10</v>
      </c>
    </row>
    <row r="8019" spans="1:2" ht="15" customHeight="1" x14ac:dyDescent="0.3">
      <c r="A8019" t="s">
        <v>7748</v>
      </c>
      <c r="B8019">
        <f t="shared" si="1304"/>
        <v>10</v>
      </c>
    </row>
    <row r="8020" spans="1:2" ht="15" customHeight="1" x14ac:dyDescent="0.3">
      <c r="A8020" t="s">
        <v>7749</v>
      </c>
      <c r="B8020">
        <f t="shared" si="1304"/>
        <v>13</v>
      </c>
    </row>
    <row r="8021" spans="1:2" ht="15" customHeight="1" x14ac:dyDescent="0.3">
      <c r="A8021" t="s">
        <v>7750</v>
      </c>
      <c r="B8021">
        <f t="shared" si="1304"/>
        <v>10</v>
      </c>
    </row>
    <row r="8022" spans="1:2" ht="15" customHeight="1" x14ac:dyDescent="0.3">
      <c r="A8022" t="s">
        <v>7751</v>
      </c>
      <c r="B8022">
        <f t="shared" si="1304"/>
        <v>12</v>
      </c>
    </row>
    <row r="8023" spans="1:2" ht="15" customHeight="1" x14ac:dyDescent="0.3">
      <c r="A8023" t="s">
        <v>7752</v>
      </c>
      <c r="B8023">
        <f t="shared" si="1304"/>
        <v>12</v>
      </c>
    </row>
    <row r="8024" spans="1:2" ht="15" customHeight="1" x14ac:dyDescent="0.3">
      <c r="A8024" t="s">
        <v>7753</v>
      </c>
      <c r="B8024">
        <f t="shared" si="1304"/>
        <v>12</v>
      </c>
    </row>
    <row r="8025" spans="1:2" ht="15" customHeight="1" x14ac:dyDescent="0.3">
      <c r="A8025" t="s">
        <v>7754</v>
      </c>
      <c r="B8025">
        <f t="shared" si="1304"/>
        <v>12</v>
      </c>
    </row>
    <row r="8026" spans="1:2" ht="15" customHeight="1" x14ac:dyDescent="0.3">
      <c r="A8026" t="s">
        <v>7755</v>
      </c>
      <c r="B8026">
        <f t="shared" si="1304"/>
        <v>12</v>
      </c>
    </row>
    <row r="8027" spans="1:2" ht="15" customHeight="1" x14ac:dyDescent="0.3">
      <c r="A8027" t="s">
        <v>7756</v>
      </c>
      <c r="B8027">
        <f t="shared" si="1304"/>
        <v>12</v>
      </c>
    </row>
    <row r="8028" spans="1:2" ht="15" customHeight="1" x14ac:dyDescent="0.3">
      <c r="A8028" t="s">
        <v>7757</v>
      </c>
      <c r="B8028">
        <f t="shared" si="1304"/>
        <v>12</v>
      </c>
    </row>
    <row r="8029" spans="1:2" ht="15" customHeight="1" x14ac:dyDescent="0.3">
      <c r="A8029" t="s">
        <v>7758</v>
      </c>
      <c r="B8029">
        <f t="shared" si="1304"/>
        <v>15</v>
      </c>
    </row>
    <row r="8030" spans="1:2" ht="15" customHeight="1" x14ac:dyDescent="0.3">
      <c r="A8030" t="s">
        <v>7759</v>
      </c>
      <c r="B8030">
        <f t="shared" si="1304"/>
        <v>15</v>
      </c>
    </row>
    <row r="8031" spans="1:2" ht="15" customHeight="1" x14ac:dyDescent="0.3">
      <c r="A8031" t="s">
        <v>7760</v>
      </c>
      <c r="B8031">
        <f t="shared" si="1304"/>
        <v>13</v>
      </c>
    </row>
    <row r="8032" spans="1:2" ht="15" customHeight="1" x14ac:dyDescent="0.3">
      <c r="A8032" t="s">
        <v>7761</v>
      </c>
      <c r="B8032">
        <f t="shared" si="1304"/>
        <v>10</v>
      </c>
    </row>
    <row r="8033" spans="1:2" ht="15" customHeight="1" x14ac:dyDescent="0.3">
      <c r="A8033" t="s">
        <v>7762</v>
      </c>
      <c r="B8033">
        <f t="shared" si="1304"/>
        <v>20</v>
      </c>
    </row>
    <row r="8034" spans="1:2" ht="15" customHeight="1" x14ac:dyDescent="0.3">
      <c r="A8034" t="s">
        <v>7763</v>
      </c>
      <c r="B8034">
        <f t="shared" si="1304"/>
        <v>20</v>
      </c>
    </row>
    <row r="8035" spans="1:2" ht="15" customHeight="1" x14ac:dyDescent="0.3">
      <c r="A8035" t="s">
        <v>7764</v>
      </c>
      <c r="B8035">
        <f t="shared" si="1304"/>
        <v>10</v>
      </c>
    </row>
    <row r="8036" spans="1:2" ht="15" customHeight="1" x14ac:dyDescent="0.3">
      <c r="A8036" t="s">
        <v>7765</v>
      </c>
      <c r="B8036">
        <f t="shared" si="1304"/>
        <v>10</v>
      </c>
    </row>
    <row r="8037" spans="1:2" ht="15" customHeight="1" x14ac:dyDescent="0.3">
      <c r="A8037" t="s">
        <v>7766</v>
      </c>
      <c r="B8037">
        <f t="shared" si="1304"/>
        <v>15</v>
      </c>
    </row>
    <row r="8038" spans="1:2" ht="15" customHeight="1" x14ac:dyDescent="0.3">
      <c r="A8038" t="s">
        <v>7767</v>
      </c>
      <c r="B8038">
        <f t="shared" si="1304"/>
        <v>12</v>
      </c>
    </row>
    <row r="8039" spans="1:2" ht="15" customHeight="1" x14ac:dyDescent="0.3">
      <c r="A8039" t="s">
        <v>7768</v>
      </c>
      <c r="B8039">
        <f t="shared" si="1304"/>
        <v>10</v>
      </c>
    </row>
    <row r="8040" spans="1:2" ht="15" customHeight="1" x14ac:dyDescent="0.3">
      <c r="A8040" t="s">
        <v>7769</v>
      </c>
      <c r="B8040">
        <f t="shared" si="1304"/>
        <v>10</v>
      </c>
    </row>
    <row r="8041" spans="1:2" ht="15" customHeight="1" x14ac:dyDescent="0.3">
      <c r="A8041" t="s">
        <v>7770</v>
      </c>
      <c r="B8041">
        <f t="shared" si="1304"/>
        <v>12</v>
      </c>
    </row>
    <row r="8042" spans="1:2" ht="15" customHeight="1" x14ac:dyDescent="0.3">
      <c r="A8042" t="s">
        <v>7771</v>
      </c>
      <c r="B8042">
        <f t="shared" ref="B8042:B8067" si="1305">B7881</f>
        <v>15</v>
      </c>
    </row>
    <row r="8043" spans="1:2" ht="15" customHeight="1" x14ac:dyDescent="0.3">
      <c r="A8043" t="s">
        <v>7772</v>
      </c>
      <c r="B8043">
        <f t="shared" si="1305"/>
        <v>13</v>
      </c>
    </row>
    <row r="8044" spans="1:2" ht="15" customHeight="1" x14ac:dyDescent="0.3">
      <c r="A8044" t="s">
        <v>7773</v>
      </c>
      <c r="B8044">
        <f t="shared" si="1305"/>
        <v>10</v>
      </c>
    </row>
    <row r="8045" spans="1:2" ht="15" customHeight="1" x14ac:dyDescent="0.3">
      <c r="A8045" t="s">
        <v>7774</v>
      </c>
      <c r="B8045">
        <f t="shared" si="1305"/>
        <v>13</v>
      </c>
    </row>
    <row r="8046" spans="1:2" ht="15" customHeight="1" x14ac:dyDescent="0.3">
      <c r="A8046" t="s">
        <v>7775</v>
      </c>
      <c r="B8046">
        <f t="shared" si="1305"/>
        <v>13</v>
      </c>
    </row>
    <row r="8047" spans="1:2" ht="15" customHeight="1" x14ac:dyDescent="0.3">
      <c r="A8047" t="s">
        <v>7776</v>
      </c>
      <c r="B8047">
        <f t="shared" si="1305"/>
        <v>13</v>
      </c>
    </row>
    <row r="8048" spans="1:2" ht="15" customHeight="1" x14ac:dyDescent="0.3">
      <c r="A8048" t="s">
        <v>7777</v>
      </c>
      <c r="B8048">
        <f t="shared" si="1305"/>
        <v>10</v>
      </c>
    </row>
    <row r="8049" spans="1:2" ht="15" customHeight="1" x14ac:dyDescent="0.3">
      <c r="A8049" t="s">
        <v>7778</v>
      </c>
      <c r="B8049">
        <f t="shared" si="1305"/>
        <v>10</v>
      </c>
    </row>
    <row r="8050" spans="1:2" ht="15" customHeight="1" x14ac:dyDescent="0.3">
      <c r="A8050" t="s">
        <v>7779</v>
      </c>
      <c r="B8050">
        <f t="shared" si="1305"/>
        <v>10</v>
      </c>
    </row>
    <row r="8051" spans="1:2" ht="15" customHeight="1" x14ac:dyDescent="0.3">
      <c r="A8051" t="s">
        <v>7780</v>
      </c>
      <c r="B8051">
        <f t="shared" si="1305"/>
        <v>13</v>
      </c>
    </row>
    <row r="8052" spans="1:2" ht="15" customHeight="1" x14ac:dyDescent="0.3">
      <c r="A8052" t="s">
        <v>7781</v>
      </c>
      <c r="B8052">
        <f t="shared" si="1305"/>
        <v>13</v>
      </c>
    </row>
    <row r="8053" spans="1:2" ht="15" customHeight="1" x14ac:dyDescent="0.3">
      <c r="A8053" t="s">
        <v>7782</v>
      </c>
      <c r="B8053">
        <f t="shared" si="1305"/>
        <v>12</v>
      </c>
    </row>
    <row r="8054" spans="1:2" ht="15" customHeight="1" x14ac:dyDescent="0.3">
      <c r="A8054" t="s">
        <v>7783</v>
      </c>
      <c r="B8054">
        <f t="shared" si="1305"/>
        <v>18</v>
      </c>
    </row>
    <row r="8055" spans="1:2" ht="15" customHeight="1" x14ac:dyDescent="0.3">
      <c r="A8055" t="s">
        <v>7784</v>
      </c>
      <c r="B8055">
        <f t="shared" si="1305"/>
        <v>18</v>
      </c>
    </row>
    <row r="8056" spans="1:2" ht="15" customHeight="1" x14ac:dyDescent="0.3">
      <c r="A8056" t="s">
        <v>7785</v>
      </c>
      <c r="B8056">
        <f t="shared" si="1305"/>
        <v>18</v>
      </c>
    </row>
    <row r="8057" spans="1:2" ht="15" customHeight="1" x14ac:dyDescent="0.3">
      <c r="A8057" t="s">
        <v>7786</v>
      </c>
      <c r="B8057">
        <f t="shared" si="1305"/>
        <v>13</v>
      </c>
    </row>
    <row r="8058" spans="1:2" ht="15" customHeight="1" x14ac:dyDescent="0.3">
      <c r="A8058" t="s">
        <v>7787</v>
      </c>
      <c r="B8058">
        <f t="shared" si="1305"/>
        <v>13</v>
      </c>
    </row>
    <row r="8059" spans="1:2" ht="15" customHeight="1" x14ac:dyDescent="0.3">
      <c r="A8059" t="s">
        <v>7788</v>
      </c>
      <c r="B8059">
        <f t="shared" si="1305"/>
        <v>13</v>
      </c>
    </row>
    <row r="8060" spans="1:2" ht="15" customHeight="1" x14ac:dyDescent="0.3">
      <c r="A8060" t="s">
        <v>7789</v>
      </c>
      <c r="B8060">
        <f t="shared" si="1305"/>
        <v>13</v>
      </c>
    </row>
    <row r="8061" spans="1:2" ht="15" customHeight="1" x14ac:dyDescent="0.3">
      <c r="A8061" t="s">
        <v>7790</v>
      </c>
      <c r="B8061">
        <f t="shared" si="1305"/>
        <v>13</v>
      </c>
    </row>
    <row r="8062" spans="1:2" ht="15" customHeight="1" x14ac:dyDescent="0.3">
      <c r="A8062" t="s">
        <v>7791</v>
      </c>
      <c r="B8062">
        <f t="shared" si="1305"/>
        <v>13</v>
      </c>
    </row>
    <row r="8063" spans="1:2" ht="15" customHeight="1" x14ac:dyDescent="0.3">
      <c r="A8063" t="s">
        <v>7792</v>
      </c>
      <c r="B8063">
        <f t="shared" si="1305"/>
        <v>15</v>
      </c>
    </row>
    <row r="8064" spans="1:2" ht="15" customHeight="1" x14ac:dyDescent="0.3">
      <c r="A8064" t="s">
        <v>7793</v>
      </c>
      <c r="B8064">
        <f t="shared" si="1305"/>
        <v>13</v>
      </c>
    </row>
    <row r="8065" spans="1:2" ht="15" customHeight="1" x14ac:dyDescent="0.3">
      <c r="A8065" t="s">
        <v>7794</v>
      </c>
      <c r="B8065">
        <f t="shared" si="1305"/>
        <v>13</v>
      </c>
    </row>
    <row r="8066" spans="1:2" ht="15" customHeight="1" x14ac:dyDescent="0.3">
      <c r="A8066" t="s">
        <v>7795</v>
      </c>
      <c r="B8066">
        <f t="shared" si="1305"/>
        <v>25</v>
      </c>
    </row>
    <row r="8067" spans="1:2" ht="15" customHeight="1" x14ac:dyDescent="0.3">
      <c r="A8067" t="s">
        <v>7796</v>
      </c>
      <c r="B8067">
        <f t="shared" si="1305"/>
        <v>12</v>
      </c>
    </row>
    <row r="8068" spans="1:2" ht="15" customHeight="1" x14ac:dyDescent="0.3">
      <c r="A8068" t="s">
        <v>7797</v>
      </c>
      <c r="B8068">
        <f t="shared" ref="B8068:B8073" si="1306">B7913</f>
        <v>12</v>
      </c>
    </row>
    <row r="8069" spans="1:2" ht="15" customHeight="1" x14ac:dyDescent="0.3">
      <c r="A8069" t="s">
        <v>7798</v>
      </c>
      <c r="B8069">
        <f t="shared" si="1306"/>
        <v>15</v>
      </c>
    </row>
    <row r="8070" spans="1:2" ht="15" customHeight="1" x14ac:dyDescent="0.3">
      <c r="A8070" t="s">
        <v>7799</v>
      </c>
      <c r="B8070">
        <f t="shared" si="1306"/>
        <v>13</v>
      </c>
    </row>
    <row r="8071" spans="1:2" ht="15" customHeight="1" x14ac:dyDescent="0.3">
      <c r="A8071" t="s">
        <v>7800</v>
      </c>
      <c r="B8071">
        <f t="shared" si="1306"/>
        <v>13</v>
      </c>
    </row>
    <row r="8072" spans="1:2" ht="15" customHeight="1" x14ac:dyDescent="0.3">
      <c r="A8072" t="s">
        <v>7801</v>
      </c>
      <c r="B8072">
        <f t="shared" si="1306"/>
        <v>10</v>
      </c>
    </row>
    <row r="8073" spans="1:2" ht="15" customHeight="1" x14ac:dyDescent="0.3">
      <c r="A8073" t="s">
        <v>7802</v>
      </c>
      <c r="B8073">
        <f t="shared" si="1306"/>
        <v>15</v>
      </c>
    </row>
    <row r="8074" spans="1:2" ht="15" customHeight="1" x14ac:dyDescent="0.3">
      <c r="A8074" t="s">
        <v>7803</v>
      </c>
      <c r="B8074">
        <f t="shared" ref="B8074:B8095" si="1307">B7919</f>
        <v>10</v>
      </c>
    </row>
    <row r="8075" spans="1:2" ht="15" customHeight="1" x14ac:dyDescent="0.3">
      <c r="A8075" t="s">
        <v>7804</v>
      </c>
      <c r="B8075">
        <f t="shared" si="1307"/>
        <v>12</v>
      </c>
    </row>
    <row r="8076" spans="1:2" ht="15" customHeight="1" x14ac:dyDescent="0.3">
      <c r="A8076" t="s">
        <v>7805</v>
      </c>
      <c r="B8076">
        <f t="shared" si="1307"/>
        <v>10</v>
      </c>
    </row>
    <row r="8077" spans="1:2" ht="15" customHeight="1" x14ac:dyDescent="0.3">
      <c r="A8077" t="s">
        <v>7806</v>
      </c>
      <c r="B8077">
        <f t="shared" si="1307"/>
        <v>10</v>
      </c>
    </row>
    <row r="8078" spans="1:2" ht="15" customHeight="1" x14ac:dyDescent="0.3">
      <c r="A8078" t="s">
        <v>7807</v>
      </c>
      <c r="B8078">
        <f t="shared" si="1307"/>
        <v>12</v>
      </c>
    </row>
    <row r="8079" spans="1:2" ht="15" customHeight="1" x14ac:dyDescent="0.3">
      <c r="A8079" t="s">
        <v>7808</v>
      </c>
      <c r="B8079">
        <f t="shared" si="1307"/>
        <v>10</v>
      </c>
    </row>
    <row r="8080" spans="1:2" ht="15" customHeight="1" x14ac:dyDescent="0.3">
      <c r="A8080" t="s">
        <v>7809</v>
      </c>
      <c r="B8080">
        <f t="shared" si="1307"/>
        <v>10</v>
      </c>
    </row>
    <row r="8081" spans="1:2" ht="15" customHeight="1" x14ac:dyDescent="0.3">
      <c r="A8081" t="s">
        <v>7810</v>
      </c>
      <c r="B8081">
        <f t="shared" si="1307"/>
        <v>10</v>
      </c>
    </row>
    <row r="8082" spans="1:2" ht="15" customHeight="1" x14ac:dyDescent="0.3">
      <c r="A8082" t="s">
        <v>7811</v>
      </c>
      <c r="B8082">
        <f t="shared" si="1307"/>
        <v>12</v>
      </c>
    </row>
    <row r="8083" spans="1:2" ht="15" customHeight="1" x14ac:dyDescent="0.3">
      <c r="A8083" t="s">
        <v>7812</v>
      </c>
      <c r="B8083">
        <f t="shared" si="1307"/>
        <v>12</v>
      </c>
    </row>
    <row r="8084" spans="1:2" ht="15" customHeight="1" x14ac:dyDescent="0.3">
      <c r="A8084" t="s">
        <v>7813</v>
      </c>
      <c r="B8084">
        <f t="shared" si="1307"/>
        <v>12</v>
      </c>
    </row>
    <row r="8085" spans="1:2" ht="15" customHeight="1" x14ac:dyDescent="0.3">
      <c r="A8085" t="s">
        <v>7814</v>
      </c>
      <c r="B8085">
        <f t="shared" si="1307"/>
        <v>15</v>
      </c>
    </row>
    <row r="8086" spans="1:2" ht="15" customHeight="1" x14ac:dyDescent="0.3">
      <c r="A8086" t="s">
        <v>7815</v>
      </c>
      <c r="B8086">
        <f t="shared" si="1307"/>
        <v>15</v>
      </c>
    </row>
    <row r="8087" spans="1:2" ht="15" customHeight="1" x14ac:dyDescent="0.3">
      <c r="A8087" t="s">
        <v>7816</v>
      </c>
      <c r="B8087">
        <f t="shared" si="1307"/>
        <v>18</v>
      </c>
    </row>
    <row r="8088" spans="1:2" ht="15" customHeight="1" x14ac:dyDescent="0.3">
      <c r="A8088" t="s">
        <v>7817</v>
      </c>
      <c r="B8088">
        <f t="shared" si="1307"/>
        <v>13</v>
      </c>
    </row>
    <row r="8089" spans="1:2" ht="15" customHeight="1" x14ac:dyDescent="0.3">
      <c r="A8089" t="s">
        <v>7818</v>
      </c>
      <c r="B8089">
        <f t="shared" si="1307"/>
        <v>13</v>
      </c>
    </row>
    <row r="8090" spans="1:2" ht="15" customHeight="1" x14ac:dyDescent="0.3">
      <c r="A8090" t="s">
        <v>7819</v>
      </c>
      <c r="B8090">
        <f t="shared" si="1307"/>
        <v>12</v>
      </c>
    </row>
    <row r="8091" spans="1:2" ht="15" customHeight="1" x14ac:dyDescent="0.3">
      <c r="A8091" t="s">
        <v>7820</v>
      </c>
      <c r="B8091">
        <f t="shared" si="1307"/>
        <v>12</v>
      </c>
    </row>
    <row r="8092" spans="1:2" ht="15" customHeight="1" x14ac:dyDescent="0.3">
      <c r="A8092" t="s">
        <v>7821</v>
      </c>
      <c r="B8092">
        <f t="shared" si="1307"/>
        <v>10</v>
      </c>
    </row>
    <row r="8093" spans="1:2" ht="15" customHeight="1" x14ac:dyDescent="0.3">
      <c r="A8093" t="s">
        <v>7822</v>
      </c>
      <c r="B8093">
        <f t="shared" si="1307"/>
        <v>10</v>
      </c>
    </row>
    <row r="8094" spans="1:2" ht="15" customHeight="1" x14ac:dyDescent="0.3">
      <c r="A8094" t="s">
        <v>7823</v>
      </c>
      <c r="B8094">
        <f t="shared" si="1307"/>
        <v>10</v>
      </c>
    </row>
    <row r="8095" spans="1:2" ht="15" customHeight="1" x14ac:dyDescent="0.3">
      <c r="A8095" t="s">
        <v>7824</v>
      </c>
      <c r="B8095">
        <f t="shared" si="1307"/>
        <v>10</v>
      </c>
    </row>
    <row r="8096" spans="1:2" ht="15" customHeight="1" x14ac:dyDescent="0.3">
      <c r="A8096" t="s">
        <v>10152</v>
      </c>
      <c r="B8096">
        <f t="shared" ref="B8096:B8127" si="1308">B7943</f>
        <v>15</v>
      </c>
    </row>
    <row r="8097" spans="1:2" ht="15" customHeight="1" x14ac:dyDescent="0.3">
      <c r="A8097" t="s">
        <v>10153</v>
      </c>
      <c r="B8097">
        <f t="shared" si="1308"/>
        <v>15</v>
      </c>
    </row>
    <row r="8098" spans="1:2" ht="15" customHeight="1" x14ac:dyDescent="0.3">
      <c r="A8098" t="s">
        <v>10154</v>
      </c>
      <c r="B8098">
        <f t="shared" si="1308"/>
        <v>15</v>
      </c>
    </row>
    <row r="8099" spans="1:2" ht="15" customHeight="1" x14ac:dyDescent="0.3">
      <c r="A8099" t="s">
        <v>10155</v>
      </c>
      <c r="B8099">
        <f t="shared" si="1308"/>
        <v>13</v>
      </c>
    </row>
    <row r="8100" spans="1:2" ht="15" customHeight="1" x14ac:dyDescent="0.3">
      <c r="A8100" t="s">
        <v>10156</v>
      </c>
      <c r="B8100">
        <f t="shared" si="1308"/>
        <v>13</v>
      </c>
    </row>
    <row r="8101" spans="1:2" ht="15" customHeight="1" x14ac:dyDescent="0.3">
      <c r="A8101" t="s">
        <v>10157</v>
      </c>
      <c r="B8101">
        <f t="shared" si="1308"/>
        <v>18</v>
      </c>
    </row>
    <row r="8102" spans="1:2" ht="15" customHeight="1" x14ac:dyDescent="0.3">
      <c r="A8102" t="s">
        <v>10158</v>
      </c>
      <c r="B8102">
        <f t="shared" si="1308"/>
        <v>18</v>
      </c>
    </row>
    <row r="8103" spans="1:2" ht="15" customHeight="1" x14ac:dyDescent="0.3">
      <c r="A8103" t="s">
        <v>10159</v>
      </c>
      <c r="B8103">
        <f t="shared" si="1308"/>
        <v>20</v>
      </c>
    </row>
    <row r="8104" spans="1:2" ht="15" customHeight="1" x14ac:dyDescent="0.3">
      <c r="A8104" t="s">
        <v>10160</v>
      </c>
      <c r="B8104">
        <f t="shared" si="1308"/>
        <v>20</v>
      </c>
    </row>
    <row r="8105" spans="1:2" ht="15" customHeight="1" x14ac:dyDescent="0.3">
      <c r="A8105" t="s">
        <v>10161</v>
      </c>
      <c r="B8105">
        <f t="shared" si="1308"/>
        <v>15</v>
      </c>
    </row>
    <row r="8106" spans="1:2" ht="15" customHeight="1" x14ac:dyDescent="0.3">
      <c r="A8106" t="s">
        <v>10162</v>
      </c>
      <c r="B8106">
        <f t="shared" si="1308"/>
        <v>0</v>
      </c>
    </row>
    <row r="8107" spans="1:2" ht="15" customHeight="1" x14ac:dyDescent="0.3">
      <c r="A8107" t="s">
        <v>10163</v>
      </c>
      <c r="B8107">
        <f t="shared" si="1308"/>
        <v>0</v>
      </c>
    </row>
    <row r="8108" spans="1:2" ht="15" customHeight="1" x14ac:dyDescent="0.3">
      <c r="A8108" t="s">
        <v>10164</v>
      </c>
      <c r="B8108">
        <f t="shared" si="1308"/>
        <v>10</v>
      </c>
    </row>
    <row r="8109" spans="1:2" ht="15" customHeight="1" x14ac:dyDescent="0.3">
      <c r="A8109" t="s">
        <v>10165</v>
      </c>
      <c r="B8109">
        <f t="shared" si="1308"/>
        <v>10</v>
      </c>
    </row>
    <row r="8110" spans="1:2" ht="15" customHeight="1" x14ac:dyDescent="0.3">
      <c r="A8110" t="s">
        <v>10166</v>
      </c>
      <c r="B8110">
        <f t="shared" si="1308"/>
        <v>10</v>
      </c>
    </row>
    <row r="8111" spans="1:2" ht="15" customHeight="1" x14ac:dyDescent="0.3">
      <c r="A8111" t="s">
        <v>10167</v>
      </c>
      <c r="B8111">
        <f t="shared" si="1308"/>
        <v>10</v>
      </c>
    </row>
    <row r="8112" spans="1:2" ht="15" customHeight="1" x14ac:dyDescent="0.3">
      <c r="A8112" t="s">
        <v>10168</v>
      </c>
      <c r="B8112">
        <f t="shared" si="1308"/>
        <v>10</v>
      </c>
    </row>
    <row r="8113" spans="1:2" ht="15" customHeight="1" x14ac:dyDescent="0.3">
      <c r="A8113" t="s">
        <v>10169</v>
      </c>
      <c r="B8113">
        <f t="shared" si="1308"/>
        <v>10</v>
      </c>
    </row>
    <row r="8114" spans="1:2" ht="15" customHeight="1" x14ac:dyDescent="0.3">
      <c r="A8114" t="s">
        <v>10170</v>
      </c>
      <c r="B8114">
        <f t="shared" si="1308"/>
        <v>10</v>
      </c>
    </row>
    <row r="8115" spans="1:2" ht="15" customHeight="1" x14ac:dyDescent="0.3">
      <c r="A8115" t="s">
        <v>10171</v>
      </c>
      <c r="B8115">
        <f t="shared" si="1308"/>
        <v>10</v>
      </c>
    </row>
    <row r="8116" spans="1:2" ht="15" customHeight="1" x14ac:dyDescent="0.3">
      <c r="A8116" t="s">
        <v>10172</v>
      </c>
      <c r="B8116">
        <f t="shared" si="1308"/>
        <v>10</v>
      </c>
    </row>
    <row r="8117" spans="1:2" ht="15" customHeight="1" x14ac:dyDescent="0.3">
      <c r="A8117" t="s">
        <v>10173</v>
      </c>
      <c r="B8117">
        <f t="shared" si="1308"/>
        <v>10</v>
      </c>
    </row>
    <row r="8118" spans="1:2" ht="15" customHeight="1" x14ac:dyDescent="0.3">
      <c r="A8118" t="s">
        <v>10174</v>
      </c>
      <c r="B8118">
        <f t="shared" si="1308"/>
        <v>10</v>
      </c>
    </row>
    <row r="8119" spans="1:2" ht="15" customHeight="1" x14ac:dyDescent="0.3">
      <c r="A8119" t="s">
        <v>10175</v>
      </c>
      <c r="B8119">
        <f t="shared" si="1308"/>
        <v>15</v>
      </c>
    </row>
    <row r="8120" spans="1:2" ht="15" customHeight="1" x14ac:dyDescent="0.3">
      <c r="A8120" t="s">
        <v>10176</v>
      </c>
      <c r="B8120">
        <f t="shared" si="1308"/>
        <v>15</v>
      </c>
    </row>
    <row r="8121" spans="1:2" ht="15" customHeight="1" x14ac:dyDescent="0.3">
      <c r="A8121" t="s">
        <v>10177</v>
      </c>
      <c r="B8121">
        <f t="shared" si="1308"/>
        <v>10</v>
      </c>
    </row>
    <row r="8122" spans="1:2" ht="15" customHeight="1" x14ac:dyDescent="0.3">
      <c r="A8122" t="s">
        <v>10178</v>
      </c>
      <c r="B8122">
        <f t="shared" si="1308"/>
        <v>12</v>
      </c>
    </row>
    <row r="8123" spans="1:2" ht="15" customHeight="1" x14ac:dyDescent="0.3">
      <c r="A8123" t="s">
        <v>10179</v>
      </c>
      <c r="B8123">
        <f t="shared" si="1308"/>
        <v>12</v>
      </c>
    </row>
    <row r="8124" spans="1:2" ht="15" customHeight="1" x14ac:dyDescent="0.3">
      <c r="A8124" t="s">
        <v>10180</v>
      </c>
      <c r="B8124">
        <f t="shared" si="1308"/>
        <v>12</v>
      </c>
    </row>
    <row r="8125" spans="1:2" ht="15" customHeight="1" x14ac:dyDescent="0.3">
      <c r="A8125" t="s">
        <v>10181</v>
      </c>
      <c r="B8125">
        <f t="shared" si="1308"/>
        <v>12</v>
      </c>
    </row>
    <row r="8126" spans="1:2" ht="15" customHeight="1" x14ac:dyDescent="0.3">
      <c r="A8126" t="s">
        <v>10182</v>
      </c>
      <c r="B8126">
        <f t="shared" si="1308"/>
        <v>12</v>
      </c>
    </row>
    <row r="8127" spans="1:2" ht="15" customHeight="1" x14ac:dyDescent="0.3">
      <c r="A8127" t="s">
        <v>10238</v>
      </c>
      <c r="B8127">
        <f t="shared" si="1308"/>
        <v>10</v>
      </c>
    </row>
    <row r="8128" spans="1:2" ht="15" customHeight="1" x14ac:dyDescent="0.3">
      <c r="A8128" t="s">
        <v>10239</v>
      </c>
      <c r="B8128">
        <f t="shared" ref="B8128:B8159" si="1309">B7975</f>
        <v>13</v>
      </c>
    </row>
    <row r="8129" spans="1:2" ht="15" customHeight="1" x14ac:dyDescent="0.3">
      <c r="A8129" t="s">
        <v>10240</v>
      </c>
      <c r="B8129">
        <f t="shared" si="1309"/>
        <v>10</v>
      </c>
    </row>
    <row r="8130" spans="1:2" ht="15" customHeight="1" x14ac:dyDescent="0.3">
      <c r="A8130" t="s">
        <v>10241</v>
      </c>
      <c r="B8130">
        <f t="shared" si="1309"/>
        <v>13</v>
      </c>
    </row>
    <row r="8131" spans="1:2" ht="15" customHeight="1" x14ac:dyDescent="0.3">
      <c r="A8131" t="s">
        <v>10242</v>
      </c>
      <c r="B8131">
        <f t="shared" si="1309"/>
        <v>12</v>
      </c>
    </row>
    <row r="8132" spans="1:2" ht="15" customHeight="1" x14ac:dyDescent="0.3">
      <c r="A8132" t="s">
        <v>10243</v>
      </c>
      <c r="B8132">
        <f t="shared" si="1309"/>
        <v>12</v>
      </c>
    </row>
    <row r="8133" spans="1:2" ht="15" customHeight="1" x14ac:dyDescent="0.3">
      <c r="A8133" t="s">
        <v>10244</v>
      </c>
      <c r="B8133">
        <f t="shared" si="1309"/>
        <v>13</v>
      </c>
    </row>
    <row r="8134" spans="1:2" ht="15" customHeight="1" x14ac:dyDescent="0.3">
      <c r="A8134" t="s">
        <v>10245</v>
      </c>
      <c r="B8134">
        <f t="shared" si="1309"/>
        <v>12</v>
      </c>
    </row>
    <row r="8135" spans="1:2" ht="15" customHeight="1" x14ac:dyDescent="0.3">
      <c r="A8135" t="s">
        <v>10246</v>
      </c>
      <c r="B8135">
        <f t="shared" si="1309"/>
        <v>13</v>
      </c>
    </row>
    <row r="8136" spans="1:2" ht="15" customHeight="1" x14ac:dyDescent="0.3">
      <c r="A8136" t="s">
        <v>10247</v>
      </c>
      <c r="B8136">
        <f t="shared" si="1309"/>
        <v>12</v>
      </c>
    </row>
    <row r="8137" spans="1:2" ht="15" customHeight="1" x14ac:dyDescent="0.3">
      <c r="A8137" t="s">
        <v>10248</v>
      </c>
      <c r="B8137">
        <f t="shared" si="1309"/>
        <v>12</v>
      </c>
    </row>
    <row r="8138" spans="1:2" ht="15" customHeight="1" x14ac:dyDescent="0.3">
      <c r="A8138" t="s">
        <v>10249</v>
      </c>
      <c r="B8138">
        <f t="shared" si="1309"/>
        <v>12</v>
      </c>
    </row>
    <row r="8139" spans="1:2" ht="15" customHeight="1" x14ac:dyDescent="0.3">
      <c r="A8139" t="s">
        <v>10250</v>
      </c>
      <c r="B8139">
        <f t="shared" si="1309"/>
        <v>12</v>
      </c>
    </row>
    <row r="8140" spans="1:2" ht="15" customHeight="1" x14ac:dyDescent="0.3">
      <c r="A8140" t="s">
        <v>10251</v>
      </c>
      <c r="B8140">
        <f t="shared" si="1309"/>
        <v>12</v>
      </c>
    </row>
    <row r="8141" spans="1:2" ht="15" customHeight="1" x14ac:dyDescent="0.3">
      <c r="A8141" t="s">
        <v>10252</v>
      </c>
      <c r="B8141">
        <f t="shared" si="1309"/>
        <v>10</v>
      </c>
    </row>
    <row r="8142" spans="1:2" ht="15" customHeight="1" x14ac:dyDescent="0.3">
      <c r="A8142" t="s">
        <v>10253</v>
      </c>
      <c r="B8142">
        <f t="shared" si="1309"/>
        <v>12</v>
      </c>
    </row>
    <row r="8143" spans="1:2" ht="15" customHeight="1" x14ac:dyDescent="0.3">
      <c r="A8143" t="s">
        <v>10254</v>
      </c>
      <c r="B8143">
        <f t="shared" si="1309"/>
        <v>10</v>
      </c>
    </row>
    <row r="8144" spans="1:2" ht="15" customHeight="1" x14ac:dyDescent="0.3">
      <c r="A8144" t="s">
        <v>10255</v>
      </c>
      <c r="B8144">
        <f t="shared" si="1309"/>
        <v>12</v>
      </c>
    </row>
    <row r="8145" spans="1:2" ht="15" customHeight="1" x14ac:dyDescent="0.3">
      <c r="A8145" t="s">
        <v>10256</v>
      </c>
      <c r="B8145" t="e">
        <f t="shared" si="1309"/>
        <v>#REF!</v>
      </c>
    </row>
    <row r="8146" spans="1:2" ht="15" customHeight="1" x14ac:dyDescent="0.3">
      <c r="A8146" t="s">
        <v>10257</v>
      </c>
      <c r="B8146" t="e">
        <f t="shared" si="1309"/>
        <v>#REF!</v>
      </c>
    </row>
    <row r="8147" spans="1:2" ht="15" customHeight="1" x14ac:dyDescent="0.3">
      <c r="A8147" t="s">
        <v>10258</v>
      </c>
      <c r="B8147">
        <f t="shared" si="1309"/>
        <v>10</v>
      </c>
    </row>
    <row r="8148" spans="1:2" ht="15" customHeight="1" x14ac:dyDescent="0.3">
      <c r="A8148" t="s">
        <v>10259</v>
      </c>
      <c r="B8148">
        <f t="shared" si="1309"/>
        <v>10</v>
      </c>
    </row>
    <row r="8149" spans="1:2" ht="15" customHeight="1" x14ac:dyDescent="0.3">
      <c r="A8149" t="s">
        <v>10260</v>
      </c>
      <c r="B8149">
        <f t="shared" si="1309"/>
        <v>10</v>
      </c>
    </row>
    <row r="8150" spans="1:2" ht="15" customHeight="1" x14ac:dyDescent="0.3">
      <c r="A8150" t="s">
        <v>10261</v>
      </c>
      <c r="B8150">
        <f t="shared" si="1309"/>
        <v>15</v>
      </c>
    </row>
    <row r="8151" spans="1:2" ht="15" customHeight="1" x14ac:dyDescent="0.3">
      <c r="A8151" t="s">
        <v>10262</v>
      </c>
      <c r="B8151">
        <f t="shared" si="1309"/>
        <v>12</v>
      </c>
    </row>
    <row r="8152" spans="1:2" ht="15" customHeight="1" x14ac:dyDescent="0.3">
      <c r="A8152" t="s">
        <v>10263</v>
      </c>
      <c r="B8152">
        <f t="shared" si="1309"/>
        <v>12</v>
      </c>
    </row>
    <row r="8153" spans="1:2" ht="15" customHeight="1" x14ac:dyDescent="0.3">
      <c r="A8153" t="s">
        <v>10264</v>
      </c>
      <c r="B8153">
        <f t="shared" si="1309"/>
        <v>10</v>
      </c>
    </row>
    <row r="8154" spans="1:2" ht="15" customHeight="1" x14ac:dyDescent="0.3">
      <c r="A8154" t="s">
        <v>10265</v>
      </c>
      <c r="B8154">
        <f t="shared" si="1309"/>
        <v>10</v>
      </c>
    </row>
    <row r="8155" spans="1:2" ht="15" customHeight="1" x14ac:dyDescent="0.3">
      <c r="A8155" t="s">
        <v>10266</v>
      </c>
      <c r="B8155">
        <f t="shared" si="1309"/>
        <v>12</v>
      </c>
    </row>
    <row r="8156" spans="1:2" ht="15" customHeight="1" x14ac:dyDescent="0.3">
      <c r="A8156" t="s">
        <v>10267</v>
      </c>
      <c r="B8156">
        <f t="shared" si="1309"/>
        <v>15</v>
      </c>
    </row>
    <row r="8157" spans="1:2" ht="15" customHeight="1" x14ac:dyDescent="0.3">
      <c r="A8157" t="s">
        <v>10268</v>
      </c>
      <c r="B8157">
        <f t="shared" si="1309"/>
        <v>13</v>
      </c>
    </row>
    <row r="8158" spans="1:2" ht="15" customHeight="1" x14ac:dyDescent="0.3">
      <c r="A8158" t="s">
        <v>10269</v>
      </c>
      <c r="B8158">
        <f t="shared" si="1309"/>
        <v>10</v>
      </c>
    </row>
    <row r="8159" spans="1:2" ht="15" customHeight="1" x14ac:dyDescent="0.3">
      <c r="A8159" t="s">
        <v>10270</v>
      </c>
      <c r="B8159">
        <f t="shared" si="1309"/>
        <v>15</v>
      </c>
    </row>
    <row r="8160" spans="1:2" ht="15" customHeight="1" x14ac:dyDescent="0.3">
      <c r="A8160" t="s">
        <v>10271</v>
      </c>
      <c r="B8160">
        <f t="shared" ref="B8160" si="1310">B8007</f>
        <v>15</v>
      </c>
    </row>
    <row r="8161" spans="1:2" ht="15" customHeight="1" x14ac:dyDescent="0.3">
      <c r="A8161" t="s">
        <v>10183</v>
      </c>
      <c r="B8161">
        <f t="shared" ref="B8161:B8192" si="1311">B8010</f>
        <v>13</v>
      </c>
    </row>
    <row r="8162" spans="1:2" ht="15" customHeight="1" x14ac:dyDescent="0.3">
      <c r="A8162" t="s">
        <v>10184</v>
      </c>
      <c r="B8162">
        <f t="shared" si="1311"/>
        <v>10</v>
      </c>
    </row>
    <row r="8163" spans="1:2" ht="15" customHeight="1" x14ac:dyDescent="0.3">
      <c r="A8163" t="s">
        <v>10185</v>
      </c>
      <c r="B8163">
        <f t="shared" si="1311"/>
        <v>12</v>
      </c>
    </row>
    <row r="8164" spans="1:2" ht="15" customHeight="1" x14ac:dyDescent="0.3">
      <c r="A8164" t="s">
        <v>10186</v>
      </c>
      <c r="B8164">
        <f t="shared" si="1311"/>
        <v>12</v>
      </c>
    </row>
    <row r="8165" spans="1:2" ht="15" customHeight="1" x14ac:dyDescent="0.3">
      <c r="A8165" t="s">
        <v>10187</v>
      </c>
      <c r="B8165">
        <f t="shared" si="1311"/>
        <v>12</v>
      </c>
    </row>
    <row r="8166" spans="1:2" ht="15" customHeight="1" x14ac:dyDescent="0.3">
      <c r="A8166" t="s">
        <v>10188</v>
      </c>
      <c r="B8166">
        <f t="shared" si="1311"/>
        <v>12</v>
      </c>
    </row>
    <row r="8167" spans="1:2" ht="15" customHeight="1" x14ac:dyDescent="0.3">
      <c r="A8167" t="s">
        <v>10189</v>
      </c>
      <c r="B8167">
        <f t="shared" si="1311"/>
        <v>12</v>
      </c>
    </row>
    <row r="8168" spans="1:2" ht="15" customHeight="1" x14ac:dyDescent="0.3">
      <c r="A8168" t="s">
        <v>10190</v>
      </c>
      <c r="B8168">
        <f t="shared" si="1311"/>
        <v>10</v>
      </c>
    </row>
    <row r="8169" spans="1:2" ht="15" customHeight="1" x14ac:dyDescent="0.3">
      <c r="A8169" t="s">
        <v>10191</v>
      </c>
      <c r="B8169">
        <f t="shared" si="1311"/>
        <v>10</v>
      </c>
    </row>
    <row r="8170" spans="1:2" ht="15" customHeight="1" x14ac:dyDescent="0.3">
      <c r="A8170" t="s">
        <v>10192</v>
      </c>
      <c r="B8170">
        <f t="shared" si="1311"/>
        <v>10</v>
      </c>
    </row>
    <row r="8171" spans="1:2" ht="15" customHeight="1" x14ac:dyDescent="0.3">
      <c r="A8171" t="s">
        <v>10193</v>
      </c>
      <c r="B8171">
        <f t="shared" si="1311"/>
        <v>13</v>
      </c>
    </row>
    <row r="8172" spans="1:2" ht="15" customHeight="1" x14ac:dyDescent="0.3">
      <c r="A8172" t="s">
        <v>10194</v>
      </c>
      <c r="B8172">
        <f t="shared" si="1311"/>
        <v>10</v>
      </c>
    </row>
    <row r="8173" spans="1:2" ht="15" customHeight="1" x14ac:dyDescent="0.3">
      <c r="A8173" t="s">
        <v>10195</v>
      </c>
      <c r="B8173">
        <f t="shared" si="1311"/>
        <v>12</v>
      </c>
    </row>
    <row r="8174" spans="1:2" ht="15" customHeight="1" x14ac:dyDescent="0.3">
      <c r="A8174" t="s">
        <v>10196</v>
      </c>
      <c r="B8174">
        <f t="shared" si="1311"/>
        <v>12</v>
      </c>
    </row>
    <row r="8175" spans="1:2" ht="15" customHeight="1" x14ac:dyDescent="0.3">
      <c r="A8175" t="s">
        <v>10197</v>
      </c>
      <c r="B8175">
        <f t="shared" si="1311"/>
        <v>12</v>
      </c>
    </row>
    <row r="8176" spans="1:2" ht="15" customHeight="1" x14ac:dyDescent="0.3">
      <c r="A8176" t="s">
        <v>10198</v>
      </c>
      <c r="B8176">
        <f t="shared" si="1311"/>
        <v>12</v>
      </c>
    </row>
    <row r="8177" spans="1:2" ht="15" customHeight="1" x14ac:dyDescent="0.3">
      <c r="A8177" t="s">
        <v>10199</v>
      </c>
      <c r="B8177">
        <f t="shared" si="1311"/>
        <v>12</v>
      </c>
    </row>
    <row r="8178" spans="1:2" ht="15" customHeight="1" x14ac:dyDescent="0.3">
      <c r="A8178" t="s">
        <v>10200</v>
      </c>
      <c r="B8178">
        <f t="shared" si="1311"/>
        <v>12</v>
      </c>
    </row>
    <row r="8179" spans="1:2" ht="15" customHeight="1" x14ac:dyDescent="0.3">
      <c r="A8179" t="s">
        <v>10201</v>
      </c>
      <c r="B8179">
        <f t="shared" si="1311"/>
        <v>12</v>
      </c>
    </row>
    <row r="8180" spans="1:2" ht="15" customHeight="1" x14ac:dyDescent="0.3">
      <c r="A8180" t="s">
        <v>10202</v>
      </c>
      <c r="B8180">
        <f t="shared" si="1311"/>
        <v>15</v>
      </c>
    </row>
    <row r="8181" spans="1:2" ht="15" customHeight="1" x14ac:dyDescent="0.3">
      <c r="A8181" t="s">
        <v>10203</v>
      </c>
      <c r="B8181">
        <f t="shared" si="1311"/>
        <v>15</v>
      </c>
    </row>
    <row r="8182" spans="1:2" ht="15" customHeight="1" x14ac:dyDescent="0.3">
      <c r="A8182" t="s">
        <v>10204</v>
      </c>
      <c r="B8182">
        <f t="shared" si="1311"/>
        <v>13</v>
      </c>
    </row>
    <row r="8183" spans="1:2" ht="15" customHeight="1" x14ac:dyDescent="0.3">
      <c r="A8183" t="s">
        <v>10205</v>
      </c>
      <c r="B8183">
        <f t="shared" si="1311"/>
        <v>10</v>
      </c>
    </row>
    <row r="8184" spans="1:2" ht="15" customHeight="1" x14ac:dyDescent="0.3">
      <c r="A8184" t="s">
        <v>10206</v>
      </c>
      <c r="B8184">
        <f t="shared" si="1311"/>
        <v>20</v>
      </c>
    </row>
    <row r="8185" spans="1:2" ht="15" customHeight="1" x14ac:dyDescent="0.3">
      <c r="A8185" t="s">
        <v>10207</v>
      </c>
      <c r="B8185">
        <f t="shared" si="1311"/>
        <v>20</v>
      </c>
    </row>
    <row r="8186" spans="1:2" ht="15" customHeight="1" x14ac:dyDescent="0.3">
      <c r="A8186" t="s">
        <v>10208</v>
      </c>
      <c r="B8186">
        <f t="shared" si="1311"/>
        <v>10</v>
      </c>
    </row>
    <row r="8187" spans="1:2" ht="15" customHeight="1" x14ac:dyDescent="0.3">
      <c r="A8187" t="s">
        <v>10209</v>
      </c>
      <c r="B8187">
        <f t="shared" si="1311"/>
        <v>10</v>
      </c>
    </row>
    <row r="8188" spans="1:2" ht="15" customHeight="1" x14ac:dyDescent="0.3">
      <c r="A8188" t="s">
        <v>10210</v>
      </c>
      <c r="B8188">
        <f t="shared" si="1311"/>
        <v>15</v>
      </c>
    </row>
    <row r="8189" spans="1:2" ht="15" customHeight="1" x14ac:dyDescent="0.3">
      <c r="A8189" t="s">
        <v>10211</v>
      </c>
      <c r="B8189">
        <f t="shared" si="1311"/>
        <v>12</v>
      </c>
    </row>
    <row r="8190" spans="1:2" ht="15" customHeight="1" x14ac:dyDescent="0.3">
      <c r="A8190" t="s">
        <v>10212</v>
      </c>
      <c r="B8190">
        <f t="shared" si="1311"/>
        <v>10</v>
      </c>
    </row>
    <row r="8191" spans="1:2" ht="15" customHeight="1" x14ac:dyDescent="0.3">
      <c r="A8191" t="s">
        <v>10213</v>
      </c>
      <c r="B8191">
        <f t="shared" si="1311"/>
        <v>10</v>
      </c>
    </row>
    <row r="8192" spans="1:2" ht="15" customHeight="1" x14ac:dyDescent="0.3">
      <c r="A8192" t="s">
        <v>10214</v>
      </c>
      <c r="B8192">
        <f t="shared" si="1311"/>
        <v>12</v>
      </c>
    </row>
    <row r="8193" spans="1:2" ht="15" customHeight="1" x14ac:dyDescent="0.3">
      <c r="A8193" t="s">
        <v>10215</v>
      </c>
      <c r="B8193">
        <f t="shared" ref="B8193:B8224" si="1312">B8042</f>
        <v>15</v>
      </c>
    </row>
    <row r="8194" spans="1:2" ht="15" customHeight="1" x14ac:dyDescent="0.3">
      <c r="A8194" t="s">
        <v>10216</v>
      </c>
      <c r="B8194">
        <f t="shared" si="1312"/>
        <v>13</v>
      </c>
    </row>
    <row r="8195" spans="1:2" ht="15" customHeight="1" x14ac:dyDescent="0.3">
      <c r="A8195" t="s">
        <v>10272</v>
      </c>
      <c r="B8195">
        <f t="shared" si="1312"/>
        <v>10</v>
      </c>
    </row>
    <row r="8196" spans="1:2" ht="15" customHeight="1" x14ac:dyDescent="0.3">
      <c r="A8196" t="s">
        <v>10273</v>
      </c>
      <c r="B8196">
        <f t="shared" si="1312"/>
        <v>13</v>
      </c>
    </row>
    <row r="8197" spans="1:2" ht="15" customHeight="1" x14ac:dyDescent="0.3">
      <c r="A8197" t="s">
        <v>10217</v>
      </c>
      <c r="B8197">
        <f t="shared" si="1312"/>
        <v>13</v>
      </c>
    </row>
    <row r="8198" spans="1:2" ht="15" customHeight="1" x14ac:dyDescent="0.3">
      <c r="A8198" t="s">
        <v>10218</v>
      </c>
      <c r="B8198">
        <f t="shared" si="1312"/>
        <v>13</v>
      </c>
    </row>
    <row r="8199" spans="1:2" ht="15" customHeight="1" x14ac:dyDescent="0.3">
      <c r="A8199" t="s">
        <v>10219</v>
      </c>
      <c r="B8199">
        <f t="shared" si="1312"/>
        <v>10</v>
      </c>
    </row>
    <row r="8200" spans="1:2" ht="15" customHeight="1" x14ac:dyDescent="0.3">
      <c r="A8200" t="s">
        <v>10220</v>
      </c>
      <c r="B8200">
        <f t="shared" si="1312"/>
        <v>10</v>
      </c>
    </row>
    <row r="8201" spans="1:2" ht="15" customHeight="1" x14ac:dyDescent="0.3">
      <c r="A8201" t="s">
        <v>10221</v>
      </c>
      <c r="B8201">
        <f t="shared" si="1312"/>
        <v>10</v>
      </c>
    </row>
    <row r="8202" spans="1:2" ht="15" customHeight="1" x14ac:dyDescent="0.3">
      <c r="A8202" t="s">
        <v>10222</v>
      </c>
      <c r="B8202">
        <f t="shared" si="1312"/>
        <v>13</v>
      </c>
    </row>
    <row r="8203" spans="1:2" ht="15" customHeight="1" x14ac:dyDescent="0.3">
      <c r="A8203" t="s">
        <v>10223</v>
      </c>
      <c r="B8203">
        <f t="shared" si="1312"/>
        <v>13</v>
      </c>
    </row>
    <row r="8204" spans="1:2" ht="15" customHeight="1" x14ac:dyDescent="0.3">
      <c r="A8204" t="s">
        <v>10224</v>
      </c>
      <c r="B8204">
        <f t="shared" si="1312"/>
        <v>12</v>
      </c>
    </row>
    <row r="8205" spans="1:2" ht="15" customHeight="1" x14ac:dyDescent="0.3">
      <c r="A8205" t="s">
        <v>10225</v>
      </c>
      <c r="B8205">
        <f t="shared" si="1312"/>
        <v>18</v>
      </c>
    </row>
    <row r="8206" spans="1:2" ht="15" customHeight="1" x14ac:dyDescent="0.3">
      <c r="A8206" t="s">
        <v>10226</v>
      </c>
      <c r="B8206">
        <f t="shared" si="1312"/>
        <v>18</v>
      </c>
    </row>
    <row r="8207" spans="1:2" ht="15" customHeight="1" x14ac:dyDescent="0.3">
      <c r="A8207" t="s">
        <v>10227</v>
      </c>
      <c r="B8207">
        <f t="shared" si="1312"/>
        <v>18</v>
      </c>
    </row>
    <row r="8208" spans="1:2" ht="15" customHeight="1" x14ac:dyDescent="0.3">
      <c r="A8208" t="s">
        <v>10228</v>
      </c>
      <c r="B8208">
        <f t="shared" si="1312"/>
        <v>13</v>
      </c>
    </row>
    <row r="8209" spans="1:2" ht="15" customHeight="1" x14ac:dyDescent="0.3">
      <c r="A8209" t="s">
        <v>10229</v>
      </c>
      <c r="B8209">
        <f t="shared" si="1312"/>
        <v>13</v>
      </c>
    </row>
    <row r="8210" spans="1:2" ht="15" customHeight="1" x14ac:dyDescent="0.3">
      <c r="A8210" t="s">
        <v>10230</v>
      </c>
      <c r="B8210">
        <f t="shared" si="1312"/>
        <v>13</v>
      </c>
    </row>
    <row r="8211" spans="1:2" ht="15" customHeight="1" x14ac:dyDescent="0.3">
      <c r="A8211" t="s">
        <v>10231</v>
      </c>
      <c r="B8211">
        <f t="shared" si="1312"/>
        <v>13</v>
      </c>
    </row>
    <row r="8212" spans="1:2" ht="15" customHeight="1" x14ac:dyDescent="0.3">
      <c r="A8212" t="s">
        <v>10232</v>
      </c>
      <c r="B8212">
        <f t="shared" si="1312"/>
        <v>13</v>
      </c>
    </row>
    <row r="8213" spans="1:2" ht="15" customHeight="1" x14ac:dyDescent="0.3">
      <c r="A8213" t="s">
        <v>10233</v>
      </c>
      <c r="B8213">
        <f t="shared" si="1312"/>
        <v>13</v>
      </c>
    </row>
    <row r="8214" spans="1:2" ht="15" customHeight="1" x14ac:dyDescent="0.3">
      <c r="A8214" t="s">
        <v>10234</v>
      </c>
      <c r="B8214">
        <f t="shared" si="1312"/>
        <v>15</v>
      </c>
    </row>
    <row r="8215" spans="1:2" ht="15" customHeight="1" x14ac:dyDescent="0.3">
      <c r="A8215" t="s">
        <v>10235</v>
      </c>
      <c r="B8215">
        <f t="shared" si="1312"/>
        <v>13</v>
      </c>
    </row>
    <row r="8216" spans="1:2" ht="15" customHeight="1" x14ac:dyDescent="0.3">
      <c r="A8216" t="s">
        <v>10236</v>
      </c>
      <c r="B8216">
        <f t="shared" si="1312"/>
        <v>13</v>
      </c>
    </row>
    <row r="8217" spans="1:2" ht="15" customHeight="1" x14ac:dyDescent="0.3">
      <c r="A8217" t="s">
        <v>10237</v>
      </c>
      <c r="B8217">
        <f t="shared" si="1312"/>
        <v>25</v>
      </c>
    </row>
    <row r="8218" spans="1:2" ht="15" customHeight="1" x14ac:dyDescent="0.3">
      <c r="A8218" t="s">
        <v>10274</v>
      </c>
      <c r="B8218">
        <f t="shared" si="1312"/>
        <v>12</v>
      </c>
    </row>
    <row r="8219" spans="1:2" ht="15" customHeight="1" x14ac:dyDescent="0.3">
      <c r="A8219" t="s">
        <v>10275</v>
      </c>
      <c r="B8219">
        <f t="shared" si="1312"/>
        <v>12</v>
      </c>
    </row>
    <row r="8220" spans="1:2" ht="15" customHeight="1" x14ac:dyDescent="0.3">
      <c r="A8220" t="s">
        <v>10276</v>
      </c>
      <c r="B8220">
        <f t="shared" si="1312"/>
        <v>15</v>
      </c>
    </row>
    <row r="8221" spans="1:2" ht="15" customHeight="1" x14ac:dyDescent="0.3">
      <c r="A8221" t="s">
        <v>10277</v>
      </c>
      <c r="B8221">
        <f t="shared" si="1312"/>
        <v>13</v>
      </c>
    </row>
    <row r="8222" spans="1:2" ht="15" customHeight="1" x14ac:dyDescent="0.3">
      <c r="A8222" t="s">
        <v>10278</v>
      </c>
      <c r="B8222">
        <f t="shared" si="1312"/>
        <v>13</v>
      </c>
    </row>
    <row r="8223" spans="1:2" ht="15" customHeight="1" x14ac:dyDescent="0.3">
      <c r="A8223" t="s">
        <v>10279</v>
      </c>
      <c r="B8223">
        <f t="shared" si="1312"/>
        <v>10</v>
      </c>
    </row>
    <row r="8224" spans="1:2" ht="15" customHeight="1" x14ac:dyDescent="0.3">
      <c r="A8224" t="s">
        <v>10280</v>
      </c>
      <c r="B8224">
        <f t="shared" si="1312"/>
        <v>15</v>
      </c>
    </row>
    <row r="8225" spans="1:2" ht="15" customHeight="1" x14ac:dyDescent="0.3">
      <c r="A8225" t="s">
        <v>10281</v>
      </c>
      <c r="B8225">
        <f t="shared" ref="B8225:B8246" si="1313">B8074</f>
        <v>10</v>
      </c>
    </row>
    <row r="8226" spans="1:2" ht="15" customHeight="1" x14ac:dyDescent="0.3">
      <c r="A8226" t="s">
        <v>10282</v>
      </c>
      <c r="B8226">
        <f t="shared" si="1313"/>
        <v>12</v>
      </c>
    </row>
    <row r="8227" spans="1:2" ht="15" customHeight="1" x14ac:dyDescent="0.3">
      <c r="A8227" t="s">
        <v>10283</v>
      </c>
      <c r="B8227">
        <f t="shared" si="1313"/>
        <v>10</v>
      </c>
    </row>
    <row r="8228" spans="1:2" ht="15" customHeight="1" x14ac:dyDescent="0.3">
      <c r="A8228" t="s">
        <v>10284</v>
      </c>
      <c r="B8228">
        <f t="shared" si="1313"/>
        <v>10</v>
      </c>
    </row>
    <row r="8229" spans="1:2" ht="15" customHeight="1" x14ac:dyDescent="0.3">
      <c r="A8229" t="s">
        <v>10285</v>
      </c>
      <c r="B8229">
        <f t="shared" si="1313"/>
        <v>12</v>
      </c>
    </row>
    <row r="8230" spans="1:2" ht="15" customHeight="1" x14ac:dyDescent="0.3">
      <c r="A8230" t="s">
        <v>10286</v>
      </c>
      <c r="B8230">
        <f t="shared" si="1313"/>
        <v>10</v>
      </c>
    </row>
    <row r="8231" spans="1:2" ht="15" customHeight="1" x14ac:dyDescent="0.3">
      <c r="A8231" t="s">
        <v>10287</v>
      </c>
      <c r="B8231">
        <f t="shared" si="1313"/>
        <v>10</v>
      </c>
    </row>
    <row r="8232" spans="1:2" ht="15" customHeight="1" x14ac:dyDescent="0.3">
      <c r="A8232" t="s">
        <v>10288</v>
      </c>
      <c r="B8232">
        <f t="shared" si="1313"/>
        <v>10</v>
      </c>
    </row>
    <row r="8233" spans="1:2" ht="15" customHeight="1" x14ac:dyDescent="0.3">
      <c r="A8233" t="s">
        <v>10289</v>
      </c>
      <c r="B8233">
        <f t="shared" si="1313"/>
        <v>12</v>
      </c>
    </row>
    <row r="8234" spans="1:2" ht="15" customHeight="1" x14ac:dyDescent="0.3">
      <c r="A8234" t="s">
        <v>10290</v>
      </c>
      <c r="B8234">
        <f t="shared" si="1313"/>
        <v>12</v>
      </c>
    </row>
    <row r="8235" spans="1:2" ht="15" customHeight="1" x14ac:dyDescent="0.3">
      <c r="A8235" t="s">
        <v>10291</v>
      </c>
      <c r="B8235">
        <f t="shared" si="1313"/>
        <v>12</v>
      </c>
    </row>
    <row r="8236" spans="1:2" ht="15" customHeight="1" x14ac:dyDescent="0.3">
      <c r="A8236" t="s">
        <v>10292</v>
      </c>
      <c r="B8236">
        <f t="shared" si="1313"/>
        <v>15</v>
      </c>
    </row>
    <row r="8237" spans="1:2" ht="15" customHeight="1" x14ac:dyDescent="0.3">
      <c r="A8237" t="s">
        <v>10293</v>
      </c>
      <c r="B8237">
        <f t="shared" si="1313"/>
        <v>15</v>
      </c>
    </row>
    <row r="8238" spans="1:2" ht="15" customHeight="1" x14ac:dyDescent="0.3">
      <c r="A8238" t="s">
        <v>10294</v>
      </c>
      <c r="B8238">
        <f t="shared" si="1313"/>
        <v>18</v>
      </c>
    </row>
    <row r="8239" spans="1:2" ht="15" customHeight="1" x14ac:dyDescent="0.3">
      <c r="A8239" t="s">
        <v>10295</v>
      </c>
      <c r="B8239">
        <f t="shared" si="1313"/>
        <v>13</v>
      </c>
    </row>
    <row r="8240" spans="1:2" ht="15" customHeight="1" x14ac:dyDescent="0.3">
      <c r="A8240" t="s">
        <v>10296</v>
      </c>
      <c r="B8240">
        <f t="shared" si="1313"/>
        <v>13</v>
      </c>
    </row>
    <row r="8241" spans="1:2" ht="15" customHeight="1" x14ac:dyDescent="0.3">
      <c r="A8241" t="s">
        <v>10297</v>
      </c>
      <c r="B8241">
        <f t="shared" si="1313"/>
        <v>12</v>
      </c>
    </row>
    <row r="8242" spans="1:2" ht="15" customHeight="1" x14ac:dyDescent="0.3">
      <c r="A8242" t="s">
        <v>10298</v>
      </c>
      <c r="B8242">
        <f t="shared" si="1313"/>
        <v>12</v>
      </c>
    </row>
    <row r="8243" spans="1:2" ht="15" customHeight="1" x14ac:dyDescent="0.3">
      <c r="A8243" t="s">
        <v>10299</v>
      </c>
      <c r="B8243">
        <f t="shared" si="1313"/>
        <v>10</v>
      </c>
    </row>
    <row r="8244" spans="1:2" ht="15" customHeight="1" x14ac:dyDescent="0.3">
      <c r="A8244" t="s">
        <v>10300</v>
      </c>
      <c r="B8244">
        <f t="shared" si="1313"/>
        <v>10</v>
      </c>
    </row>
    <row r="8245" spans="1:2" ht="15" customHeight="1" x14ac:dyDescent="0.3">
      <c r="A8245" t="s">
        <v>10301</v>
      </c>
      <c r="B8245">
        <f t="shared" si="1313"/>
        <v>10</v>
      </c>
    </row>
    <row r="8246" spans="1:2" ht="15" customHeight="1" x14ac:dyDescent="0.3">
      <c r="A8246" t="s">
        <v>10302</v>
      </c>
      <c r="B8246">
        <f t="shared" si="1313"/>
        <v>10</v>
      </c>
    </row>
    <row r="8247" spans="1:2" ht="15" customHeight="1" x14ac:dyDescent="0.3">
      <c r="A8247" t="s">
        <v>9092</v>
      </c>
      <c r="B8247">
        <f>B7756</f>
        <v>15</v>
      </c>
    </row>
    <row r="8248" spans="1:2" ht="15" customHeight="1" x14ac:dyDescent="0.3">
      <c r="A8248" t="s">
        <v>9093</v>
      </c>
      <c r="B8248">
        <f>B7759</f>
        <v>15</v>
      </c>
    </row>
    <row r="8249" spans="1:2" ht="15" customHeight="1" x14ac:dyDescent="0.3">
      <c r="A8249" t="s">
        <v>9094</v>
      </c>
      <c r="B8249">
        <f>B7760</f>
        <v>15</v>
      </c>
    </row>
    <row r="8250" spans="1:2" ht="15" customHeight="1" x14ac:dyDescent="0.3">
      <c r="A8250" t="s">
        <v>9095</v>
      </c>
      <c r="B8250">
        <f>B7762</f>
        <v>15</v>
      </c>
    </row>
    <row r="8251" spans="1:2" ht="15" customHeight="1" x14ac:dyDescent="0.3">
      <c r="A8251" t="s">
        <v>9096</v>
      </c>
      <c r="B8251">
        <f>B7763</f>
        <v>13</v>
      </c>
    </row>
    <row r="8252" spans="1:2" ht="15" customHeight="1" x14ac:dyDescent="0.3">
      <c r="A8252" t="s">
        <v>9097</v>
      </c>
      <c r="B8252">
        <f>B7764</f>
        <v>13</v>
      </c>
    </row>
    <row r="8253" spans="1:2" ht="15" customHeight="1" x14ac:dyDescent="0.3">
      <c r="A8253" t="s">
        <v>9098</v>
      </c>
      <c r="B8253">
        <f>B7766</f>
        <v>18</v>
      </c>
    </row>
    <row r="8254" spans="1:2" ht="15" customHeight="1" x14ac:dyDescent="0.3">
      <c r="A8254" t="s">
        <v>9099</v>
      </c>
      <c r="B8254">
        <f>B7767</f>
        <v>18</v>
      </c>
    </row>
    <row r="8255" spans="1:2" ht="15" customHeight="1" x14ac:dyDescent="0.3">
      <c r="A8255" t="s">
        <v>9100</v>
      </c>
      <c r="B8255">
        <f>B7769</f>
        <v>20</v>
      </c>
    </row>
    <row r="8256" spans="1:2" ht="15" customHeight="1" x14ac:dyDescent="0.3">
      <c r="A8256" t="s">
        <v>9101</v>
      </c>
      <c r="B8256">
        <f>B7770</f>
        <v>20</v>
      </c>
    </row>
    <row r="8257" spans="1:2" ht="15" customHeight="1" x14ac:dyDescent="0.3">
      <c r="A8257" t="s">
        <v>9102</v>
      </c>
      <c r="B8257">
        <f>B7771</f>
        <v>15</v>
      </c>
    </row>
    <row r="8258" spans="1:2" ht="15" customHeight="1" x14ac:dyDescent="0.3">
      <c r="A8258" t="s">
        <v>9103</v>
      </c>
      <c r="B8258">
        <f>B7773</f>
        <v>0</v>
      </c>
    </row>
    <row r="8259" spans="1:2" ht="15" customHeight="1" x14ac:dyDescent="0.3">
      <c r="A8259" t="s">
        <v>9104</v>
      </c>
      <c r="B8259">
        <f>B7774</f>
        <v>0</v>
      </c>
    </row>
    <row r="8260" spans="1:2" ht="15" customHeight="1" x14ac:dyDescent="0.3">
      <c r="A8260" t="s">
        <v>9105</v>
      </c>
      <c r="B8260">
        <f>B7776</f>
        <v>10</v>
      </c>
    </row>
    <row r="8261" spans="1:2" ht="15" customHeight="1" x14ac:dyDescent="0.3">
      <c r="A8261" t="s">
        <v>9106</v>
      </c>
      <c r="B8261">
        <f>B7777</f>
        <v>10</v>
      </c>
    </row>
    <row r="8262" spans="1:2" ht="15" customHeight="1" x14ac:dyDescent="0.3">
      <c r="A8262" t="s">
        <v>9107</v>
      </c>
      <c r="B8262">
        <f>B7778</f>
        <v>10</v>
      </c>
    </row>
    <row r="8263" spans="1:2" ht="15" customHeight="1" x14ac:dyDescent="0.3">
      <c r="A8263" t="s">
        <v>9108</v>
      </c>
      <c r="B8263">
        <f>B7781</f>
        <v>10</v>
      </c>
    </row>
    <row r="8264" spans="1:2" ht="15" customHeight="1" x14ac:dyDescent="0.3">
      <c r="A8264" t="s">
        <v>9109</v>
      </c>
      <c r="B8264">
        <f>B7782</f>
        <v>10</v>
      </c>
    </row>
    <row r="8265" spans="1:2" ht="15" customHeight="1" x14ac:dyDescent="0.3">
      <c r="A8265" t="s">
        <v>9110</v>
      </c>
      <c r="B8265">
        <f t="shared" ref="B8265:B8289" si="1314">B7784</f>
        <v>10</v>
      </c>
    </row>
    <row r="8266" spans="1:2" ht="15" customHeight="1" x14ac:dyDescent="0.3">
      <c r="A8266" t="s">
        <v>9111</v>
      </c>
      <c r="B8266">
        <f t="shared" si="1314"/>
        <v>10</v>
      </c>
    </row>
    <row r="8267" spans="1:2" ht="15" customHeight="1" x14ac:dyDescent="0.3">
      <c r="A8267" t="s">
        <v>9112</v>
      </c>
      <c r="B8267">
        <f t="shared" si="1314"/>
        <v>10</v>
      </c>
    </row>
    <row r="8268" spans="1:2" ht="15" customHeight="1" x14ac:dyDescent="0.3">
      <c r="A8268" t="s">
        <v>9113</v>
      </c>
      <c r="B8268">
        <f t="shared" si="1314"/>
        <v>10</v>
      </c>
    </row>
    <row r="8269" spans="1:2" ht="15" customHeight="1" x14ac:dyDescent="0.3">
      <c r="A8269" t="s">
        <v>9114</v>
      </c>
      <c r="B8269">
        <f t="shared" si="1314"/>
        <v>10</v>
      </c>
    </row>
    <row r="8270" spans="1:2" ht="15" customHeight="1" x14ac:dyDescent="0.3">
      <c r="A8270" t="s">
        <v>9115</v>
      </c>
      <c r="B8270">
        <f t="shared" si="1314"/>
        <v>10</v>
      </c>
    </row>
    <row r="8271" spans="1:2" ht="15" customHeight="1" x14ac:dyDescent="0.3">
      <c r="A8271" t="s">
        <v>9116</v>
      </c>
      <c r="B8271">
        <f t="shared" si="1314"/>
        <v>15</v>
      </c>
    </row>
    <row r="8272" spans="1:2" ht="15" customHeight="1" x14ac:dyDescent="0.3">
      <c r="A8272" t="s">
        <v>9117</v>
      </c>
      <c r="B8272">
        <f t="shared" si="1314"/>
        <v>15</v>
      </c>
    </row>
    <row r="8273" spans="1:2" ht="15" customHeight="1" x14ac:dyDescent="0.3">
      <c r="A8273" t="s">
        <v>9118</v>
      </c>
      <c r="B8273">
        <f t="shared" si="1314"/>
        <v>10</v>
      </c>
    </row>
    <row r="8274" spans="1:2" ht="15" customHeight="1" x14ac:dyDescent="0.3">
      <c r="A8274" t="s">
        <v>9119</v>
      </c>
      <c r="B8274">
        <f t="shared" si="1314"/>
        <v>12</v>
      </c>
    </row>
    <row r="8275" spans="1:2" ht="15" customHeight="1" x14ac:dyDescent="0.3">
      <c r="A8275" t="s">
        <v>9120</v>
      </c>
      <c r="B8275">
        <f t="shared" si="1314"/>
        <v>12</v>
      </c>
    </row>
    <row r="8276" spans="1:2" ht="15" customHeight="1" x14ac:dyDescent="0.3">
      <c r="A8276" t="s">
        <v>9121</v>
      </c>
      <c r="B8276">
        <f t="shared" si="1314"/>
        <v>12</v>
      </c>
    </row>
    <row r="8277" spans="1:2" ht="15" customHeight="1" x14ac:dyDescent="0.3">
      <c r="A8277" t="s">
        <v>9122</v>
      </c>
      <c r="B8277">
        <f t="shared" si="1314"/>
        <v>12</v>
      </c>
    </row>
    <row r="8278" spans="1:2" ht="15" customHeight="1" x14ac:dyDescent="0.3">
      <c r="A8278" t="s">
        <v>9123</v>
      </c>
      <c r="B8278">
        <f t="shared" si="1314"/>
        <v>12</v>
      </c>
    </row>
    <row r="8279" spans="1:2" ht="15" customHeight="1" x14ac:dyDescent="0.3">
      <c r="A8279" t="s">
        <v>9124</v>
      </c>
      <c r="B8279">
        <f t="shared" si="1314"/>
        <v>10</v>
      </c>
    </row>
    <row r="8280" spans="1:2" ht="15" customHeight="1" x14ac:dyDescent="0.3">
      <c r="A8280" t="s">
        <v>9125</v>
      </c>
      <c r="B8280">
        <f t="shared" si="1314"/>
        <v>13</v>
      </c>
    </row>
    <row r="8281" spans="1:2" ht="15" customHeight="1" x14ac:dyDescent="0.3">
      <c r="A8281" t="s">
        <v>9126</v>
      </c>
      <c r="B8281">
        <f t="shared" si="1314"/>
        <v>10</v>
      </c>
    </row>
    <row r="8282" spans="1:2" ht="15" customHeight="1" x14ac:dyDescent="0.3">
      <c r="A8282" t="s">
        <v>9127</v>
      </c>
      <c r="B8282">
        <f t="shared" si="1314"/>
        <v>13</v>
      </c>
    </row>
    <row r="8283" spans="1:2" ht="15" customHeight="1" x14ac:dyDescent="0.3">
      <c r="A8283" t="s">
        <v>9128</v>
      </c>
      <c r="B8283">
        <f t="shared" si="1314"/>
        <v>12</v>
      </c>
    </row>
    <row r="8284" spans="1:2" ht="15" customHeight="1" x14ac:dyDescent="0.3">
      <c r="A8284" t="s">
        <v>9129</v>
      </c>
      <c r="B8284">
        <f t="shared" si="1314"/>
        <v>12</v>
      </c>
    </row>
    <row r="8285" spans="1:2" ht="15" customHeight="1" x14ac:dyDescent="0.3">
      <c r="A8285" t="s">
        <v>9130</v>
      </c>
      <c r="B8285">
        <f t="shared" si="1314"/>
        <v>13</v>
      </c>
    </row>
    <row r="8286" spans="1:2" ht="15" customHeight="1" x14ac:dyDescent="0.3">
      <c r="A8286" t="s">
        <v>9131</v>
      </c>
      <c r="B8286">
        <f t="shared" si="1314"/>
        <v>12</v>
      </c>
    </row>
    <row r="8287" spans="1:2" ht="15" customHeight="1" x14ac:dyDescent="0.3">
      <c r="A8287" t="s">
        <v>9132</v>
      </c>
      <c r="B8287">
        <f t="shared" si="1314"/>
        <v>13</v>
      </c>
    </row>
    <row r="8288" spans="1:2" ht="15" customHeight="1" x14ac:dyDescent="0.3">
      <c r="A8288" t="s">
        <v>9133</v>
      </c>
      <c r="B8288">
        <f t="shared" si="1314"/>
        <v>12</v>
      </c>
    </row>
    <row r="8289" spans="1:2" ht="15" customHeight="1" x14ac:dyDescent="0.3">
      <c r="A8289" t="s">
        <v>9134</v>
      </c>
      <c r="B8289">
        <f t="shared" si="1314"/>
        <v>12</v>
      </c>
    </row>
    <row r="8290" spans="1:2" ht="15" customHeight="1" x14ac:dyDescent="0.3">
      <c r="A8290" t="s">
        <v>9135</v>
      </c>
      <c r="B8290">
        <f>B7812</f>
        <v>12</v>
      </c>
    </row>
    <row r="8291" spans="1:2" ht="15" customHeight="1" x14ac:dyDescent="0.3">
      <c r="A8291" t="s">
        <v>9136</v>
      </c>
      <c r="B8291">
        <f>B7813</f>
        <v>12</v>
      </c>
    </row>
    <row r="8292" spans="1:2" ht="15" customHeight="1" x14ac:dyDescent="0.3">
      <c r="A8292" t="s">
        <v>9137</v>
      </c>
      <c r="B8292">
        <f>B7814</f>
        <v>12</v>
      </c>
    </row>
    <row r="8293" spans="1:2" ht="15" customHeight="1" x14ac:dyDescent="0.3">
      <c r="A8293" t="s">
        <v>9138</v>
      </c>
      <c r="B8293">
        <f>B7815</f>
        <v>10</v>
      </c>
    </row>
    <row r="8294" spans="1:2" ht="15" customHeight="1" x14ac:dyDescent="0.3">
      <c r="A8294" t="s">
        <v>9139</v>
      </c>
      <c r="B8294">
        <f t="shared" ref="B8294:B8312" si="1315">B7819</f>
        <v>12</v>
      </c>
    </row>
    <row r="8295" spans="1:2" ht="15" customHeight="1" x14ac:dyDescent="0.3">
      <c r="A8295" t="s">
        <v>9140</v>
      </c>
      <c r="B8295">
        <f t="shared" si="1315"/>
        <v>10</v>
      </c>
    </row>
    <row r="8296" spans="1:2" ht="15" customHeight="1" x14ac:dyDescent="0.3">
      <c r="A8296" t="s">
        <v>9141</v>
      </c>
      <c r="B8296">
        <f t="shared" si="1315"/>
        <v>12</v>
      </c>
    </row>
    <row r="8297" spans="1:2" ht="15" customHeight="1" x14ac:dyDescent="0.3">
      <c r="A8297" t="s">
        <v>9142</v>
      </c>
      <c r="B8297" t="e">
        <f t="shared" si="1315"/>
        <v>#REF!</v>
      </c>
    </row>
    <row r="8298" spans="1:2" ht="15" customHeight="1" x14ac:dyDescent="0.3">
      <c r="A8298" t="s">
        <v>9143</v>
      </c>
      <c r="B8298" t="e">
        <f t="shared" si="1315"/>
        <v>#REF!</v>
      </c>
    </row>
    <row r="8299" spans="1:2" ht="15" customHeight="1" x14ac:dyDescent="0.3">
      <c r="A8299" t="s">
        <v>9144</v>
      </c>
      <c r="B8299">
        <f t="shared" si="1315"/>
        <v>10</v>
      </c>
    </row>
    <row r="8300" spans="1:2" ht="15" customHeight="1" x14ac:dyDescent="0.3">
      <c r="A8300" t="s">
        <v>9145</v>
      </c>
      <c r="B8300">
        <f t="shared" si="1315"/>
        <v>10</v>
      </c>
    </row>
    <row r="8301" spans="1:2" ht="15" customHeight="1" x14ac:dyDescent="0.3">
      <c r="A8301" t="s">
        <v>9146</v>
      </c>
      <c r="B8301">
        <f t="shared" si="1315"/>
        <v>10</v>
      </c>
    </row>
    <row r="8302" spans="1:2" ht="15" customHeight="1" x14ac:dyDescent="0.3">
      <c r="A8302" t="s">
        <v>9147</v>
      </c>
      <c r="B8302">
        <f t="shared" si="1315"/>
        <v>15</v>
      </c>
    </row>
    <row r="8303" spans="1:2" ht="15" customHeight="1" x14ac:dyDescent="0.3">
      <c r="A8303" t="s">
        <v>9148</v>
      </c>
      <c r="B8303">
        <f t="shared" si="1315"/>
        <v>12</v>
      </c>
    </row>
    <row r="8304" spans="1:2" ht="15" customHeight="1" x14ac:dyDescent="0.3">
      <c r="A8304" t="s">
        <v>9149</v>
      </c>
      <c r="B8304">
        <f t="shared" si="1315"/>
        <v>12</v>
      </c>
    </row>
    <row r="8305" spans="1:2" ht="15" customHeight="1" x14ac:dyDescent="0.3">
      <c r="A8305" t="s">
        <v>9150</v>
      </c>
      <c r="B8305">
        <f t="shared" si="1315"/>
        <v>10</v>
      </c>
    </row>
    <row r="8306" spans="1:2" ht="15" customHeight="1" x14ac:dyDescent="0.3">
      <c r="A8306" t="s">
        <v>9151</v>
      </c>
      <c r="B8306">
        <f t="shared" si="1315"/>
        <v>10</v>
      </c>
    </row>
    <row r="8307" spans="1:2" ht="15" customHeight="1" x14ac:dyDescent="0.3">
      <c r="A8307" t="s">
        <v>9152</v>
      </c>
      <c r="B8307">
        <f t="shared" si="1315"/>
        <v>12</v>
      </c>
    </row>
    <row r="8308" spans="1:2" ht="15" customHeight="1" x14ac:dyDescent="0.3">
      <c r="A8308" t="s">
        <v>9153</v>
      </c>
      <c r="B8308">
        <f t="shared" si="1315"/>
        <v>15</v>
      </c>
    </row>
    <row r="8309" spans="1:2" ht="15" customHeight="1" x14ac:dyDescent="0.3">
      <c r="A8309" t="s">
        <v>9154</v>
      </c>
      <c r="B8309">
        <f t="shared" si="1315"/>
        <v>13</v>
      </c>
    </row>
    <row r="8310" spans="1:2" ht="15" customHeight="1" x14ac:dyDescent="0.3">
      <c r="A8310" t="s">
        <v>9155</v>
      </c>
      <c r="B8310">
        <f t="shared" si="1315"/>
        <v>10</v>
      </c>
    </row>
    <row r="8311" spans="1:2" ht="15" customHeight="1" x14ac:dyDescent="0.3">
      <c r="A8311" t="s">
        <v>9156</v>
      </c>
      <c r="B8311">
        <f t="shared" si="1315"/>
        <v>15</v>
      </c>
    </row>
    <row r="8312" spans="1:2" ht="15" customHeight="1" x14ac:dyDescent="0.3">
      <c r="A8312" t="s">
        <v>9157</v>
      </c>
      <c r="B8312">
        <f t="shared" si="1315"/>
        <v>15</v>
      </c>
    </row>
    <row r="8313" spans="1:2" ht="15" customHeight="1" x14ac:dyDescent="0.3">
      <c r="A8313" t="s">
        <v>9158</v>
      </c>
      <c r="B8313">
        <f t="shared" ref="B8313:B8344" si="1316">B7849</f>
        <v>13</v>
      </c>
    </row>
    <row r="8314" spans="1:2" ht="15" customHeight="1" x14ac:dyDescent="0.3">
      <c r="A8314" t="s">
        <v>9159</v>
      </c>
      <c r="B8314">
        <f t="shared" si="1316"/>
        <v>10</v>
      </c>
    </row>
    <row r="8315" spans="1:2" ht="15" customHeight="1" x14ac:dyDescent="0.3">
      <c r="A8315" t="s">
        <v>9160</v>
      </c>
      <c r="B8315">
        <f t="shared" si="1316"/>
        <v>12</v>
      </c>
    </row>
    <row r="8316" spans="1:2" ht="15" customHeight="1" x14ac:dyDescent="0.3">
      <c r="A8316" t="s">
        <v>9161</v>
      </c>
      <c r="B8316">
        <f t="shared" si="1316"/>
        <v>12</v>
      </c>
    </row>
    <row r="8317" spans="1:2" ht="15" customHeight="1" x14ac:dyDescent="0.3">
      <c r="A8317" t="s">
        <v>9162</v>
      </c>
      <c r="B8317">
        <f t="shared" si="1316"/>
        <v>12</v>
      </c>
    </row>
    <row r="8318" spans="1:2" ht="15" customHeight="1" x14ac:dyDescent="0.3">
      <c r="A8318" t="s">
        <v>9163</v>
      </c>
      <c r="B8318">
        <f t="shared" si="1316"/>
        <v>12</v>
      </c>
    </row>
    <row r="8319" spans="1:2" ht="15" customHeight="1" x14ac:dyDescent="0.3">
      <c r="A8319" t="s">
        <v>9164</v>
      </c>
      <c r="B8319">
        <f t="shared" si="1316"/>
        <v>12</v>
      </c>
    </row>
    <row r="8320" spans="1:2" ht="15" customHeight="1" x14ac:dyDescent="0.3">
      <c r="A8320" t="s">
        <v>9165</v>
      </c>
      <c r="B8320">
        <f t="shared" si="1316"/>
        <v>10</v>
      </c>
    </row>
    <row r="8321" spans="1:2" ht="15" customHeight="1" x14ac:dyDescent="0.3">
      <c r="A8321" t="s">
        <v>9166</v>
      </c>
      <c r="B8321">
        <f t="shared" si="1316"/>
        <v>10</v>
      </c>
    </row>
    <row r="8322" spans="1:2" ht="15" customHeight="1" x14ac:dyDescent="0.3">
      <c r="A8322" t="s">
        <v>9167</v>
      </c>
      <c r="B8322">
        <f t="shared" si="1316"/>
        <v>10</v>
      </c>
    </row>
    <row r="8323" spans="1:2" ht="15" customHeight="1" x14ac:dyDescent="0.3">
      <c r="A8323" t="s">
        <v>9168</v>
      </c>
      <c r="B8323">
        <f t="shared" si="1316"/>
        <v>13</v>
      </c>
    </row>
    <row r="8324" spans="1:2" ht="15" customHeight="1" x14ac:dyDescent="0.3">
      <c r="A8324" t="s">
        <v>9169</v>
      </c>
      <c r="B8324">
        <f t="shared" si="1316"/>
        <v>10</v>
      </c>
    </row>
    <row r="8325" spans="1:2" ht="15" customHeight="1" x14ac:dyDescent="0.3">
      <c r="A8325" t="s">
        <v>9170</v>
      </c>
      <c r="B8325">
        <f t="shared" si="1316"/>
        <v>12</v>
      </c>
    </row>
    <row r="8326" spans="1:2" ht="15" customHeight="1" x14ac:dyDescent="0.3">
      <c r="A8326" t="s">
        <v>9171</v>
      </c>
      <c r="B8326">
        <f t="shared" si="1316"/>
        <v>12</v>
      </c>
    </row>
    <row r="8327" spans="1:2" ht="15" customHeight="1" x14ac:dyDescent="0.3">
      <c r="A8327" t="s">
        <v>9172</v>
      </c>
      <c r="B8327">
        <f t="shared" si="1316"/>
        <v>12</v>
      </c>
    </row>
    <row r="8328" spans="1:2" ht="15" customHeight="1" x14ac:dyDescent="0.3">
      <c r="A8328" t="s">
        <v>9173</v>
      </c>
      <c r="B8328">
        <f t="shared" si="1316"/>
        <v>12</v>
      </c>
    </row>
    <row r="8329" spans="1:2" ht="15" customHeight="1" x14ac:dyDescent="0.3">
      <c r="A8329" t="s">
        <v>9174</v>
      </c>
      <c r="B8329">
        <f t="shared" si="1316"/>
        <v>12</v>
      </c>
    </row>
    <row r="8330" spans="1:2" ht="15" customHeight="1" x14ac:dyDescent="0.3">
      <c r="A8330" t="s">
        <v>9175</v>
      </c>
      <c r="B8330">
        <f t="shared" si="1316"/>
        <v>12</v>
      </c>
    </row>
    <row r="8331" spans="1:2" ht="15" customHeight="1" x14ac:dyDescent="0.3">
      <c r="A8331" t="s">
        <v>9176</v>
      </c>
      <c r="B8331">
        <f t="shared" si="1316"/>
        <v>12</v>
      </c>
    </row>
    <row r="8332" spans="1:2" ht="15" customHeight="1" x14ac:dyDescent="0.3">
      <c r="A8332" t="s">
        <v>9177</v>
      </c>
      <c r="B8332">
        <f t="shared" si="1316"/>
        <v>15</v>
      </c>
    </row>
    <row r="8333" spans="1:2" ht="15" customHeight="1" x14ac:dyDescent="0.3">
      <c r="A8333" t="s">
        <v>9178</v>
      </c>
      <c r="B8333">
        <f t="shared" si="1316"/>
        <v>15</v>
      </c>
    </row>
    <row r="8334" spans="1:2" ht="15" customHeight="1" x14ac:dyDescent="0.3">
      <c r="A8334" t="s">
        <v>9179</v>
      </c>
      <c r="B8334">
        <f t="shared" si="1316"/>
        <v>13</v>
      </c>
    </row>
    <row r="8335" spans="1:2" ht="15" customHeight="1" x14ac:dyDescent="0.3">
      <c r="A8335" t="s">
        <v>9180</v>
      </c>
      <c r="B8335">
        <f t="shared" si="1316"/>
        <v>10</v>
      </c>
    </row>
    <row r="8336" spans="1:2" ht="15" customHeight="1" x14ac:dyDescent="0.3">
      <c r="A8336" t="s">
        <v>9181</v>
      </c>
      <c r="B8336">
        <f t="shared" si="1316"/>
        <v>20</v>
      </c>
    </row>
    <row r="8337" spans="1:2" ht="15" customHeight="1" x14ac:dyDescent="0.3">
      <c r="A8337" t="s">
        <v>9182</v>
      </c>
      <c r="B8337">
        <f t="shared" si="1316"/>
        <v>20</v>
      </c>
    </row>
    <row r="8338" spans="1:2" ht="15" customHeight="1" x14ac:dyDescent="0.3">
      <c r="A8338" t="s">
        <v>9183</v>
      </c>
      <c r="B8338">
        <f t="shared" si="1316"/>
        <v>10</v>
      </c>
    </row>
    <row r="8339" spans="1:2" ht="15" customHeight="1" x14ac:dyDescent="0.3">
      <c r="A8339" t="s">
        <v>9184</v>
      </c>
      <c r="B8339">
        <f t="shared" si="1316"/>
        <v>10</v>
      </c>
    </row>
    <row r="8340" spans="1:2" ht="15" customHeight="1" x14ac:dyDescent="0.3">
      <c r="A8340" t="s">
        <v>9185</v>
      </c>
      <c r="B8340">
        <f t="shared" si="1316"/>
        <v>15</v>
      </c>
    </row>
    <row r="8341" spans="1:2" ht="15" customHeight="1" x14ac:dyDescent="0.3">
      <c r="A8341" t="s">
        <v>9186</v>
      </c>
      <c r="B8341">
        <f t="shared" si="1316"/>
        <v>12</v>
      </c>
    </row>
    <row r="8342" spans="1:2" ht="15" customHeight="1" x14ac:dyDescent="0.3">
      <c r="A8342" t="s">
        <v>9187</v>
      </c>
      <c r="B8342">
        <f t="shared" si="1316"/>
        <v>10</v>
      </c>
    </row>
    <row r="8343" spans="1:2" ht="15" customHeight="1" x14ac:dyDescent="0.3">
      <c r="A8343" t="s">
        <v>9188</v>
      </c>
      <c r="B8343">
        <f t="shared" si="1316"/>
        <v>10</v>
      </c>
    </row>
    <row r="8344" spans="1:2" ht="15" customHeight="1" x14ac:dyDescent="0.3">
      <c r="A8344" t="s">
        <v>9189</v>
      </c>
      <c r="B8344">
        <f t="shared" si="1316"/>
        <v>12</v>
      </c>
    </row>
    <row r="8345" spans="1:2" ht="15" customHeight="1" x14ac:dyDescent="0.3">
      <c r="A8345" t="s">
        <v>9190</v>
      </c>
      <c r="B8345">
        <f t="shared" ref="B8345:B8370" si="1317">B7881</f>
        <v>15</v>
      </c>
    </row>
    <row r="8346" spans="1:2" ht="15" customHeight="1" x14ac:dyDescent="0.3">
      <c r="A8346" t="s">
        <v>9191</v>
      </c>
      <c r="B8346">
        <f t="shared" si="1317"/>
        <v>13</v>
      </c>
    </row>
    <row r="8347" spans="1:2" ht="15" customHeight="1" x14ac:dyDescent="0.3">
      <c r="A8347" t="s">
        <v>9192</v>
      </c>
      <c r="B8347">
        <f t="shared" si="1317"/>
        <v>10</v>
      </c>
    </row>
    <row r="8348" spans="1:2" ht="15" customHeight="1" x14ac:dyDescent="0.3">
      <c r="A8348" t="s">
        <v>9193</v>
      </c>
      <c r="B8348">
        <f t="shared" si="1317"/>
        <v>13</v>
      </c>
    </row>
    <row r="8349" spans="1:2" ht="15" customHeight="1" x14ac:dyDescent="0.3">
      <c r="A8349" t="s">
        <v>9194</v>
      </c>
      <c r="B8349">
        <f t="shared" si="1317"/>
        <v>13</v>
      </c>
    </row>
    <row r="8350" spans="1:2" ht="15" customHeight="1" x14ac:dyDescent="0.3">
      <c r="A8350" t="s">
        <v>9195</v>
      </c>
      <c r="B8350">
        <f t="shared" si="1317"/>
        <v>13</v>
      </c>
    </row>
    <row r="8351" spans="1:2" ht="15" customHeight="1" x14ac:dyDescent="0.3">
      <c r="A8351" t="s">
        <v>9196</v>
      </c>
      <c r="B8351">
        <f t="shared" si="1317"/>
        <v>10</v>
      </c>
    </row>
    <row r="8352" spans="1:2" ht="15" customHeight="1" x14ac:dyDescent="0.3">
      <c r="A8352" t="s">
        <v>9197</v>
      </c>
      <c r="B8352">
        <f t="shared" si="1317"/>
        <v>10</v>
      </c>
    </row>
    <row r="8353" spans="1:2" ht="15" customHeight="1" x14ac:dyDescent="0.3">
      <c r="A8353" t="s">
        <v>9198</v>
      </c>
      <c r="B8353">
        <f t="shared" si="1317"/>
        <v>10</v>
      </c>
    </row>
    <row r="8354" spans="1:2" ht="15" customHeight="1" x14ac:dyDescent="0.3">
      <c r="A8354" t="s">
        <v>9199</v>
      </c>
      <c r="B8354">
        <f t="shared" si="1317"/>
        <v>13</v>
      </c>
    </row>
    <row r="8355" spans="1:2" ht="15" customHeight="1" x14ac:dyDescent="0.3">
      <c r="A8355" t="s">
        <v>9200</v>
      </c>
      <c r="B8355">
        <f t="shared" si="1317"/>
        <v>13</v>
      </c>
    </row>
    <row r="8356" spans="1:2" ht="15" customHeight="1" x14ac:dyDescent="0.3">
      <c r="A8356" t="s">
        <v>9201</v>
      </c>
      <c r="B8356">
        <f t="shared" si="1317"/>
        <v>12</v>
      </c>
    </row>
    <row r="8357" spans="1:2" ht="15" customHeight="1" x14ac:dyDescent="0.3">
      <c r="A8357" t="s">
        <v>9202</v>
      </c>
      <c r="B8357">
        <f t="shared" si="1317"/>
        <v>18</v>
      </c>
    </row>
    <row r="8358" spans="1:2" ht="15" customHeight="1" x14ac:dyDescent="0.3">
      <c r="A8358" t="s">
        <v>9203</v>
      </c>
      <c r="B8358">
        <f t="shared" si="1317"/>
        <v>18</v>
      </c>
    </row>
    <row r="8359" spans="1:2" ht="15" customHeight="1" x14ac:dyDescent="0.3">
      <c r="A8359" t="s">
        <v>9204</v>
      </c>
      <c r="B8359">
        <f t="shared" si="1317"/>
        <v>18</v>
      </c>
    </row>
    <row r="8360" spans="1:2" ht="15" customHeight="1" x14ac:dyDescent="0.3">
      <c r="A8360" t="s">
        <v>9205</v>
      </c>
      <c r="B8360">
        <f t="shared" si="1317"/>
        <v>13</v>
      </c>
    </row>
    <row r="8361" spans="1:2" ht="15" customHeight="1" x14ac:dyDescent="0.3">
      <c r="A8361" t="s">
        <v>9206</v>
      </c>
      <c r="B8361">
        <f t="shared" si="1317"/>
        <v>13</v>
      </c>
    </row>
    <row r="8362" spans="1:2" ht="15" customHeight="1" x14ac:dyDescent="0.3">
      <c r="A8362" t="s">
        <v>9207</v>
      </c>
      <c r="B8362">
        <f t="shared" si="1317"/>
        <v>13</v>
      </c>
    </row>
    <row r="8363" spans="1:2" ht="15" customHeight="1" x14ac:dyDescent="0.3">
      <c r="A8363" t="s">
        <v>9208</v>
      </c>
      <c r="B8363">
        <f t="shared" si="1317"/>
        <v>13</v>
      </c>
    </row>
    <row r="8364" spans="1:2" ht="15" customHeight="1" x14ac:dyDescent="0.3">
      <c r="A8364" t="s">
        <v>9209</v>
      </c>
      <c r="B8364">
        <f t="shared" si="1317"/>
        <v>13</v>
      </c>
    </row>
    <row r="8365" spans="1:2" ht="15" customHeight="1" x14ac:dyDescent="0.3">
      <c r="A8365" t="s">
        <v>9210</v>
      </c>
      <c r="B8365">
        <f t="shared" si="1317"/>
        <v>13</v>
      </c>
    </row>
    <row r="8366" spans="1:2" ht="15" customHeight="1" x14ac:dyDescent="0.3">
      <c r="A8366" t="s">
        <v>9211</v>
      </c>
      <c r="B8366">
        <f t="shared" si="1317"/>
        <v>15</v>
      </c>
    </row>
    <row r="8367" spans="1:2" ht="15" customHeight="1" x14ac:dyDescent="0.3">
      <c r="A8367" t="s">
        <v>9212</v>
      </c>
      <c r="B8367">
        <f t="shared" si="1317"/>
        <v>13</v>
      </c>
    </row>
    <row r="8368" spans="1:2" ht="15" customHeight="1" x14ac:dyDescent="0.3">
      <c r="A8368" t="s">
        <v>9213</v>
      </c>
      <c r="B8368">
        <f t="shared" si="1317"/>
        <v>13</v>
      </c>
    </row>
    <row r="8369" spans="1:2" ht="15" customHeight="1" x14ac:dyDescent="0.3">
      <c r="A8369" t="s">
        <v>9214</v>
      </c>
      <c r="B8369">
        <f t="shared" si="1317"/>
        <v>25</v>
      </c>
    </row>
    <row r="8370" spans="1:2" ht="15" customHeight="1" x14ac:dyDescent="0.3">
      <c r="A8370" t="s">
        <v>9215</v>
      </c>
      <c r="B8370">
        <f t="shared" si="1317"/>
        <v>12</v>
      </c>
    </row>
    <row r="8371" spans="1:2" ht="15" customHeight="1" x14ac:dyDescent="0.3">
      <c r="A8371" t="s">
        <v>9216</v>
      </c>
      <c r="B8371">
        <f t="shared" ref="B8371:B8398" si="1318">B7913</f>
        <v>12</v>
      </c>
    </row>
    <row r="8372" spans="1:2" ht="15" customHeight="1" x14ac:dyDescent="0.3">
      <c r="A8372" t="s">
        <v>9217</v>
      </c>
      <c r="B8372">
        <f t="shared" si="1318"/>
        <v>15</v>
      </c>
    </row>
    <row r="8373" spans="1:2" ht="15" customHeight="1" x14ac:dyDescent="0.3">
      <c r="A8373" t="s">
        <v>9218</v>
      </c>
      <c r="B8373">
        <f t="shared" si="1318"/>
        <v>13</v>
      </c>
    </row>
    <row r="8374" spans="1:2" ht="15" customHeight="1" x14ac:dyDescent="0.3">
      <c r="A8374" t="s">
        <v>9219</v>
      </c>
      <c r="B8374">
        <f t="shared" si="1318"/>
        <v>13</v>
      </c>
    </row>
    <row r="8375" spans="1:2" ht="15" customHeight="1" x14ac:dyDescent="0.3">
      <c r="A8375" t="s">
        <v>9220</v>
      </c>
      <c r="B8375">
        <f t="shared" si="1318"/>
        <v>10</v>
      </c>
    </row>
    <row r="8376" spans="1:2" ht="15" customHeight="1" x14ac:dyDescent="0.3">
      <c r="A8376" t="s">
        <v>9221</v>
      </c>
      <c r="B8376">
        <f t="shared" si="1318"/>
        <v>15</v>
      </c>
    </row>
    <row r="8377" spans="1:2" ht="15" customHeight="1" x14ac:dyDescent="0.3">
      <c r="A8377" t="s">
        <v>9222</v>
      </c>
      <c r="B8377">
        <f t="shared" si="1318"/>
        <v>10</v>
      </c>
    </row>
    <row r="8378" spans="1:2" ht="15" customHeight="1" x14ac:dyDescent="0.3">
      <c r="A8378" t="s">
        <v>9223</v>
      </c>
      <c r="B8378">
        <f t="shared" si="1318"/>
        <v>12</v>
      </c>
    </row>
    <row r="8379" spans="1:2" ht="15" customHeight="1" x14ac:dyDescent="0.3">
      <c r="A8379" t="s">
        <v>9224</v>
      </c>
      <c r="B8379">
        <f t="shared" si="1318"/>
        <v>10</v>
      </c>
    </row>
    <row r="8380" spans="1:2" ht="15" customHeight="1" x14ac:dyDescent="0.3">
      <c r="A8380" t="s">
        <v>9225</v>
      </c>
      <c r="B8380">
        <f t="shared" si="1318"/>
        <v>10</v>
      </c>
    </row>
    <row r="8381" spans="1:2" ht="15" customHeight="1" x14ac:dyDescent="0.3">
      <c r="A8381" t="s">
        <v>9226</v>
      </c>
      <c r="B8381">
        <f t="shared" si="1318"/>
        <v>12</v>
      </c>
    </row>
    <row r="8382" spans="1:2" ht="15" customHeight="1" x14ac:dyDescent="0.3">
      <c r="A8382" t="s">
        <v>9227</v>
      </c>
      <c r="B8382">
        <f t="shared" si="1318"/>
        <v>10</v>
      </c>
    </row>
    <row r="8383" spans="1:2" ht="15" customHeight="1" x14ac:dyDescent="0.3">
      <c r="A8383" t="s">
        <v>9228</v>
      </c>
      <c r="B8383">
        <f t="shared" si="1318"/>
        <v>10</v>
      </c>
    </row>
    <row r="8384" spans="1:2" ht="15" customHeight="1" x14ac:dyDescent="0.3">
      <c r="A8384" t="s">
        <v>9229</v>
      </c>
      <c r="B8384">
        <f t="shared" si="1318"/>
        <v>10</v>
      </c>
    </row>
    <row r="8385" spans="1:2" ht="15" customHeight="1" x14ac:dyDescent="0.3">
      <c r="A8385" t="s">
        <v>9230</v>
      </c>
      <c r="B8385">
        <f t="shared" si="1318"/>
        <v>12</v>
      </c>
    </row>
    <row r="8386" spans="1:2" ht="15" customHeight="1" x14ac:dyDescent="0.3">
      <c r="A8386" t="s">
        <v>9231</v>
      </c>
      <c r="B8386">
        <f t="shared" si="1318"/>
        <v>12</v>
      </c>
    </row>
    <row r="8387" spans="1:2" ht="15" customHeight="1" x14ac:dyDescent="0.3">
      <c r="A8387" t="s">
        <v>9232</v>
      </c>
      <c r="B8387">
        <f t="shared" si="1318"/>
        <v>12</v>
      </c>
    </row>
    <row r="8388" spans="1:2" ht="15" customHeight="1" x14ac:dyDescent="0.3">
      <c r="A8388" t="s">
        <v>9233</v>
      </c>
      <c r="B8388">
        <f t="shared" si="1318"/>
        <v>15</v>
      </c>
    </row>
    <row r="8389" spans="1:2" ht="15" customHeight="1" x14ac:dyDescent="0.3">
      <c r="A8389" t="s">
        <v>9234</v>
      </c>
      <c r="B8389">
        <f t="shared" si="1318"/>
        <v>15</v>
      </c>
    </row>
    <row r="8390" spans="1:2" ht="15" customHeight="1" x14ac:dyDescent="0.3">
      <c r="A8390" t="s">
        <v>9235</v>
      </c>
      <c r="B8390">
        <f t="shared" si="1318"/>
        <v>18</v>
      </c>
    </row>
    <row r="8391" spans="1:2" ht="15" customHeight="1" x14ac:dyDescent="0.3">
      <c r="A8391" t="s">
        <v>9236</v>
      </c>
      <c r="B8391">
        <f t="shared" si="1318"/>
        <v>13</v>
      </c>
    </row>
    <row r="8392" spans="1:2" ht="15" customHeight="1" x14ac:dyDescent="0.3">
      <c r="A8392" t="s">
        <v>9237</v>
      </c>
      <c r="B8392">
        <f t="shared" si="1318"/>
        <v>13</v>
      </c>
    </row>
    <row r="8393" spans="1:2" ht="15" customHeight="1" x14ac:dyDescent="0.3">
      <c r="A8393" t="s">
        <v>9238</v>
      </c>
      <c r="B8393">
        <f t="shared" si="1318"/>
        <v>12</v>
      </c>
    </row>
    <row r="8394" spans="1:2" ht="15" customHeight="1" x14ac:dyDescent="0.3">
      <c r="A8394" t="s">
        <v>9239</v>
      </c>
      <c r="B8394">
        <f t="shared" si="1318"/>
        <v>12</v>
      </c>
    </row>
    <row r="8395" spans="1:2" ht="15" customHeight="1" x14ac:dyDescent="0.3">
      <c r="A8395" t="s">
        <v>9240</v>
      </c>
      <c r="B8395">
        <f t="shared" si="1318"/>
        <v>10</v>
      </c>
    </row>
    <row r="8396" spans="1:2" ht="15" customHeight="1" x14ac:dyDescent="0.3">
      <c r="A8396" t="s">
        <v>9241</v>
      </c>
      <c r="B8396">
        <f t="shared" si="1318"/>
        <v>10</v>
      </c>
    </row>
    <row r="8397" spans="1:2" ht="15" customHeight="1" x14ac:dyDescent="0.3">
      <c r="A8397" t="s">
        <v>9242</v>
      </c>
      <c r="B8397">
        <f t="shared" si="1318"/>
        <v>10</v>
      </c>
    </row>
    <row r="8398" spans="1:2" ht="15" customHeight="1" x14ac:dyDescent="0.3">
      <c r="A8398" t="s">
        <v>9243</v>
      </c>
      <c r="B8398">
        <f t="shared" si="1318"/>
        <v>10</v>
      </c>
    </row>
    <row r="8399" spans="1:2" ht="15" customHeight="1" x14ac:dyDescent="0.3">
      <c r="A8399" t="s">
        <v>7865</v>
      </c>
      <c r="B8399">
        <f>F2068</f>
        <v>25</v>
      </c>
    </row>
    <row r="8400" spans="1:2" ht="15" customHeight="1" x14ac:dyDescent="0.3">
      <c r="A8400" t="s">
        <v>9517</v>
      </c>
      <c r="B8400">
        <f>B8401</f>
        <v>25</v>
      </c>
    </row>
    <row r="8401" spans="1:2" ht="15" customHeight="1" x14ac:dyDescent="0.3">
      <c r="A8401" t="s">
        <v>5476</v>
      </c>
      <c r="B8401">
        <f>B8399</f>
        <v>25</v>
      </c>
    </row>
    <row r="8402" spans="1:2" ht="15" customHeight="1" x14ac:dyDescent="0.3">
      <c r="A8402" t="s">
        <v>7866</v>
      </c>
      <c r="B8402">
        <f>F2069</f>
        <v>25</v>
      </c>
    </row>
    <row r="8403" spans="1:2" ht="15" customHeight="1" x14ac:dyDescent="0.3">
      <c r="A8403" t="s">
        <v>9518</v>
      </c>
      <c r="B8403">
        <f>B8404</f>
        <v>25</v>
      </c>
    </row>
    <row r="8404" spans="1:2" ht="15" customHeight="1" x14ac:dyDescent="0.3">
      <c r="A8404" t="s">
        <v>6008</v>
      </c>
      <c r="B8404">
        <f>B8402</f>
        <v>25</v>
      </c>
    </row>
    <row r="8405" spans="1:2" ht="15" customHeight="1" x14ac:dyDescent="0.3">
      <c r="A8405" t="s">
        <v>7867</v>
      </c>
      <c r="B8405">
        <f>F2070</f>
        <v>25</v>
      </c>
    </row>
    <row r="8406" spans="1:2" ht="15" customHeight="1" x14ac:dyDescent="0.3">
      <c r="A8406" t="s">
        <v>9519</v>
      </c>
      <c r="B8406">
        <f>B8407</f>
        <v>25</v>
      </c>
    </row>
    <row r="8407" spans="1:2" ht="15" customHeight="1" x14ac:dyDescent="0.3">
      <c r="A8407" t="s">
        <v>5885</v>
      </c>
      <c r="B8407">
        <f>B8405</f>
        <v>25</v>
      </c>
    </row>
    <row r="8408" spans="1:2" ht="15" customHeight="1" x14ac:dyDescent="0.3">
      <c r="A8408" t="s">
        <v>7868</v>
      </c>
      <c r="B8408">
        <f>F2071</f>
        <v>30</v>
      </c>
    </row>
    <row r="8409" spans="1:2" ht="15" customHeight="1" x14ac:dyDescent="0.3">
      <c r="A8409" t="s">
        <v>9520</v>
      </c>
      <c r="B8409">
        <f>B8410</f>
        <v>30</v>
      </c>
    </row>
    <row r="8410" spans="1:2" ht="15" customHeight="1" x14ac:dyDescent="0.3">
      <c r="A8410" t="s">
        <v>5886</v>
      </c>
      <c r="B8410">
        <f>B8408</f>
        <v>30</v>
      </c>
    </row>
    <row r="8411" spans="1:2" ht="15" customHeight="1" x14ac:dyDescent="0.3">
      <c r="A8411" t="s">
        <v>7869</v>
      </c>
      <c r="B8411">
        <f>F2072</f>
        <v>30</v>
      </c>
    </row>
    <row r="8412" spans="1:2" ht="15" customHeight="1" x14ac:dyDescent="0.3">
      <c r="A8412" t="s">
        <v>9521</v>
      </c>
      <c r="B8412">
        <f>B8413</f>
        <v>30</v>
      </c>
    </row>
    <row r="8413" spans="1:2" ht="15" customHeight="1" x14ac:dyDescent="0.3">
      <c r="A8413" t="s">
        <v>5477</v>
      </c>
      <c r="B8413">
        <f>B8411</f>
        <v>30</v>
      </c>
    </row>
    <row r="8414" spans="1:2" ht="15" customHeight="1" x14ac:dyDescent="0.3">
      <c r="A8414" t="s">
        <v>7870</v>
      </c>
      <c r="B8414">
        <f>F2073</f>
        <v>30</v>
      </c>
    </row>
    <row r="8415" spans="1:2" ht="15" customHeight="1" x14ac:dyDescent="0.3">
      <c r="A8415" t="s">
        <v>9522</v>
      </c>
      <c r="B8415">
        <f>B8416</f>
        <v>30</v>
      </c>
    </row>
    <row r="8416" spans="1:2" ht="15" customHeight="1" x14ac:dyDescent="0.3">
      <c r="A8416" t="s">
        <v>5478</v>
      </c>
      <c r="B8416">
        <f>B8414</f>
        <v>30</v>
      </c>
    </row>
    <row r="8417" spans="1:2" ht="15" customHeight="1" x14ac:dyDescent="0.3">
      <c r="A8417" t="s">
        <v>7871</v>
      </c>
      <c r="B8417">
        <f>F2074</f>
        <v>30</v>
      </c>
    </row>
    <row r="8418" spans="1:2" ht="15" customHeight="1" x14ac:dyDescent="0.3">
      <c r="A8418" t="s">
        <v>9523</v>
      </c>
      <c r="B8418">
        <f>B8419</f>
        <v>30</v>
      </c>
    </row>
    <row r="8419" spans="1:2" ht="15" customHeight="1" x14ac:dyDescent="0.3">
      <c r="A8419" t="s">
        <v>5479</v>
      </c>
      <c r="B8419">
        <f>B8417</f>
        <v>30</v>
      </c>
    </row>
    <row r="8420" spans="1:2" ht="15" customHeight="1" x14ac:dyDescent="0.3">
      <c r="A8420" t="s">
        <v>7872</v>
      </c>
      <c r="B8420">
        <f>F2075</f>
        <v>35</v>
      </c>
    </row>
    <row r="8421" spans="1:2" ht="15" customHeight="1" x14ac:dyDescent="0.3">
      <c r="A8421" t="s">
        <v>9524</v>
      </c>
      <c r="B8421">
        <f>B8422</f>
        <v>35</v>
      </c>
    </row>
    <row r="8422" spans="1:2" ht="15" customHeight="1" x14ac:dyDescent="0.3">
      <c r="A8422" t="s">
        <v>5480</v>
      </c>
      <c r="B8422">
        <f>B8420</f>
        <v>35</v>
      </c>
    </row>
    <row r="8423" spans="1:2" ht="15" customHeight="1" x14ac:dyDescent="0.3">
      <c r="A8423" t="s">
        <v>11068</v>
      </c>
      <c r="B8423">
        <f>F2074</f>
        <v>30</v>
      </c>
    </row>
    <row r="8424" spans="1:2" ht="15" customHeight="1" x14ac:dyDescent="0.3">
      <c r="A8424" t="s">
        <v>11070</v>
      </c>
      <c r="B8424">
        <f>F2074</f>
        <v>30</v>
      </c>
    </row>
    <row r="8425" spans="1:2" ht="15" customHeight="1" x14ac:dyDescent="0.3">
      <c r="A8425" t="s">
        <v>11069</v>
      </c>
      <c r="B8425">
        <f>F2074</f>
        <v>30</v>
      </c>
    </row>
    <row r="8426" spans="1:2" ht="15" customHeight="1" x14ac:dyDescent="0.3">
      <c r="A8426" t="s">
        <v>11071</v>
      </c>
      <c r="B8426">
        <f>F2074</f>
        <v>30</v>
      </c>
    </row>
    <row r="8427" spans="1:2" ht="15" customHeight="1" x14ac:dyDescent="0.3">
      <c r="A8427" t="s">
        <v>11072</v>
      </c>
      <c r="B8427">
        <f>F2074</f>
        <v>30</v>
      </c>
    </row>
    <row r="8428" spans="1:2" ht="15" customHeight="1" x14ac:dyDescent="0.3">
      <c r="A8428" t="s">
        <v>11073</v>
      </c>
      <c r="B8428">
        <f>F2074</f>
        <v>30</v>
      </c>
    </row>
    <row r="8429" spans="1:2" ht="15" customHeight="1" x14ac:dyDescent="0.3">
      <c r="A8429" t="s">
        <v>7873</v>
      </c>
      <c r="B8429">
        <f>F2076</f>
        <v>35</v>
      </c>
    </row>
    <row r="8430" spans="1:2" ht="15" customHeight="1" x14ac:dyDescent="0.3">
      <c r="A8430" t="s">
        <v>9525</v>
      </c>
      <c r="B8430">
        <f>B8431</f>
        <v>35</v>
      </c>
    </row>
    <row r="8431" spans="1:2" ht="15" customHeight="1" x14ac:dyDescent="0.3">
      <c r="A8431" t="s">
        <v>5481</v>
      </c>
      <c r="B8431">
        <f>B8429</f>
        <v>35</v>
      </c>
    </row>
    <row r="8432" spans="1:2" ht="15" customHeight="1" x14ac:dyDescent="0.3">
      <c r="A8432" t="s">
        <v>7875</v>
      </c>
      <c r="B8432">
        <f>F2078</f>
        <v>35</v>
      </c>
    </row>
    <row r="8433" spans="1:2" ht="15" customHeight="1" x14ac:dyDescent="0.3">
      <c r="A8433" t="s">
        <v>9527</v>
      </c>
      <c r="B8433">
        <f>B8434</f>
        <v>35</v>
      </c>
    </row>
    <row r="8434" spans="1:2" ht="15" customHeight="1" x14ac:dyDescent="0.3">
      <c r="A8434" t="s">
        <v>5483</v>
      </c>
      <c r="B8434">
        <f>B8432</f>
        <v>35</v>
      </c>
    </row>
    <row r="8435" spans="1:2" ht="15" customHeight="1" x14ac:dyDescent="0.3">
      <c r="A8435" t="s">
        <v>7876</v>
      </c>
      <c r="B8435">
        <f>F2079</f>
        <v>45</v>
      </c>
    </row>
    <row r="8436" spans="1:2" ht="15" customHeight="1" x14ac:dyDescent="0.3">
      <c r="A8436" t="s">
        <v>5484</v>
      </c>
      <c r="B8436">
        <f>B8435</f>
        <v>45</v>
      </c>
    </row>
    <row r="8437" spans="1:2" ht="15" customHeight="1" x14ac:dyDescent="0.3">
      <c r="A8437" t="s">
        <v>7874</v>
      </c>
      <c r="B8437">
        <f>F2077</f>
        <v>35</v>
      </c>
    </row>
    <row r="8438" spans="1:2" ht="15" customHeight="1" x14ac:dyDescent="0.3">
      <c r="A8438" t="s">
        <v>9526</v>
      </c>
      <c r="B8438">
        <f>B8439</f>
        <v>35</v>
      </c>
    </row>
    <row r="8439" spans="1:2" ht="15" customHeight="1" x14ac:dyDescent="0.3">
      <c r="A8439" t="s">
        <v>5482</v>
      </c>
      <c r="B8439">
        <f>B8437</f>
        <v>35</v>
      </c>
    </row>
    <row r="8440" spans="1:2" ht="15" customHeight="1" x14ac:dyDescent="0.3">
      <c r="A8440" t="s">
        <v>7850</v>
      </c>
      <c r="B8440">
        <f>F2054</f>
        <v>45</v>
      </c>
    </row>
    <row r="8441" spans="1:2" ht="15" customHeight="1" x14ac:dyDescent="0.3">
      <c r="A8441" t="s">
        <v>5470</v>
      </c>
      <c r="B8441">
        <f>B8440</f>
        <v>45</v>
      </c>
    </row>
    <row r="8442" spans="1:2" ht="15" customHeight="1" x14ac:dyDescent="0.3">
      <c r="A8442" t="s">
        <v>9502</v>
      </c>
      <c r="B8442">
        <f>B8441</f>
        <v>45</v>
      </c>
    </row>
    <row r="8443" spans="1:2" ht="15" customHeight="1" x14ac:dyDescent="0.3">
      <c r="A8443" t="s">
        <v>7851</v>
      </c>
      <c r="B8443">
        <f>F2055</f>
        <v>50</v>
      </c>
    </row>
    <row r="8444" spans="1:2" ht="15" customHeight="1" x14ac:dyDescent="0.3">
      <c r="A8444" t="s">
        <v>9503</v>
      </c>
      <c r="B8444">
        <f>B8445</f>
        <v>50</v>
      </c>
    </row>
    <row r="8445" spans="1:2" ht="15" customHeight="1" x14ac:dyDescent="0.3">
      <c r="A8445" t="s">
        <v>5471</v>
      </c>
      <c r="B8445">
        <f>B8443</f>
        <v>50</v>
      </c>
    </row>
    <row r="8446" spans="1:2" ht="15" customHeight="1" x14ac:dyDescent="0.3">
      <c r="A8446" t="s">
        <v>7852</v>
      </c>
      <c r="B8446">
        <f>F2056</f>
        <v>55</v>
      </c>
    </row>
    <row r="8447" spans="1:2" ht="15" customHeight="1" x14ac:dyDescent="0.3">
      <c r="A8447" t="s">
        <v>9504</v>
      </c>
      <c r="B8447">
        <f>B8448</f>
        <v>55</v>
      </c>
    </row>
    <row r="8448" spans="1:2" ht="15" customHeight="1" x14ac:dyDescent="0.3">
      <c r="A8448" t="s">
        <v>5472</v>
      </c>
      <c r="B8448">
        <f>B8446</f>
        <v>55</v>
      </c>
    </row>
    <row r="8449" spans="1:2" ht="15" customHeight="1" x14ac:dyDescent="0.3">
      <c r="A8449" t="s">
        <v>7853</v>
      </c>
      <c r="B8449" t="e">
        <f>#REF!</f>
        <v>#REF!</v>
      </c>
    </row>
    <row r="8450" spans="1:2" ht="15" customHeight="1" x14ac:dyDescent="0.3">
      <c r="A8450" t="s">
        <v>9505</v>
      </c>
      <c r="B8450" t="e">
        <f>B8451</f>
        <v>#REF!</v>
      </c>
    </row>
    <row r="8451" spans="1:2" ht="15" customHeight="1" x14ac:dyDescent="0.3">
      <c r="A8451" t="s">
        <v>5473</v>
      </c>
      <c r="B8451" t="e">
        <f>B8449</f>
        <v>#REF!</v>
      </c>
    </row>
    <row r="8452" spans="1:2" ht="15" customHeight="1" x14ac:dyDescent="0.3">
      <c r="A8452" t="s">
        <v>7854</v>
      </c>
      <c r="B8452" t="e">
        <f>#REF!</f>
        <v>#REF!</v>
      </c>
    </row>
    <row r="8453" spans="1:2" ht="15" customHeight="1" x14ac:dyDescent="0.3">
      <c r="A8453" t="s">
        <v>9506</v>
      </c>
      <c r="B8453" t="e">
        <f>B8454</f>
        <v>#REF!</v>
      </c>
    </row>
    <row r="8454" spans="1:2" ht="15" customHeight="1" x14ac:dyDescent="0.3">
      <c r="A8454" t="s">
        <v>5474</v>
      </c>
      <c r="B8454" t="e">
        <f>B8452</f>
        <v>#REF!</v>
      </c>
    </row>
    <row r="8455" spans="1:2" ht="15" customHeight="1" x14ac:dyDescent="0.3">
      <c r="A8455" t="s">
        <v>7855</v>
      </c>
      <c r="B8455">
        <f>F2057</f>
        <v>45</v>
      </c>
    </row>
    <row r="8456" spans="1:2" ht="15" customHeight="1" x14ac:dyDescent="0.3">
      <c r="A8456" t="s">
        <v>9507</v>
      </c>
      <c r="B8456">
        <f>B8457</f>
        <v>45</v>
      </c>
    </row>
    <row r="8457" spans="1:2" ht="15" customHeight="1" x14ac:dyDescent="0.3">
      <c r="A8457" t="s">
        <v>5475</v>
      </c>
      <c r="B8457">
        <f>B8455</f>
        <v>45</v>
      </c>
    </row>
    <row r="8458" spans="1:2" ht="15" customHeight="1" x14ac:dyDescent="0.3">
      <c r="A8458" t="s">
        <v>7856</v>
      </c>
      <c r="B8458">
        <f>F2059</f>
        <v>50</v>
      </c>
    </row>
    <row r="8459" spans="1:2" ht="15" customHeight="1" x14ac:dyDescent="0.3">
      <c r="A8459" t="s">
        <v>9508</v>
      </c>
      <c r="B8459">
        <f>B8460</f>
        <v>50</v>
      </c>
    </row>
    <row r="8460" spans="1:2" ht="15" customHeight="1" x14ac:dyDescent="0.3">
      <c r="A8460" t="s">
        <v>5089</v>
      </c>
      <c r="B8460">
        <f>B8458</f>
        <v>50</v>
      </c>
    </row>
    <row r="8461" spans="1:2" ht="15" customHeight="1" x14ac:dyDescent="0.3">
      <c r="A8461" t="s">
        <v>7857</v>
      </c>
      <c r="B8461">
        <f>F2060</f>
        <v>70</v>
      </c>
    </row>
    <row r="8462" spans="1:2" ht="15" customHeight="1" x14ac:dyDescent="0.3">
      <c r="A8462" t="s">
        <v>9509</v>
      </c>
      <c r="B8462">
        <f>B8463</f>
        <v>70</v>
      </c>
    </row>
    <row r="8463" spans="1:2" ht="15" customHeight="1" x14ac:dyDescent="0.3">
      <c r="A8463" t="s">
        <v>5090</v>
      </c>
      <c r="B8463">
        <f>B8461</f>
        <v>70</v>
      </c>
    </row>
    <row r="8464" spans="1:2" ht="15" customHeight="1" x14ac:dyDescent="0.3">
      <c r="A8464" t="s">
        <v>7858</v>
      </c>
      <c r="B8464">
        <f>F2061</f>
        <v>70</v>
      </c>
    </row>
    <row r="8465" spans="1:2" ht="15" customHeight="1" x14ac:dyDescent="0.3">
      <c r="A8465" t="s">
        <v>9510</v>
      </c>
      <c r="B8465">
        <f>B8466</f>
        <v>70</v>
      </c>
    </row>
    <row r="8466" spans="1:2" ht="15" customHeight="1" x14ac:dyDescent="0.3">
      <c r="A8466" t="s">
        <v>5091</v>
      </c>
      <c r="B8466">
        <f>B8464</f>
        <v>70</v>
      </c>
    </row>
    <row r="8467" spans="1:2" ht="15" customHeight="1" x14ac:dyDescent="0.3">
      <c r="A8467" t="s">
        <v>7859</v>
      </c>
      <c r="B8467">
        <f>F2062</f>
        <v>60</v>
      </c>
    </row>
    <row r="8468" spans="1:2" ht="15" customHeight="1" x14ac:dyDescent="0.3">
      <c r="A8468" t="s">
        <v>9511</v>
      </c>
      <c r="B8468">
        <f>B8469</f>
        <v>60</v>
      </c>
    </row>
    <row r="8469" spans="1:2" ht="15" customHeight="1" x14ac:dyDescent="0.3">
      <c r="A8469" t="s">
        <v>5092</v>
      </c>
      <c r="B8469">
        <f>B8467</f>
        <v>60</v>
      </c>
    </row>
    <row r="8470" spans="1:2" ht="15" customHeight="1" x14ac:dyDescent="0.3">
      <c r="A8470" t="s">
        <v>7860</v>
      </c>
      <c r="B8470">
        <f>F2063</f>
        <v>80</v>
      </c>
    </row>
    <row r="8471" spans="1:2" ht="15" customHeight="1" x14ac:dyDescent="0.3">
      <c r="A8471" t="s">
        <v>9512</v>
      </c>
      <c r="B8471">
        <f>B8472</f>
        <v>80</v>
      </c>
    </row>
    <row r="8472" spans="1:2" ht="15" customHeight="1" x14ac:dyDescent="0.3">
      <c r="A8472" t="s">
        <v>5093</v>
      </c>
      <c r="B8472">
        <f>B8470</f>
        <v>80</v>
      </c>
    </row>
    <row r="8473" spans="1:2" ht="15" customHeight="1" x14ac:dyDescent="0.3">
      <c r="A8473" t="s">
        <v>7861</v>
      </c>
      <c r="B8473">
        <f>F2064</f>
        <v>90</v>
      </c>
    </row>
    <row r="8474" spans="1:2" ht="15" customHeight="1" x14ac:dyDescent="0.3">
      <c r="A8474" t="s">
        <v>9513</v>
      </c>
      <c r="B8474">
        <f>B8475</f>
        <v>90</v>
      </c>
    </row>
    <row r="8475" spans="1:2" ht="15" customHeight="1" x14ac:dyDescent="0.3">
      <c r="A8475" t="s">
        <v>5094</v>
      </c>
      <c r="B8475">
        <f>B8473</f>
        <v>90</v>
      </c>
    </row>
    <row r="8476" spans="1:2" ht="15" customHeight="1" x14ac:dyDescent="0.3">
      <c r="A8476" t="s">
        <v>7862</v>
      </c>
      <c r="B8476">
        <f>F2065</f>
        <v>150</v>
      </c>
    </row>
    <row r="8477" spans="1:2" ht="15" customHeight="1" x14ac:dyDescent="0.3">
      <c r="A8477" t="s">
        <v>9514</v>
      </c>
      <c r="B8477">
        <f>B8478</f>
        <v>150</v>
      </c>
    </row>
    <row r="8478" spans="1:2" ht="15" customHeight="1" x14ac:dyDescent="0.3">
      <c r="A8478" t="s">
        <v>5095</v>
      </c>
      <c r="B8478">
        <f>B8476</f>
        <v>150</v>
      </c>
    </row>
    <row r="8479" spans="1:2" ht="15" customHeight="1" x14ac:dyDescent="0.3">
      <c r="A8479" t="s">
        <v>7863</v>
      </c>
      <c r="B8479">
        <f>F2066</f>
        <v>150</v>
      </c>
    </row>
    <row r="8480" spans="1:2" ht="15" customHeight="1" x14ac:dyDescent="0.3">
      <c r="A8480" t="s">
        <v>9515</v>
      </c>
      <c r="B8480">
        <f>B8481</f>
        <v>150</v>
      </c>
    </row>
    <row r="8481" spans="1:2" ht="15" customHeight="1" x14ac:dyDescent="0.3">
      <c r="A8481" t="s">
        <v>5096</v>
      </c>
      <c r="B8481">
        <f>B8479</f>
        <v>150</v>
      </c>
    </row>
    <row r="8482" spans="1:2" ht="15" customHeight="1" x14ac:dyDescent="0.3">
      <c r="A8482" t="s">
        <v>7864</v>
      </c>
      <c r="B8482">
        <f>F2067</f>
        <v>190</v>
      </c>
    </row>
    <row r="8483" spans="1:2" ht="15" customHeight="1" x14ac:dyDescent="0.3">
      <c r="A8483" t="s">
        <v>5097</v>
      </c>
      <c r="B8483">
        <f>B8482</f>
        <v>190</v>
      </c>
    </row>
    <row r="8484" spans="1:2" ht="15" customHeight="1" x14ac:dyDescent="0.3">
      <c r="A8484" t="s">
        <v>9516</v>
      </c>
      <c r="B8484">
        <f>B8483</f>
        <v>190</v>
      </c>
    </row>
    <row r="8485" spans="1:2" ht="15" customHeight="1" x14ac:dyDescent="0.3">
      <c r="A8485" t="s">
        <v>9528</v>
      </c>
      <c r="B8485">
        <f>B8436</f>
        <v>45</v>
      </c>
    </row>
    <row r="8486" spans="1:2" ht="15" customHeight="1" x14ac:dyDescent="0.3">
      <c r="A8486" t="s">
        <v>7877</v>
      </c>
      <c r="B8486">
        <f>F2080</f>
        <v>25</v>
      </c>
    </row>
    <row r="8487" spans="1:2" ht="15" customHeight="1" x14ac:dyDescent="0.3">
      <c r="A8487" t="s">
        <v>7878</v>
      </c>
      <c r="B8487">
        <f>F2081</f>
        <v>25</v>
      </c>
    </row>
    <row r="8488" spans="1:2" ht="15" customHeight="1" x14ac:dyDescent="0.3">
      <c r="A8488" t="s">
        <v>7879</v>
      </c>
      <c r="B8488">
        <f>F2082</f>
        <v>25</v>
      </c>
    </row>
    <row r="8489" spans="1:2" ht="15" customHeight="1" x14ac:dyDescent="0.3">
      <c r="A8489" t="s">
        <v>7880</v>
      </c>
      <c r="B8489">
        <f>F2083</f>
        <v>25</v>
      </c>
    </row>
    <row r="8490" spans="1:2" ht="15" customHeight="1" x14ac:dyDescent="0.3">
      <c r="A8490" t="s">
        <v>7881</v>
      </c>
      <c r="B8490">
        <f>F2083</f>
        <v>25</v>
      </c>
    </row>
    <row r="8491" spans="1:2" ht="15" customHeight="1" x14ac:dyDescent="0.3">
      <c r="A8491" t="s">
        <v>7882</v>
      </c>
      <c r="B8491">
        <f>F2083</f>
        <v>25</v>
      </c>
    </row>
    <row r="8492" spans="1:2" ht="15" customHeight="1" x14ac:dyDescent="0.3">
      <c r="A8492" t="s">
        <v>7883</v>
      </c>
      <c r="B8492">
        <f t="shared" ref="B8492:B8503" si="1319">F2083</f>
        <v>25</v>
      </c>
    </row>
    <row r="8493" spans="1:2" ht="15" customHeight="1" x14ac:dyDescent="0.3">
      <c r="A8493" t="s">
        <v>7884</v>
      </c>
      <c r="B8493">
        <f t="shared" si="1319"/>
        <v>30</v>
      </c>
    </row>
    <row r="8494" spans="1:2" ht="15" customHeight="1" x14ac:dyDescent="0.3">
      <c r="A8494" t="s">
        <v>7885</v>
      </c>
      <c r="B8494">
        <f t="shared" si="1319"/>
        <v>55</v>
      </c>
    </row>
    <row r="8495" spans="1:2" ht="15" customHeight="1" x14ac:dyDescent="0.3">
      <c r="A8495" t="s">
        <v>7886</v>
      </c>
      <c r="B8495">
        <f t="shared" si="1319"/>
        <v>25</v>
      </c>
    </row>
    <row r="8496" spans="1:2" ht="15" customHeight="1" x14ac:dyDescent="0.3">
      <c r="A8496" t="s">
        <v>7887</v>
      </c>
      <c r="B8496">
        <f t="shared" si="1319"/>
        <v>25</v>
      </c>
    </row>
    <row r="8497" spans="1:2" ht="15" customHeight="1" x14ac:dyDescent="0.3">
      <c r="A8497" t="s">
        <v>7888</v>
      </c>
      <c r="B8497">
        <f t="shared" si="1319"/>
        <v>25</v>
      </c>
    </row>
    <row r="8498" spans="1:2" ht="15" customHeight="1" x14ac:dyDescent="0.3">
      <c r="A8498" t="s">
        <v>7889</v>
      </c>
      <c r="B8498">
        <f t="shared" si="1319"/>
        <v>25</v>
      </c>
    </row>
    <row r="8499" spans="1:2" ht="15" customHeight="1" x14ac:dyDescent="0.3">
      <c r="A8499" t="s">
        <v>7890</v>
      </c>
      <c r="B8499">
        <f t="shared" si="1319"/>
        <v>30</v>
      </c>
    </row>
    <row r="8500" spans="1:2" ht="15" customHeight="1" x14ac:dyDescent="0.3">
      <c r="A8500" t="s">
        <v>7891</v>
      </c>
      <c r="B8500">
        <f t="shared" si="1319"/>
        <v>30</v>
      </c>
    </row>
    <row r="8501" spans="1:2" ht="15" customHeight="1" x14ac:dyDescent="0.3">
      <c r="A8501" t="s">
        <v>7892</v>
      </c>
      <c r="B8501">
        <f t="shared" si="1319"/>
        <v>30</v>
      </c>
    </row>
    <row r="8502" spans="1:2" ht="15" customHeight="1" x14ac:dyDescent="0.3">
      <c r="A8502" t="s">
        <v>7893</v>
      </c>
      <c r="B8502">
        <f t="shared" si="1319"/>
        <v>25</v>
      </c>
    </row>
    <row r="8503" spans="1:2" ht="15" customHeight="1" x14ac:dyDescent="0.3">
      <c r="A8503" t="s">
        <v>7894</v>
      </c>
      <c r="B8503">
        <f t="shared" si="1319"/>
        <v>30</v>
      </c>
    </row>
    <row r="8504" spans="1:2" ht="15" customHeight="1" x14ac:dyDescent="0.3">
      <c r="A8504" t="s">
        <v>7895</v>
      </c>
      <c r="B8504">
        <f>F2094</f>
        <v>30</v>
      </c>
    </row>
    <row r="8505" spans="1:2" ht="15" customHeight="1" x14ac:dyDescent="0.3">
      <c r="A8505" t="s">
        <v>7896</v>
      </c>
      <c r="B8505">
        <f>F2095</f>
        <v>25</v>
      </c>
    </row>
    <row r="8506" spans="1:2" ht="15" customHeight="1" x14ac:dyDescent="0.3">
      <c r="A8506" s="68" t="s">
        <v>13099</v>
      </c>
      <c r="B8506">
        <f>F2096</f>
        <v>20</v>
      </c>
    </row>
    <row r="8507" spans="1:2" ht="15" customHeight="1" x14ac:dyDescent="0.3">
      <c r="A8507" s="68" t="s">
        <v>13100</v>
      </c>
      <c r="B8507">
        <f>B8506</f>
        <v>20</v>
      </c>
    </row>
    <row r="8508" spans="1:2" ht="15" customHeight="1" x14ac:dyDescent="0.3">
      <c r="A8508" s="68" t="s">
        <v>13101</v>
      </c>
      <c r="B8508">
        <f>B8506</f>
        <v>20</v>
      </c>
    </row>
    <row r="8509" spans="1:2" ht="15" customHeight="1" x14ac:dyDescent="0.3">
      <c r="A8509" s="68" t="s">
        <v>13102</v>
      </c>
      <c r="B8509">
        <f>B8506</f>
        <v>20</v>
      </c>
    </row>
    <row r="8510" spans="1:2" ht="15" customHeight="1" x14ac:dyDescent="0.3">
      <c r="A8510" s="68" t="s">
        <v>13103</v>
      </c>
      <c r="B8510">
        <f>B8506</f>
        <v>20</v>
      </c>
    </row>
    <row r="8511" spans="1:2" ht="15" customHeight="1" x14ac:dyDescent="0.3">
      <c r="A8511" t="s">
        <v>7897</v>
      </c>
      <c r="B8511">
        <f>F2097</f>
        <v>25</v>
      </c>
    </row>
    <row r="8512" spans="1:2" ht="15" customHeight="1" x14ac:dyDescent="0.3">
      <c r="A8512" t="s">
        <v>7898</v>
      </c>
      <c r="B8512">
        <f>F2098</f>
        <v>25</v>
      </c>
    </row>
    <row r="8513" spans="1:2" ht="15" customHeight="1" x14ac:dyDescent="0.3">
      <c r="A8513" t="s">
        <v>7899</v>
      </c>
      <c r="B8513">
        <f>F2099</f>
        <v>25</v>
      </c>
    </row>
    <row r="8514" spans="1:2" ht="15" customHeight="1" x14ac:dyDescent="0.3">
      <c r="A8514" t="s">
        <v>7900</v>
      </c>
      <c r="B8514">
        <f t="shared" ref="B8514:B8519" si="1320">F2099</f>
        <v>25</v>
      </c>
    </row>
    <row r="8515" spans="1:2" ht="15" customHeight="1" x14ac:dyDescent="0.3">
      <c r="A8515" t="s">
        <v>7901</v>
      </c>
      <c r="B8515">
        <f t="shared" si="1320"/>
        <v>25</v>
      </c>
    </row>
    <row r="8516" spans="1:2" ht="15" customHeight="1" x14ac:dyDescent="0.3">
      <c r="A8516" t="s">
        <v>7902</v>
      </c>
      <c r="B8516">
        <f t="shared" si="1320"/>
        <v>25</v>
      </c>
    </row>
    <row r="8517" spans="1:2" ht="15" customHeight="1" x14ac:dyDescent="0.3">
      <c r="A8517" t="s">
        <v>7903</v>
      </c>
      <c r="B8517">
        <f t="shared" si="1320"/>
        <v>25</v>
      </c>
    </row>
    <row r="8518" spans="1:2" ht="15" customHeight="1" x14ac:dyDescent="0.3">
      <c r="A8518" t="s">
        <v>7904</v>
      </c>
      <c r="B8518">
        <f t="shared" si="1320"/>
        <v>30</v>
      </c>
    </row>
    <row r="8519" spans="1:2" ht="15" customHeight="1" x14ac:dyDescent="0.3">
      <c r="A8519" t="s">
        <v>7905</v>
      </c>
      <c r="B8519">
        <f t="shared" si="1320"/>
        <v>30</v>
      </c>
    </row>
    <row r="8520" spans="1:2" ht="15" customHeight="1" x14ac:dyDescent="0.3">
      <c r="A8520" t="s">
        <v>7906</v>
      </c>
      <c r="B8520">
        <f>F2104</f>
        <v>30</v>
      </c>
    </row>
    <row r="8521" spans="1:2" ht="15" customHeight="1" x14ac:dyDescent="0.3">
      <c r="A8521" t="s">
        <v>11053</v>
      </c>
      <c r="B8521">
        <f>F2105</f>
        <v>30</v>
      </c>
    </row>
    <row r="8522" spans="1:2" ht="15" customHeight="1" x14ac:dyDescent="0.3">
      <c r="A8522" t="s">
        <v>11054</v>
      </c>
      <c r="B8522">
        <f>F2105</f>
        <v>30</v>
      </c>
    </row>
    <row r="8523" spans="1:2" ht="15" customHeight="1" x14ac:dyDescent="0.3">
      <c r="A8523" t="s">
        <v>11055</v>
      </c>
      <c r="B8523">
        <f>F2105</f>
        <v>30</v>
      </c>
    </row>
    <row r="8524" spans="1:2" ht="15" customHeight="1" x14ac:dyDescent="0.3">
      <c r="A8524" t="s">
        <v>11056</v>
      </c>
      <c r="B8524">
        <f>F2105</f>
        <v>30</v>
      </c>
    </row>
    <row r="8525" spans="1:2" ht="15" customHeight="1" x14ac:dyDescent="0.3">
      <c r="A8525" t="s">
        <v>10551</v>
      </c>
      <c r="B8525">
        <f>F2106</f>
        <v>25</v>
      </c>
    </row>
    <row r="8526" spans="1:2" ht="15" customHeight="1" x14ac:dyDescent="0.3">
      <c r="A8526" t="s">
        <v>10552</v>
      </c>
      <c r="B8526">
        <f>F2106</f>
        <v>25</v>
      </c>
    </row>
    <row r="8527" spans="1:2" ht="15" customHeight="1" x14ac:dyDescent="0.3">
      <c r="A8527" t="s">
        <v>7907</v>
      </c>
      <c r="B8527">
        <f>F2107</f>
        <v>30</v>
      </c>
    </row>
    <row r="8528" spans="1:2" ht="15" customHeight="1" x14ac:dyDescent="0.3">
      <c r="A8528" t="s">
        <v>7908</v>
      </c>
      <c r="B8528">
        <f>F2108</f>
        <v>35</v>
      </c>
    </row>
    <row r="8529" spans="1:2" ht="15" customHeight="1" x14ac:dyDescent="0.3">
      <c r="A8529" t="s">
        <v>7909</v>
      </c>
      <c r="B8529">
        <f>F2109</f>
        <v>25</v>
      </c>
    </row>
    <row r="8530" spans="1:2" ht="15" customHeight="1" x14ac:dyDescent="0.3">
      <c r="A8530" t="s">
        <v>7910</v>
      </c>
      <c r="B8530">
        <f>F2110</f>
        <v>25</v>
      </c>
    </row>
    <row r="8531" spans="1:2" ht="15" customHeight="1" x14ac:dyDescent="0.3">
      <c r="A8531" t="s">
        <v>7911</v>
      </c>
      <c r="B8531">
        <f>F2110</f>
        <v>25</v>
      </c>
    </row>
    <row r="8532" spans="1:2" ht="15" customHeight="1" x14ac:dyDescent="0.3">
      <c r="A8532" t="s">
        <v>7912</v>
      </c>
      <c r="B8532">
        <f>F2110</f>
        <v>25</v>
      </c>
    </row>
    <row r="8533" spans="1:2" ht="15" customHeight="1" x14ac:dyDescent="0.3">
      <c r="A8533" t="s">
        <v>7913</v>
      </c>
      <c r="B8533">
        <f t="shared" ref="B8533:B8538" si="1321">F2110</f>
        <v>25</v>
      </c>
    </row>
    <row r="8534" spans="1:2" ht="15" customHeight="1" x14ac:dyDescent="0.3">
      <c r="A8534" t="s">
        <v>7914</v>
      </c>
      <c r="B8534">
        <f t="shared" si="1321"/>
        <v>25</v>
      </c>
    </row>
    <row r="8535" spans="1:2" ht="15" customHeight="1" x14ac:dyDescent="0.3">
      <c r="A8535" t="s">
        <v>7915</v>
      </c>
      <c r="B8535">
        <f t="shared" si="1321"/>
        <v>25</v>
      </c>
    </row>
    <row r="8536" spans="1:2" ht="15" customHeight="1" x14ac:dyDescent="0.3">
      <c r="A8536" t="s">
        <v>7916</v>
      </c>
      <c r="B8536">
        <f t="shared" si="1321"/>
        <v>25</v>
      </c>
    </row>
    <row r="8537" spans="1:2" ht="15" customHeight="1" x14ac:dyDescent="0.3">
      <c r="A8537" t="s">
        <v>7917</v>
      </c>
      <c r="B8537">
        <f t="shared" si="1321"/>
        <v>25</v>
      </c>
    </row>
    <row r="8538" spans="1:2" ht="15" customHeight="1" x14ac:dyDescent="0.3">
      <c r="A8538" t="s">
        <v>7918</v>
      </c>
      <c r="B8538">
        <f t="shared" si="1321"/>
        <v>30</v>
      </c>
    </row>
    <row r="8539" spans="1:2" ht="15" customHeight="1" x14ac:dyDescent="0.3">
      <c r="A8539" t="s">
        <v>7919</v>
      </c>
      <c r="B8539">
        <f>F2115</f>
        <v>30</v>
      </c>
    </row>
    <row r="8540" spans="1:2" ht="15" customHeight="1" x14ac:dyDescent="0.3">
      <c r="A8540" t="s">
        <v>7920</v>
      </c>
      <c r="B8540">
        <f>F2115</f>
        <v>30</v>
      </c>
    </row>
    <row r="8541" spans="1:2" ht="15" customHeight="1" x14ac:dyDescent="0.3">
      <c r="A8541" t="s">
        <v>7921</v>
      </c>
      <c r="B8541">
        <f t="shared" ref="B8541:B8548" si="1322">F2115</f>
        <v>30</v>
      </c>
    </row>
    <row r="8542" spans="1:2" ht="15" customHeight="1" x14ac:dyDescent="0.3">
      <c r="A8542" t="s">
        <v>7922</v>
      </c>
      <c r="B8542">
        <f t="shared" si="1322"/>
        <v>30</v>
      </c>
    </row>
    <row r="8543" spans="1:2" ht="15" customHeight="1" x14ac:dyDescent="0.3">
      <c r="A8543" t="s">
        <v>7923</v>
      </c>
      <c r="B8543">
        <f t="shared" si="1322"/>
        <v>25</v>
      </c>
    </row>
    <row r="8544" spans="1:2" ht="15" customHeight="1" x14ac:dyDescent="0.3">
      <c r="A8544" t="s">
        <v>7924</v>
      </c>
      <c r="B8544">
        <f t="shared" si="1322"/>
        <v>30</v>
      </c>
    </row>
    <row r="8545" spans="1:2" ht="15" customHeight="1" x14ac:dyDescent="0.3">
      <c r="A8545" t="s">
        <v>7925</v>
      </c>
      <c r="B8545">
        <f t="shared" si="1322"/>
        <v>30</v>
      </c>
    </row>
    <row r="8546" spans="1:2" ht="15" customHeight="1" x14ac:dyDescent="0.3">
      <c r="A8546" t="s">
        <v>7926</v>
      </c>
      <c r="B8546">
        <f t="shared" si="1322"/>
        <v>25</v>
      </c>
    </row>
    <row r="8547" spans="1:2" ht="15" customHeight="1" x14ac:dyDescent="0.3">
      <c r="A8547" t="s">
        <v>7927</v>
      </c>
      <c r="B8547">
        <f t="shared" si="1322"/>
        <v>30</v>
      </c>
    </row>
    <row r="8548" spans="1:2" ht="15" customHeight="1" x14ac:dyDescent="0.3">
      <c r="A8548" t="s">
        <v>7928</v>
      </c>
      <c r="B8548">
        <f t="shared" si="1322"/>
        <v>30</v>
      </c>
    </row>
    <row r="8549" spans="1:2" ht="15" customHeight="1" x14ac:dyDescent="0.3">
      <c r="A8549" t="s">
        <v>10793</v>
      </c>
      <c r="B8549">
        <f>F2122</f>
        <v>30</v>
      </c>
    </row>
    <row r="8550" spans="1:2" ht="15" customHeight="1" x14ac:dyDescent="0.3">
      <c r="A8550" t="s">
        <v>10794</v>
      </c>
      <c r="B8550">
        <f>F2122</f>
        <v>30</v>
      </c>
    </row>
    <row r="8551" spans="1:2" ht="15" customHeight="1" x14ac:dyDescent="0.3">
      <c r="A8551" t="s">
        <v>10795</v>
      </c>
      <c r="B8551">
        <f>F2122</f>
        <v>30</v>
      </c>
    </row>
    <row r="8552" spans="1:2" ht="15" customHeight="1" x14ac:dyDescent="0.3">
      <c r="A8552" t="s">
        <v>10796</v>
      </c>
      <c r="B8552">
        <f>F2122</f>
        <v>30</v>
      </c>
    </row>
    <row r="8553" spans="1:2" ht="15" customHeight="1" x14ac:dyDescent="0.3">
      <c r="A8553" t="s">
        <v>10797</v>
      </c>
      <c r="B8553">
        <f>F2122</f>
        <v>30</v>
      </c>
    </row>
    <row r="8554" spans="1:2" ht="15" customHeight="1" x14ac:dyDescent="0.3">
      <c r="A8554" s="68" t="s">
        <v>10798</v>
      </c>
      <c r="B8554" s="68">
        <f>F2122</f>
        <v>30</v>
      </c>
    </row>
    <row r="8555" spans="1:2" ht="15" customHeight="1" x14ac:dyDescent="0.3">
      <c r="A8555" s="68" t="s">
        <v>10799</v>
      </c>
      <c r="B8555" s="68">
        <f>F2122</f>
        <v>30</v>
      </c>
    </row>
    <row r="8556" spans="1:2" ht="15" customHeight="1" x14ac:dyDescent="0.3">
      <c r="A8556" s="68" t="s">
        <v>10800</v>
      </c>
      <c r="B8556" s="68">
        <f>F2122</f>
        <v>30</v>
      </c>
    </row>
    <row r="8557" spans="1:2" ht="15" customHeight="1" x14ac:dyDescent="0.3">
      <c r="A8557" s="68" t="s">
        <v>10801</v>
      </c>
      <c r="B8557" s="68">
        <f>F2122</f>
        <v>30</v>
      </c>
    </row>
    <row r="8558" spans="1:2" ht="15" customHeight="1" x14ac:dyDescent="0.3">
      <c r="A8558" s="68" t="s">
        <v>10802</v>
      </c>
      <c r="B8558" s="68">
        <f>F2122</f>
        <v>30</v>
      </c>
    </row>
    <row r="8559" spans="1:2" ht="15" customHeight="1" x14ac:dyDescent="0.3">
      <c r="A8559" t="s">
        <v>7929</v>
      </c>
      <c r="B8559">
        <f>F2123</f>
        <v>25</v>
      </c>
    </row>
    <row r="8560" spans="1:2" ht="15" customHeight="1" x14ac:dyDescent="0.3">
      <c r="A8560" t="s">
        <v>7930</v>
      </c>
      <c r="B8560">
        <f t="shared" ref="B8560:B8567" si="1323">F2123</f>
        <v>25</v>
      </c>
    </row>
    <row r="8561" spans="1:2" ht="15" customHeight="1" x14ac:dyDescent="0.3">
      <c r="A8561" t="s">
        <v>7931</v>
      </c>
      <c r="B8561">
        <f t="shared" si="1323"/>
        <v>25</v>
      </c>
    </row>
    <row r="8562" spans="1:2" ht="15" customHeight="1" x14ac:dyDescent="0.3">
      <c r="A8562" t="s">
        <v>7932</v>
      </c>
      <c r="B8562">
        <f t="shared" si="1323"/>
        <v>25</v>
      </c>
    </row>
    <row r="8563" spans="1:2" ht="15" customHeight="1" x14ac:dyDescent="0.3">
      <c r="A8563" t="s">
        <v>7933</v>
      </c>
      <c r="B8563">
        <f t="shared" si="1323"/>
        <v>30</v>
      </c>
    </row>
    <row r="8564" spans="1:2" ht="15" customHeight="1" x14ac:dyDescent="0.3">
      <c r="A8564" t="s">
        <v>7934</v>
      </c>
      <c r="B8564">
        <f t="shared" si="1323"/>
        <v>25</v>
      </c>
    </row>
    <row r="8565" spans="1:2" ht="15" customHeight="1" x14ac:dyDescent="0.3">
      <c r="A8565" t="s">
        <v>7935</v>
      </c>
      <c r="B8565">
        <f t="shared" si="1323"/>
        <v>25</v>
      </c>
    </row>
    <row r="8566" spans="1:2" ht="15" customHeight="1" x14ac:dyDescent="0.3">
      <c r="A8566" t="s">
        <v>7936</v>
      </c>
      <c r="B8566">
        <f t="shared" si="1323"/>
        <v>30</v>
      </c>
    </row>
    <row r="8567" spans="1:2" ht="15" customHeight="1" x14ac:dyDescent="0.3">
      <c r="A8567" t="s">
        <v>7937</v>
      </c>
      <c r="B8567">
        <f t="shared" si="1323"/>
        <v>30</v>
      </c>
    </row>
    <row r="8568" spans="1:2" ht="15" customHeight="1" x14ac:dyDescent="0.3">
      <c r="A8568" t="s">
        <v>10787</v>
      </c>
      <c r="B8568">
        <f>F2121</f>
        <v>30</v>
      </c>
    </row>
    <row r="8569" spans="1:2" ht="15" customHeight="1" x14ac:dyDescent="0.3">
      <c r="A8569" t="s">
        <v>10788</v>
      </c>
      <c r="B8569">
        <f>F2121</f>
        <v>30</v>
      </c>
    </row>
    <row r="8570" spans="1:2" ht="15" customHeight="1" x14ac:dyDescent="0.3">
      <c r="A8570" t="s">
        <v>10789</v>
      </c>
      <c r="B8570">
        <f>F2121</f>
        <v>30</v>
      </c>
    </row>
    <row r="8571" spans="1:2" ht="15" customHeight="1" x14ac:dyDescent="0.3">
      <c r="A8571" t="s">
        <v>10790</v>
      </c>
      <c r="B8571">
        <f>F2121</f>
        <v>30</v>
      </c>
    </row>
    <row r="8572" spans="1:2" ht="15" customHeight="1" x14ac:dyDescent="0.3">
      <c r="A8572" t="s">
        <v>10791</v>
      </c>
      <c r="B8572">
        <f>F2121</f>
        <v>30</v>
      </c>
    </row>
    <row r="8573" spans="1:2" ht="15" customHeight="1" x14ac:dyDescent="0.3">
      <c r="A8573" t="s">
        <v>7938</v>
      </c>
      <c r="B8573">
        <f>F2131</f>
        <v>25</v>
      </c>
    </row>
    <row r="8574" spans="1:2" ht="15" customHeight="1" x14ac:dyDescent="0.3">
      <c r="A8574" t="s">
        <v>7939</v>
      </c>
      <c r="B8574">
        <f>F2132</f>
        <v>25</v>
      </c>
    </row>
    <row r="8575" spans="1:2" ht="15" customHeight="1" x14ac:dyDescent="0.3">
      <c r="A8575" t="s">
        <v>7940</v>
      </c>
      <c r="B8575">
        <f>F2133</f>
        <v>25</v>
      </c>
    </row>
    <row r="8576" spans="1:2" ht="15" customHeight="1" x14ac:dyDescent="0.3">
      <c r="A8576" t="s">
        <v>7941</v>
      </c>
      <c r="B8576">
        <f t="shared" ref="B8576:B8589" si="1324">F2133</f>
        <v>25</v>
      </c>
    </row>
    <row r="8577" spans="1:2" ht="15" customHeight="1" x14ac:dyDescent="0.3">
      <c r="A8577" t="s">
        <v>7942</v>
      </c>
      <c r="B8577">
        <f t="shared" si="1324"/>
        <v>25</v>
      </c>
    </row>
    <row r="8578" spans="1:2" ht="15" customHeight="1" x14ac:dyDescent="0.3">
      <c r="A8578" t="s">
        <v>7943</v>
      </c>
      <c r="B8578">
        <f t="shared" si="1324"/>
        <v>25</v>
      </c>
    </row>
    <row r="8579" spans="1:2" ht="15" customHeight="1" x14ac:dyDescent="0.3">
      <c r="A8579" t="s">
        <v>7944</v>
      </c>
      <c r="B8579">
        <f t="shared" si="1324"/>
        <v>25</v>
      </c>
    </row>
    <row r="8580" spans="1:2" ht="15" customHeight="1" x14ac:dyDescent="0.3">
      <c r="A8580" t="s">
        <v>7945</v>
      </c>
      <c r="B8580">
        <f t="shared" si="1324"/>
        <v>25</v>
      </c>
    </row>
    <row r="8581" spans="1:2" ht="15" customHeight="1" x14ac:dyDescent="0.3">
      <c r="A8581" t="s">
        <v>7946</v>
      </c>
      <c r="B8581">
        <f t="shared" si="1324"/>
        <v>25</v>
      </c>
    </row>
    <row r="8582" spans="1:2" ht="15" customHeight="1" x14ac:dyDescent="0.3">
      <c r="A8582" t="s">
        <v>7947</v>
      </c>
      <c r="B8582">
        <f t="shared" si="1324"/>
        <v>30</v>
      </c>
    </row>
    <row r="8583" spans="1:2" ht="15" customHeight="1" x14ac:dyDescent="0.3">
      <c r="A8583" t="s">
        <v>7948</v>
      </c>
      <c r="B8583">
        <f t="shared" si="1324"/>
        <v>25</v>
      </c>
    </row>
    <row r="8584" spans="1:2" ht="15" customHeight="1" x14ac:dyDescent="0.3">
      <c r="A8584" t="s">
        <v>7949</v>
      </c>
      <c r="B8584">
        <f t="shared" si="1324"/>
        <v>25</v>
      </c>
    </row>
    <row r="8585" spans="1:2" ht="15" customHeight="1" x14ac:dyDescent="0.3">
      <c r="A8585" t="s">
        <v>7950</v>
      </c>
      <c r="B8585">
        <f t="shared" si="1324"/>
        <v>25</v>
      </c>
    </row>
    <row r="8586" spans="1:2" ht="15" customHeight="1" x14ac:dyDescent="0.3">
      <c r="A8586" t="s">
        <v>7951</v>
      </c>
      <c r="B8586">
        <f t="shared" si="1324"/>
        <v>25</v>
      </c>
    </row>
    <row r="8587" spans="1:2" ht="15" customHeight="1" x14ac:dyDescent="0.3">
      <c r="A8587" t="s">
        <v>7952</v>
      </c>
      <c r="B8587">
        <f t="shared" si="1324"/>
        <v>30</v>
      </c>
    </row>
    <row r="8588" spans="1:2" ht="15" customHeight="1" x14ac:dyDescent="0.3">
      <c r="A8588" t="s">
        <v>7953</v>
      </c>
      <c r="B8588">
        <f t="shared" si="1324"/>
        <v>30</v>
      </c>
    </row>
    <row r="8589" spans="1:2" ht="15" customHeight="1" x14ac:dyDescent="0.3">
      <c r="A8589" t="s">
        <v>7954</v>
      </c>
      <c r="B8589">
        <f t="shared" si="1324"/>
        <v>25</v>
      </c>
    </row>
    <row r="8590" spans="1:2" ht="15" customHeight="1" x14ac:dyDescent="0.3">
      <c r="A8590" t="s">
        <v>7955</v>
      </c>
      <c r="B8590">
        <f>F2146</f>
        <v>25</v>
      </c>
    </row>
    <row r="8591" spans="1:2" ht="15" customHeight="1" x14ac:dyDescent="0.3">
      <c r="A8591" t="s">
        <v>7956</v>
      </c>
      <c r="B8591">
        <f>F2147</f>
        <v>25</v>
      </c>
    </row>
    <row r="8592" spans="1:2" ht="15" customHeight="1" x14ac:dyDescent="0.3">
      <c r="A8592" t="s">
        <v>7957</v>
      </c>
      <c r="B8592">
        <f>F2147</f>
        <v>25</v>
      </c>
    </row>
    <row r="8593" spans="1:2" ht="15" customHeight="1" x14ac:dyDescent="0.3">
      <c r="A8593" t="s">
        <v>7958</v>
      </c>
      <c r="B8593">
        <f>F2147</f>
        <v>25</v>
      </c>
    </row>
    <row r="8594" spans="1:2" ht="15" customHeight="1" x14ac:dyDescent="0.3">
      <c r="A8594" t="s">
        <v>10819</v>
      </c>
      <c r="B8594">
        <f>F2224</f>
        <v>25</v>
      </c>
    </row>
    <row r="8595" spans="1:2" ht="15" customHeight="1" x14ac:dyDescent="0.3">
      <c r="A8595" t="s">
        <v>10820</v>
      </c>
      <c r="B8595">
        <f>F2224</f>
        <v>25</v>
      </c>
    </row>
    <row r="8596" spans="1:2" ht="15" customHeight="1" x14ac:dyDescent="0.3">
      <c r="A8596" t="s">
        <v>10821</v>
      </c>
      <c r="B8596">
        <f>F2224</f>
        <v>25</v>
      </c>
    </row>
    <row r="8597" spans="1:2" ht="15" customHeight="1" x14ac:dyDescent="0.3">
      <c r="A8597" t="s">
        <v>10822</v>
      </c>
      <c r="B8597">
        <f>F2224</f>
        <v>25</v>
      </c>
    </row>
    <row r="8598" spans="1:2" ht="15" customHeight="1" x14ac:dyDescent="0.3">
      <c r="A8598" t="s">
        <v>10823</v>
      </c>
      <c r="B8598">
        <f>F2224</f>
        <v>25</v>
      </c>
    </row>
    <row r="8599" spans="1:2" ht="15" customHeight="1" x14ac:dyDescent="0.3">
      <c r="A8599" t="s">
        <v>7959</v>
      </c>
      <c r="B8599">
        <f>F2147</f>
        <v>25</v>
      </c>
    </row>
    <row r="8600" spans="1:2" ht="15" customHeight="1" x14ac:dyDescent="0.3">
      <c r="A8600" t="s">
        <v>10804</v>
      </c>
      <c r="B8600">
        <f>F2222</f>
        <v>25</v>
      </c>
    </row>
    <row r="8601" spans="1:2" ht="15" customHeight="1" x14ac:dyDescent="0.3">
      <c r="A8601" t="s">
        <v>10807</v>
      </c>
      <c r="B8601">
        <f>F2222</f>
        <v>25</v>
      </c>
    </row>
    <row r="8602" spans="1:2" ht="15" customHeight="1" x14ac:dyDescent="0.3">
      <c r="A8602" t="s">
        <v>10805</v>
      </c>
      <c r="B8602">
        <f>F2222</f>
        <v>25</v>
      </c>
    </row>
    <row r="8603" spans="1:2" ht="15" customHeight="1" x14ac:dyDescent="0.3">
      <c r="A8603" t="s">
        <v>10806</v>
      </c>
      <c r="B8603">
        <f>F2222</f>
        <v>25</v>
      </c>
    </row>
    <row r="8604" spans="1:2" ht="15" customHeight="1" x14ac:dyDescent="0.3">
      <c r="A8604" t="s">
        <v>10808</v>
      </c>
      <c r="B8604">
        <f>F2222</f>
        <v>25</v>
      </c>
    </row>
    <row r="8605" spans="1:2" ht="15" customHeight="1" x14ac:dyDescent="0.3">
      <c r="A8605" t="s">
        <v>7960</v>
      </c>
      <c r="B8605">
        <f>F2147</f>
        <v>25</v>
      </c>
    </row>
    <row r="8606" spans="1:2" ht="15" customHeight="1" x14ac:dyDescent="0.3">
      <c r="A8606" t="s">
        <v>7961</v>
      </c>
      <c r="B8606">
        <f>F2226</f>
        <v>25</v>
      </c>
    </row>
    <row r="8607" spans="1:2" ht="15" customHeight="1" x14ac:dyDescent="0.3">
      <c r="A8607" t="s">
        <v>7962</v>
      </c>
      <c r="B8607">
        <f>F2226</f>
        <v>25</v>
      </c>
    </row>
    <row r="8608" spans="1:2" ht="15" customHeight="1" x14ac:dyDescent="0.3">
      <c r="A8608" t="s">
        <v>7963</v>
      </c>
      <c r="B8608">
        <f>F2148</f>
        <v>30</v>
      </c>
    </row>
    <row r="8609" spans="1:2" ht="15" customHeight="1" x14ac:dyDescent="0.3">
      <c r="A8609" t="s">
        <v>7964</v>
      </c>
      <c r="B8609">
        <f>F2148</f>
        <v>30</v>
      </c>
    </row>
    <row r="8610" spans="1:2" ht="15" customHeight="1" x14ac:dyDescent="0.3">
      <c r="A8610" t="s">
        <v>7965</v>
      </c>
      <c r="B8610">
        <f>F2149</f>
        <v>30</v>
      </c>
    </row>
    <row r="8611" spans="1:2" ht="15" customHeight="1" x14ac:dyDescent="0.3">
      <c r="A8611" t="s">
        <v>7966</v>
      </c>
      <c r="B8611">
        <f>F2149</f>
        <v>30</v>
      </c>
    </row>
    <row r="8612" spans="1:2" ht="15" customHeight="1" x14ac:dyDescent="0.3">
      <c r="A8612" t="s">
        <v>10824</v>
      </c>
      <c r="B8612">
        <f>F2224</f>
        <v>25</v>
      </c>
    </row>
    <row r="8613" spans="1:2" ht="15" customHeight="1" x14ac:dyDescent="0.3">
      <c r="A8613" t="s">
        <v>10825</v>
      </c>
      <c r="B8613">
        <f>F2224</f>
        <v>25</v>
      </c>
    </row>
    <row r="8614" spans="1:2" ht="15" customHeight="1" x14ac:dyDescent="0.3">
      <c r="A8614" t="s">
        <v>10826</v>
      </c>
      <c r="B8614">
        <f>F2224</f>
        <v>25</v>
      </c>
    </row>
    <row r="8615" spans="1:2" ht="15" customHeight="1" x14ac:dyDescent="0.3">
      <c r="A8615" t="s">
        <v>10827</v>
      </c>
      <c r="B8615">
        <f>F2224</f>
        <v>25</v>
      </c>
    </row>
    <row r="8616" spans="1:2" ht="15" customHeight="1" x14ac:dyDescent="0.3">
      <c r="A8616" t="s">
        <v>10828</v>
      </c>
      <c r="B8616">
        <f>F2224</f>
        <v>25</v>
      </c>
    </row>
    <row r="8617" spans="1:2" ht="15" customHeight="1" x14ac:dyDescent="0.3">
      <c r="A8617" t="s">
        <v>7967</v>
      </c>
      <c r="B8617">
        <f>F2215</f>
        <v>25</v>
      </c>
    </row>
    <row r="8618" spans="1:2" ht="15" customHeight="1" x14ac:dyDescent="0.3">
      <c r="A8618" t="s">
        <v>7968</v>
      </c>
      <c r="B8618">
        <f>F2149</f>
        <v>30</v>
      </c>
    </row>
    <row r="8619" spans="1:2" ht="15" customHeight="1" x14ac:dyDescent="0.3">
      <c r="A8619" t="s">
        <v>7969</v>
      </c>
      <c r="B8619">
        <f>F2150</f>
        <v>30</v>
      </c>
    </row>
    <row r="8620" spans="1:2" ht="15" customHeight="1" x14ac:dyDescent="0.3">
      <c r="A8620" t="s">
        <v>7970</v>
      </c>
      <c r="B8620">
        <f>F2150</f>
        <v>30</v>
      </c>
    </row>
    <row r="8621" spans="1:2" ht="15" customHeight="1" x14ac:dyDescent="0.3">
      <c r="A8621" t="s">
        <v>7971</v>
      </c>
      <c r="B8621">
        <f>F2150</f>
        <v>30</v>
      </c>
    </row>
    <row r="8622" spans="1:2" ht="15" customHeight="1" x14ac:dyDescent="0.3">
      <c r="A8622" t="s">
        <v>7972</v>
      </c>
      <c r="B8622">
        <f>F2151</f>
        <v>25</v>
      </c>
    </row>
    <row r="8623" spans="1:2" ht="15" customHeight="1" x14ac:dyDescent="0.3">
      <c r="A8623" t="s">
        <v>7973</v>
      </c>
      <c r="B8623">
        <f>F2152</f>
        <v>25</v>
      </c>
    </row>
    <row r="8624" spans="1:2" ht="15" customHeight="1" x14ac:dyDescent="0.3">
      <c r="A8624" t="s">
        <v>7974</v>
      </c>
      <c r="B8624">
        <f>F2153</f>
        <v>25</v>
      </c>
    </row>
    <row r="8625" spans="1:2" ht="15" customHeight="1" x14ac:dyDescent="0.3">
      <c r="A8625" t="s">
        <v>7975</v>
      </c>
      <c r="B8625">
        <f>F2153</f>
        <v>25</v>
      </c>
    </row>
    <row r="8626" spans="1:2" ht="15" customHeight="1" x14ac:dyDescent="0.3">
      <c r="A8626" t="s">
        <v>7976</v>
      </c>
      <c r="B8626">
        <f>F2214</f>
        <v>30</v>
      </c>
    </row>
    <row r="8627" spans="1:2" ht="15" customHeight="1" x14ac:dyDescent="0.3">
      <c r="A8627" t="s">
        <v>7977</v>
      </c>
      <c r="B8627">
        <f>F2214</f>
        <v>30</v>
      </c>
    </row>
    <row r="8628" spans="1:2" ht="15" customHeight="1" x14ac:dyDescent="0.3">
      <c r="A8628" t="s">
        <v>7978</v>
      </c>
      <c r="B8628">
        <f>F2214</f>
        <v>30</v>
      </c>
    </row>
    <row r="8629" spans="1:2" ht="15" customHeight="1" x14ac:dyDescent="0.3">
      <c r="A8629" t="s">
        <v>7979</v>
      </c>
      <c r="B8629">
        <f>F2215</f>
        <v>25</v>
      </c>
    </row>
    <row r="8630" spans="1:2" ht="15" customHeight="1" x14ac:dyDescent="0.3">
      <c r="A8630" t="s">
        <v>7980</v>
      </c>
      <c r="B8630">
        <f>F2216</f>
        <v>25</v>
      </c>
    </row>
    <row r="8631" spans="1:2" ht="15" customHeight="1" x14ac:dyDescent="0.3">
      <c r="A8631" t="s">
        <v>7981</v>
      </c>
      <c r="B8631">
        <f>F2216</f>
        <v>25</v>
      </c>
    </row>
    <row r="8632" spans="1:2" ht="15" customHeight="1" x14ac:dyDescent="0.3">
      <c r="A8632" t="s">
        <v>7982</v>
      </c>
      <c r="B8632">
        <f>F2216</f>
        <v>25</v>
      </c>
    </row>
    <row r="8633" spans="1:2" ht="15" customHeight="1" x14ac:dyDescent="0.3">
      <c r="A8633" t="s">
        <v>7983</v>
      </c>
      <c r="B8633">
        <f>F2216</f>
        <v>25</v>
      </c>
    </row>
    <row r="8634" spans="1:2" ht="15" customHeight="1" x14ac:dyDescent="0.3">
      <c r="A8634" t="s">
        <v>7984</v>
      </c>
      <c r="B8634">
        <f>F2217</f>
        <v>30</v>
      </c>
    </row>
    <row r="8635" spans="1:2" ht="15" customHeight="1" x14ac:dyDescent="0.3">
      <c r="A8635" t="s">
        <v>7985</v>
      </c>
      <c r="B8635">
        <f>F2217</f>
        <v>30</v>
      </c>
    </row>
    <row r="8636" spans="1:2" ht="15" customHeight="1" x14ac:dyDescent="0.3">
      <c r="A8636" t="s">
        <v>7986</v>
      </c>
      <c r="B8636">
        <f>F2217</f>
        <v>30</v>
      </c>
    </row>
    <row r="8637" spans="1:2" ht="15" customHeight="1" x14ac:dyDescent="0.3">
      <c r="A8637" t="s">
        <v>7987</v>
      </c>
      <c r="B8637">
        <f>F2217</f>
        <v>30</v>
      </c>
    </row>
    <row r="8638" spans="1:2" ht="15" customHeight="1" x14ac:dyDescent="0.3">
      <c r="A8638" t="s">
        <v>7988</v>
      </c>
      <c r="B8638">
        <f>F2218</f>
        <v>0</v>
      </c>
    </row>
    <row r="8639" spans="1:2" ht="15" customHeight="1" x14ac:dyDescent="0.3">
      <c r="A8639" t="s">
        <v>7989</v>
      </c>
      <c r="B8639">
        <f>F2219</f>
        <v>30</v>
      </c>
    </row>
    <row r="8640" spans="1:2" ht="15" customHeight="1" x14ac:dyDescent="0.3">
      <c r="A8640" t="s">
        <v>7990</v>
      </c>
      <c r="B8640">
        <f>F2219</f>
        <v>30</v>
      </c>
    </row>
    <row r="8641" spans="1:2" ht="15" customHeight="1" x14ac:dyDescent="0.3">
      <c r="A8641" t="s">
        <v>7991</v>
      </c>
      <c r="B8641">
        <f>F2220</f>
        <v>25</v>
      </c>
    </row>
    <row r="8642" spans="1:2" ht="15" customHeight="1" x14ac:dyDescent="0.3">
      <c r="A8642" t="s">
        <v>7992</v>
      </c>
      <c r="B8642">
        <f>F2221</f>
        <v>25</v>
      </c>
    </row>
    <row r="8643" spans="1:2" ht="15" customHeight="1" x14ac:dyDescent="0.3">
      <c r="A8643" t="s">
        <v>7993</v>
      </c>
      <c r="B8643">
        <f>F2223</f>
        <v>25</v>
      </c>
    </row>
    <row r="8644" spans="1:2" ht="15" customHeight="1" x14ac:dyDescent="0.3">
      <c r="A8644" t="s">
        <v>7994</v>
      </c>
      <c r="B8644">
        <f>F2225</f>
        <v>25</v>
      </c>
    </row>
    <row r="8645" spans="1:2" ht="15" customHeight="1" x14ac:dyDescent="0.3">
      <c r="A8645" t="s">
        <v>10830</v>
      </c>
      <c r="B8645">
        <f>F2225</f>
        <v>25</v>
      </c>
    </row>
    <row r="8646" spans="1:2" ht="15" customHeight="1" x14ac:dyDescent="0.3">
      <c r="A8646" t="s">
        <v>10831</v>
      </c>
      <c r="B8646">
        <f>F2225</f>
        <v>25</v>
      </c>
    </row>
    <row r="8647" spans="1:2" ht="15" customHeight="1" x14ac:dyDescent="0.3">
      <c r="A8647" t="s">
        <v>10832</v>
      </c>
      <c r="B8647">
        <f>F2225</f>
        <v>25</v>
      </c>
    </row>
    <row r="8648" spans="1:2" ht="15" customHeight="1" x14ac:dyDescent="0.3">
      <c r="A8648" t="s">
        <v>10833</v>
      </c>
      <c r="B8648">
        <f>F2225</f>
        <v>25</v>
      </c>
    </row>
    <row r="8649" spans="1:2" ht="15" customHeight="1" x14ac:dyDescent="0.3">
      <c r="A8649" t="s">
        <v>10834</v>
      </c>
      <c r="B8649">
        <f>F2225</f>
        <v>25</v>
      </c>
    </row>
    <row r="8650" spans="1:2" ht="15" customHeight="1" x14ac:dyDescent="0.3">
      <c r="A8650" t="s">
        <v>10835</v>
      </c>
      <c r="B8650">
        <f>F2225</f>
        <v>25</v>
      </c>
    </row>
    <row r="8651" spans="1:2" ht="15" customHeight="1" x14ac:dyDescent="0.3">
      <c r="A8651" t="s">
        <v>10836</v>
      </c>
      <c r="B8651">
        <f>F2225</f>
        <v>25</v>
      </c>
    </row>
    <row r="8652" spans="1:2" ht="15" customHeight="1" x14ac:dyDescent="0.3">
      <c r="A8652" t="s">
        <v>10837</v>
      </c>
      <c r="B8652">
        <f>F2225</f>
        <v>25</v>
      </c>
    </row>
    <row r="8653" spans="1:2" ht="15" customHeight="1" x14ac:dyDescent="0.3">
      <c r="A8653" t="s">
        <v>10838</v>
      </c>
      <c r="B8653">
        <f>F2225</f>
        <v>25</v>
      </c>
    </row>
    <row r="8654" spans="1:2" ht="15" customHeight="1" x14ac:dyDescent="0.3">
      <c r="A8654" t="s">
        <v>10839</v>
      </c>
      <c r="B8654">
        <f>F2225</f>
        <v>25</v>
      </c>
    </row>
    <row r="8655" spans="1:2" ht="15" customHeight="1" x14ac:dyDescent="0.3">
      <c r="A8655" t="s">
        <v>7995</v>
      </c>
      <c r="B8655">
        <f>F2227</f>
        <v>25</v>
      </c>
    </row>
    <row r="8656" spans="1:2" ht="15" customHeight="1" x14ac:dyDescent="0.3">
      <c r="A8656" t="s">
        <v>7996</v>
      </c>
      <c r="B8656">
        <f>F2227</f>
        <v>25</v>
      </c>
    </row>
    <row r="8657" spans="1:2" ht="15" customHeight="1" x14ac:dyDescent="0.3">
      <c r="A8657" t="s">
        <v>7997</v>
      </c>
      <c r="B8657">
        <f>F2228</f>
        <v>25</v>
      </c>
    </row>
    <row r="8658" spans="1:2" ht="15" customHeight="1" x14ac:dyDescent="0.3">
      <c r="A8658" t="s">
        <v>7998</v>
      </c>
      <c r="B8658">
        <f>F2229</f>
        <v>30</v>
      </c>
    </row>
    <row r="8659" spans="1:2" ht="15" customHeight="1" x14ac:dyDescent="0.3">
      <c r="A8659" t="s">
        <v>7999</v>
      </c>
      <c r="B8659">
        <f>F2230</f>
        <v>30</v>
      </c>
    </row>
    <row r="8660" spans="1:2" ht="15" customHeight="1" x14ac:dyDescent="0.3">
      <c r="A8660" t="s">
        <v>8000</v>
      </c>
      <c r="B8660">
        <f>F2231</f>
        <v>30</v>
      </c>
    </row>
    <row r="8661" spans="1:2" ht="15" customHeight="1" x14ac:dyDescent="0.3">
      <c r="A8661" t="s">
        <v>10595</v>
      </c>
      <c r="B8661">
        <f t="shared" ref="B8661:B8666" si="1325">F2154</f>
        <v>25</v>
      </c>
    </row>
    <row r="8662" spans="1:2" ht="15" customHeight="1" x14ac:dyDescent="0.3">
      <c r="A8662" t="s">
        <v>10596</v>
      </c>
      <c r="B8662">
        <f t="shared" si="1325"/>
        <v>25</v>
      </c>
    </row>
    <row r="8663" spans="1:2" ht="15" customHeight="1" x14ac:dyDescent="0.3">
      <c r="A8663" t="s">
        <v>8001</v>
      </c>
      <c r="B8663">
        <f t="shared" si="1325"/>
        <v>30</v>
      </c>
    </row>
    <row r="8664" spans="1:2" ht="15" customHeight="1" x14ac:dyDescent="0.3">
      <c r="A8664" t="s">
        <v>8002</v>
      </c>
      <c r="B8664">
        <f t="shared" si="1325"/>
        <v>25</v>
      </c>
    </row>
    <row r="8665" spans="1:2" ht="15" customHeight="1" x14ac:dyDescent="0.3">
      <c r="A8665" t="s">
        <v>8003</v>
      </c>
      <c r="B8665">
        <f t="shared" si="1325"/>
        <v>30</v>
      </c>
    </row>
    <row r="8666" spans="1:2" ht="15" customHeight="1" x14ac:dyDescent="0.3">
      <c r="A8666" t="s">
        <v>8004</v>
      </c>
      <c r="B8666">
        <f t="shared" si="1325"/>
        <v>25</v>
      </c>
    </row>
    <row r="8667" spans="1:2" ht="15" customHeight="1" x14ac:dyDescent="0.3">
      <c r="A8667" t="s">
        <v>8005</v>
      </c>
      <c r="B8667">
        <f>F2158</f>
        <v>30</v>
      </c>
    </row>
    <row r="8668" spans="1:2" ht="15" customHeight="1" x14ac:dyDescent="0.3">
      <c r="A8668" t="s">
        <v>8006</v>
      </c>
      <c r="B8668">
        <f>F2160</f>
        <v>25</v>
      </c>
    </row>
    <row r="8669" spans="1:2" ht="15" customHeight="1" x14ac:dyDescent="0.3">
      <c r="A8669" t="s">
        <v>8007</v>
      </c>
      <c r="B8669">
        <f>F2161</f>
        <v>30</v>
      </c>
    </row>
    <row r="8670" spans="1:2" ht="15" customHeight="1" x14ac:dyDescent="0.3">
      <c r="A8670" t="s">
        <v>8008</v>
      </c>
      <c r="B8670">
        <f>F2162</f>
        <v>30</v>
      </c>
    </row>
    <row r="8671" spans="1:2" ht="15" customHeight="1" x14ac:dyDescent="0.3">
      <c r="A8671" t="s">
        <v>8009</v>
      </c>
      <c r="B8671">
        <f>F2163</f>
        <v>25</v>
      </c>
    </row>
    <row r="8672" spans="1:2" ht="15" customHeight="1" x14ac:dyDescent="0.3">
      <c r="A8672" s="62" t="s">
        <v>12421</v>
      </c>
      <c r="B8672" s="62">
        <f>F2164</f>
        <v>25</v>
      </c>
    </row>
    <row r="8673" spans="1:2" ht="15" customHeight="1" x14ac:dyDescent="0.3">
      <c r="A8673" s="62" t="s">
        <v>12422</v>
      </c>
      <c r="B8673" s="62">
        <f>F2164</f>
        <v>25</v>
      </c>
    </row>
    <row r="8674" spans="1:2" ht="15" customHeight="1" x14ac:dyDescent="0.3">
      <c r="A8674" s="62" t="s">
        <v>12423</v>
      </c>
      <c r="B8674" s="62">
        <f>F2164</f>
        <v>25</v>
      </c>
    </row>
    <row r="8675" spans="1:2" ht="15" customHeight="1" x14ac:dyDescent="0.3">
      <c r="A8675" s="62" t="s">
        <v>12424</v>
      </c>
      <c r="B8675" s="62">
        <f>F2164</f>
        <v>25</v>
      </c>
    </row>
    <row r="8676" spans="1:2" ht="15" customHeight="1" x14ac:dyDescent="0.3">
      <c r="A8676" s="62" t="s">
        <v>12425</v>
      </c>
      <c r="B8676" s="62">
        <f>F2164</f>
        <v>25</v>
      </c>
    </row>
    <row r="8677" spans="1:2" ht="15" customHeight="1" x14ac:dyDescent="0.3">
      <c r="A8677" t="s">
        <v>8010</v>
      </c>
      <c r="B8677">
        <f>F2165</f>
        <v>25</v>
      </c>
    </row>
    <row r="8678" spans="1:2" ht="15" customHeight="1" x14ac:dyDescent="0.3">
      <c r="A8678" t="s">
        <v>8011</v>
      </c>
      <c r="B8678">
        <f>F2169</f>
        <v>25</v>
      </c>
    </row>
    <row r="8679" spans="1:2" ht="15" customHeight="1" x14ac:dyDescent="0.3">
      <c r="A8679" t="s">
        <v>8012</v>
      </c>
      <c r="B8679">
        <f>F2166</f>
        <v>25</v>
      </c>
    </row>
    <row r="8680" spans="1:2" ht="15" customHeight="1" x14ac:dyDescent="0.3">
      <c r="A8680" t="s">
        <v>8013</v>
      </c>
      <c r="B8680">
        <f>F2166</f>
        <v>25</v>
      </c>
    </row>
    <row r="8681" spans="1:2" ht="15" customHeight="1" x14ac:dyDescent="0.3">
      <c r="A8681" t="s">
        <v>8014</v>
      </c>
      <c r="B8681">
        <f>F2166</f>
        <v>25</v>
      </c>
    </row>
    <row r="8682" spans="1:2" ht="15" customHeight="1" x14ac:dyDescent="0.3">
      <c r="A8682" t="s">
        <v>8015</v>
      </c>
      <c r="B8682">
        <f>F2166</f>
        <v>25</v>
      </c>
    </row>
    <row r="8683" spans="1:2" ht="15" customHeight="1" x14ac:dyDescent="0.3">
      <c r="A8683" t="s">
        <v>8016</v>
      </c>
      <c r="B8683">
        <f>F2167</f>
        <v>25</v>
      </c>
    </row>
    <row r="8684" spans="1:2" ht="15" customHeight="1" x14ac:dyDescent="0.3">
      <c r="A8684" t="s">
        <v>8017</v>
      </c>
      <c r="B8684">
        <f t="shared" ref="B8684:B8690" si="1326">F2167</f>
        <v>25</v>
      </c>
    </row>
    <row r="8685" spans="1:2" ht="15" customHeight="1" x14ac:dyDescent="0.3">
      <c r="A8685" t="s">
        <v>8018</v>
      </c>
      <c r="B8685">
        <f t="shared" si="1326"/>
        <v>25</v>
      </c>
    </row>
    <row r="8686" spans="1:2" ht="15" customHeight="1" x14ac:dyDescent="0.3">
      <c r="A8686" t="s">
        <v>8019</v>
      </c>
      <c r="B8686">
        <f t="shared" si="1326"/>
        <v>25</v>
      </c>
    </row>
    <row r="8687" spans="1:2" ht="15" customHeight="1" x14ac:dyDescent="0.3">
      <c r="A8687" t="s">
        <v>8020</v>
      </c>
      <c r="B8687">
        <f t="shared" si="1326"/>
        <v>25</v>
      </c>
    </row>
    <row r="8688" spans="1:2" ht="15" customHeight="1" x14ac:dyDescent="0.3">
      <c r="A8688" t="s">
        <v>8021</v>
      </c>
      <c r="B8688">
        <f t="shared" si="1326"/>
        <v>25</v>
      </c>
    </row>
    <row r="8689" spans="1:2" ht="15" customHeight="1" x14ac:dyDescent="0.3">
      <c r="A8689" t="s">
        <v>8022</v>
      </c>
      <c r="B8689">
        <f t="shared" si="1326"/>
        <v>25</v>
      </c>
    </row>
    <row r="8690" spans="1:2" ht="15" customHeight="1" x14ac:dyDescent="0.3">
      <c r="A8690" t="s">
        <v>8023</v>
      </c>
      <c r="B8690">
        <f t="shared" si="1326"/>
        <v>25</v>
      </c>
    </row>
    <row r="8691" spans="1:2" ht="15" customHeight="1" x14ac:dyDescent="0.3">
      <c r="A8691" t="s">
        <v>8024</v>
      </c>
      <c r="B8691">
        <f>F2173</f>
        <v>25</v>
      </c>
    </row>
    <row r="8692" spans="1:2" ht="15" customHeight="1" x14ac:dyDescent="0.3">
      <c r="A8692" t="s">
        <v>8025</v>
      </c>
      <c r="B8692">
        <f>F2174</f>
        <v>25</v>
      </c>
    </row>
    <row r="8693" spans="1:2" ht="15" customHeight="1" x14ac:dyDescent="0.3">
      <c r="A8693" t="s">
        <v>8026</v>
      </c>
      <c r="B8693">
        <f>F2174</f>
        <v>25</v>
      </c>
    </row>
    <row r="8694" spans="1:2" ht="15" customHeight="1" x14ac:dyDescent="0.3">
      <c r="A8694" t="s">
        <v>8027</v>
      </c>
      <c r="B8694">
        <f>F2175</f>
        <v>25</v>
      </c>
    </row>
    <row r="8695" spans="1:2" ht="15" customHeight="1" x14ac:dyDescent="0.3">
      <c r="A8695" t="s">
        <v>8028</v>
      </c>
      <c r="B8695">
        <f>F2176</f>
        <v>25</v>
      </c>
    </row>
    <row r="8696" spans="1:2" ht="15" customHeight="1" x14ac:dyDescent="0.3">
      <c r="A8696" t="s">
        <v>8029</v>
      </c>
      <c r="B8696">
        <f>F2177</f>
        <v>25</v>
      </c>
    </row>
    <row r="8697" spans="1:2" ht="15" customHeight="1" x14ac:dyDescent="0.3">
      <c r="A8697" t="s">
        <v>8030</v>
      </c>
      <c r="B8697">
        <f>F2177</f>
        <v>25</v>
      </c>
    </row>
    <row r="8698" spans="1:2" ht="15" customHeight="1" x14ac:dyDescent="0.3">
      <c r="A8698" t="s">
        <v>8031</v>
      </c>
      <c r="B8698">
        <f>F2178</f>
        <v>25</v>
      </c>
    </row>
    <row r="8699" spans="1:2" ht="15" customHeight="1" x14ac:dyDescent="0.3">
      <c r="A8699" t="s">
        <v>8032</v>
      </c>
      <c r="B8699">
        <f>F2178</f>
        <v>25</v>
      </c>
    </row>
    <row r="8700" spans="1:2" ht="15" customHeight="1" x14ac:dyDescent="0.3">
      <c r="A8700" t="s">
        <v>8033</v>
      </c>
      <c r="B8700">
        <f>F2178</f>
        <v>25</v>
      </c>
    </row>
    <row r="8701" spans="1:2" ht="15" customHeight="1" x14ac:dyDescent="0.3">
      <c r="A8701" t="s">
        <v>8034</v>
      </c>
      <c r="B8701">
        <f t="shared" ref="B8701:B8715" si="1327">F2178</f>
        <v>25</v>
      </c>
    </row>
    <row r="8702" spans="1:2" ht="15" customHeight="1" x14ac:dyDescent="0.3">
      <c r="A8702" t="s">
        <v>8035</v>
      </c>
      <c r="B8702">
        <f t="shared" si="1327"/>
        <v>25</v>
      </c>
    </row>
    <row r="8703" spans="1:2" ht="15" customHeight="1" x14ac:dyDescent="0.3">
      <c r="A8703" t="s">
        <v>8036</v>
      </c>
      <c r="B8703">
        <f t="shared" si="1327"/>
        <v>25</v>
      </c>
    </row>
    <row r="8704" spans="1:2" ht="15" customHeight="1" x14ac:dyDescent="0.3">
      <c r="A8704" t="s">
        <v>8037</v>
      </c>
      <c r="B8704">
        <f t="shared" si="1327"/>
        <v>25</v>
      </c>
    </row>
    <row r="8705" spans="1:2" ht="15" customHeight="1" x14ac:dyDescent="0.3">
      <c r="A8705" t="s">
        <v>8038</v>
      </c>
      <c r="B8705">
        <f t="shared" si="1327"/>
        <v>35</v>
      </c>
    </row>
    <row r="8706" spans="1:2" ht="15" customHeight="1" x14ac:dyDescent="0.3">
      <c r="A8706" t="s">
        <v>8039</v>
      </c>
      <c r="B8706">
        <f t="shared" si="1327"/>
        <v>30</v>
      </c>
    </row>
    <row r="8707" spans="1:2" ht="15" customHeight="1" x14ac:dyDescent="0.3">
      <c r="A8707" t="s">
        <v>8040</v>
      </c>
      <c r="B8707">
        <f t="shared" si="1327"/>
        <v>25</v>
      </c>
    </row>
    <row r="8708" spans="1:2" ht="15" customHeight="1" x14ac:dyDescent="0.3">
      <c r="A8708" t="s">
        <v>8041</v>
      </c>
      <c r="B8708">
        <f t="shared" si="1327"/>
        <v>25</v>
      </c>
    </row>
    <row r="8709" spans="1:2" ht="15" customHeight="1" x14ac:dyDescent="0.3">
      <c r="A8709" t="s">
        <v>8042</v>
      </c>
      <c r="B8709">
        <f t="shared" si="1327"/>
        <v>25</v>
      </c>
    </row>
    <row r="8710" spans="1:2" ht="15" customHeight="1" x14ac:dyDescent="0.3">
      <c r="A8710" t="s">
        <v>8043</v>
      </c>
      <c r="B8710">
        <f t="shared" si="1327"/>
        <v>25</v>
      </c>
    </row>
    <row r="8711" spans="1:2" ht="15" customHeight="1" x14ac:dyDescent="0.3">
      <c r="A8711" t="s">
        <v>8044</v>
      </c>
      <c r="B8711">
        <f t="shared" si="1327"/>
        <v>25</v>
      </c>
    </row>
    <row r="8712" spans="1:2" ht="15" customHeight="1" x14ac:dyDescent="0.3">
      <c r="A8712" t="s">
        <v>8045</v>
      </c>
      <c r="B8712">
        <f t="shared" si="1327"/>
        <v>25</v>
      </c>
    </row>
    <row r="8713" spans="1:2" ht="15" customHeight="1" x14ac:dyDescent="0.3">
      <c r="A8713" t="s">
        <v>8046</v>
      </c>
      <c r="B8713">
        <f t="shared" si="1327"/>
        <v>25</v>
      </c>
    </row>
    <row r="8714" spans="1:2" ht="15" customHeight="1" x14ac:dyDescent="0.3">
      <c r="A8714" t="s">
        <v>8047</v>
      </c>
      <c r="B8714">
        <f t="shared" si="1327"/>
        <v>30</v>
      </c>
    </row>
    <row r="8715" spans="1:2" ht="15" customHeight="1" x14ac:dyDescent="0.3">
      <c r="A8715" t="s">
        <v>8048</v>
      </c>
      <c r="B8715">
        <f t="shared" si="1327"/>
        <v>65</v>
      </c>
    </row>
    <row r="8716" spans="1:2" ht="15" customHeight="1" x14ac:dyDescent="0.3">
      <c r="A8716" t="s">
        <v>8049</v>
      </c>
      <c r="B8716">
        <f>F2192</f>
        <v>65</v>
      </c>
    </row>
    <row r="8717" spans="1:2" ht="15" customHeight="1" x14ac:dyDescent="0.3">
      <c r="A8717" t="s">
        <v>8050</v>
      </c>
      <c r="B8717">
        <f>F2192</f>
        <v>65</v>
      </c>
    </row>
    <row r="8718" spans="1:2" ht="15" customHeight="1" x14ac:dyDescent="0.3">
      <c r="A8718" t="s">
        <v>8051</v>
      </c>
      <c r="B8718">
        <f>F2193</f>
        <v>30</v>
      </c>
    </row>
    <row r="8719" spans="1:2" ht="15" customHeight="1" x14ac:dyDescent="0.3">
      <c r="A8719" t="s">
        <v>8052</v>
      </c>
      <c r="B8719">
        <f>F2194</f>
        <v>30</v>
      </c>
    </row>
    <row r="8720" spans="1:2" ht="15" customHeight="1" x14ac:dyDescent="0.3">
      <c r="A8720" t="s">
        <v>12311</v>
      </c>
      <c r="B8720">
        <f>F2195</f>
        <v>35</v>
      </c>
    </row>
    <row r="8721" spans="1:2" ht="15" customHeight="1" x14ac:dyDescent="0.3">
      <c r="A8721" t="s">
        <v>12312</v>
      </c>
      <c r="B8721">
        <f>F2195</f>
        <v>35</v>
      </c>
    </row>
    <row r="8722" spans="1:2" ht="15" customHeight="1" x14ac:dyDescent="0.3">
      <c r="A8722" t="s">
        <v>12307</v>
      </c>
      <c r="B8722">
        <f>F2195</f>
        <v>35</v>
      </c>
    </row>
    <row r="8723" spans="1:2" ht="15" customHeight="1" x14ac:dyDescent="0.3">
      <c r="A8723" t="s">
        <v>12308</v>
      </c>
      <c r="B8723">
        <f>F2195</f>
        <v>35</v>
      </c>
    </row>
    <row r="8724" spans="1:2" ht="15" customHeight="1" x14ac:dyDescent="0.3">
      <c r="A8724" t="s">
        <v>12309</v>
      </c>
      <c r="B8724">
        <f t="shared" ref="B8724:B8730" si="1328">F2195</f>
        <v>35</v>
      </c>
    </row>
    <row r="8725" spans="1:2" ht="15" customHeight="1" x14ac:dyDescent="0.3">
      <c r="A8725" t="s">
        <v>8053</v>
      </c>
      <c r="B8725">
        <f t="shared" si="1328"/>
        <v>55</v>
      </c>
    </row>
    <row r="8726" spans="1:2" ht="15" customHeight="1" x14ac:dyDescent="0.3">
      <c r="A8726" t="s">
        <v>8054</v>
      </c>
      <c r="B8726">
        <f t="shared" si="1328"/>
        <v>50</v>
      </c>
    </row>
    <row r="8727" spans="1:2" ht="15" customHeight="1" x14ac:dyDescent="0.3">
      <c r="A8727" t="s">
        <v>8055</v>
      </c>
      <c r="B8727">
        <f t="shared" si="1328"/>
        <v>70</v>
      </c>
    </row>
    <row r="8728" spans="1:2" ht="15" customHeight="1" x14ac:dyDescent="0.3">
      <c r="A8728" t="s">
        <v>8056</v>
      </c>
      <c r="B8728">
        <f t="shared" si="1328"/>
        <v>65</v>
      </c>
    </row>
    <row r="8729" spans="1:2" ht="15" customHeight="1" x14ac:dyDescent="0.3">
      <c r="A8729" t="s">
        <v>8057</v>
      </c>
      <c r="B8729">
        <f t="shared" si="1328"/>
        <v>50</v>
      </c>
    </row>
    <row r="8730" spans="1:2" ht="15" customHeight="1" x14ac:dyDescent="0.3">
      <c r="A8730" t="s">
        <v>8058</v>
      </c>
      <c r="B8730">
        <f t="shared" si="1328"/>
        <v>30</v>
      </c>
    </row>
    <row r="8731" spans="1:2" ht="15" customHeight="1" x14ac:dyDescent="0.3">
      <c r="A8731" t="s">
        <v>8059</v>
      </c>
      <c r="B8731">
        <f t="shared" ref="B8731:B8737" si="1329">F2201</f>
        <v>30</v>
      </c>
    </row>
    <row r="8732" spans="1:2" ht="15" customHeight="1" x14ac:dyDescent="0.3">
      <c r="A8732" t="s">
        <v>8060</v>
      </c>
      <c r="B8732">
        <f t="shared" si="1329"/>
        <v>55</v>
      </c>
    </row>
    <row r="8733" spans="1:2" ht="15" customHeight="1" x14ac:dyDescent="0.3">
      <c r="A8733" t="s">
        <v>8061</v>
      </c>
      <c r="B8733">
        <f t="shared" si="1329"/>
        <v>25</v>
      </c>
    </row>
    <row r="8734" spans="1:2" ht="15" customHeight="1" x14ac:dyDescent="0.3">
      <c r="A8734" t="s">
        <v>8062</v>
      </c>
      <c r="B8734">
        <f t="shared" si="1329"/>
        <v>30</v>
      </c>
    </row>
    <row r="8735" spans="1:2" ht="15" customHeight="1" x14ac:dyDescent="0.3">
      <c r="A8735" t="s">
        <v>8063</v>
      </c>
      <c r="B8735">
        <f t="shared" si="1329"/>
        <v>30</v>
      </c>
    </row>
    <row r="8736" spans="1:2" ht="15" customHeight="1" x14ac:dyDescent="0.3">
      <c r="A8736" t="s">
        <v>8064</v>
      </c>
      <c r="B8736">
        <f t="shared" si="1329"/>
        <v>25</v>
      </c>
    </row>
    <row r="8737" spans="1:2" ht="15" customHeight="1" x14ac:dyDescent="0.3">
      <c r="A8737" t="s">
        <v>8065</v>
      </c>
      <c r="B8737">
        <f t="shared" si="1329"/>
        <v>25</v>
      </c>
    </row>
    <row r="8738" spans="1:2" ht="15" customHeight="1" x14ac:dyDescent="0.3">
      <c r="A8738" t="s">
        <v>8066</v>
      </c>
      <c r="B8738">
        <f>F2207</f>
        <v>25</v>
      </c>
    </row>
    <row r="8739" spans="1:2" ht="15" customHeight="1" x14ac:dyDescent="0.3">
      <c r="A8739" t="s">
        <v>8067</v>
      </c>
      <c r="B8739">
        <f>F2208</f>
        <v>25</v>
      </c>
    </row>
    <row r="8740" spans="1:2" ht="15" customHeight="1" x14ac:dyDescent="0.3">
      <c r="A8740" t="s">
        <v>8068</v>
      </c>
      <c r="B8740">
        <f>F2208</f>
        <v>25</v>
      </c>
    </row>
    <row r="8741" spans="1:2" ht="15" customHeight="1" x14ac:dyDescent="0.3">
      <c r="A8741" t="s">
        <v>8069</v>
      </c>
      <c r="B8741">
        <f>F2209</f>
        <v>25</v>
      </c>
    </row>
    <row r="8742" spans="1:2" ht="15" customHeight="1" x14ac:dyDescent="0.3">
      <c r="A8742" t="s">
        <v>8070</v>
      </c>
      <c r="B8742">
        <f>F2209</f>
        <v>25</v>
      </c>
    </row>
    <row r="8743" spans="1:2" ht="15" customHeight="1" x14ac:dyDescent="0.3">
      <c r="A8743" t="s">
        <v>8071</v>
      </c>
      <c r="B8743">
        <f>F2210</f>
        <v>45</v>
      </c>
    </row>
    <row r="8744" spans="1:2" ht="15" customHeight="1" x14ac:dyDescent="0.3">
      <c r="A8744" t="s">
        <v>8072</v>
      </c>
      <c r="B8744">
        <f>F2211</f>
        <v>35</v>
      </c>
    </row>
    <row r="8745" spans="1:2" ht="15" customHeight="1" x14ac:dyDescent="0.3">
      <c r="A8745" t="s">
        <v>8073</v>
      </c>
      <c r="B8745">
        <f>F2212</f>
        <v>35</v>
      </c>
    </row>
    <row r="8746" spans="1:2" ht="15" customHeight="1" x14ac:dyDescent="0.3">
      <c r="A8746" t="s">
        <v>8074</v>
      </c>
      <c r="B8746">
        <f>F2213</f>
        <v>55</v>
      </c>
    </row>
    <row r="8747" spans="1:2" ht="15" customHeight="1" x14ac:dyDescent="0.3">
      <c r="A8747" t="s">
        <v>8075</v>
      </c>
      <c r="B8747">
        <f>B8440</f>
        <v>45</v>
      </c>
    </row>
    <row r="8748" spans="1:2" ht="15" customHeight="1" x14ac:dyDescent="0.3">
      <c r="A8748" t="s">
        <v>8076</v>
      </c>
      <c r="B8748">
        <f>B8443</f>
        <v>50</v>
      </c>
    </row>
    <row r="8749" spans="1:2" ht="15" customHeight="1" x14ac:dyDescent="0.3">
      <c r="A8749" t="s">
        <v>8077</v>
      </c>
      <c r="B8749">
        <f>B8446</f>
        <v>55</v>
      </c>
    </row>
    <row r="8750" spans="1:2" ht="15" customHeight="1" x14ac:dyDescent="0.3">
      <c r="A8750" t="s">
        <v>8078</v>
      </c>
      <c r="B8750" t="e">
        <f>B8449</f>
        <v>#REF!</v>
      </c>
    </row>
    <row r="8751" spans="1:2" ht="15" customHeight="1" x14ac:dyDescent="0.3">
      <c r="A8751" t="s">
        <v>8079</v>
      </c>
      <c r="B8751" t="e">
        <f>B8452</f>
        <v>#REF!</v>
      </c>
    </row>
    <row r="8752" spans="1:2" ht="15" customHeight="1" x14ac:dyDescent="0.3">
      <c r="A8752" t="s">
        <v>8080</v>
      </c>
      <c r="B8752">
        <f>B8455</f>
        <v>45</v>
      </c>
    </row>
    <row r="8753" spans="1:2" ht="15" customHeight="1" x14ac:dyDescent="0.3">
      <c r="A8753" t="s">
        <v>8081</v>
      </c>
      <c r="B8753">
        <f>B8458</f>
        <v>50</v>
      </c>
    </row>
    <row r="8754" spans="1:2" ht="15" customHeight="1" x14ac:dyDescent="0.3">
      <c r="A8754" t="s">
        <v>8082</v>
      </c>
      <c r="B8754">
        <f>B8461</f>
        <v>70</v>
      </c>
    </row>
    <row r="8755" spans="1:2" ht="15" customHeight="1" x14ac:dyDescent="0.3">
      <c r="A8755" t="s">
        <v>8083</v>
      </c>
      <c r="B8755">
        <f>B8464</f>
        <v>70</v>
      </c>
    </row>
    <row r="8756" spans="1:2" ht="15" customHeight="1" x14ac:dyDescent="0.3">
      <c r="A8756" t="s">
        <v>8084</v>
      </c>
      <c r="B8756">
        <f>B8467</f>
        <v>60</v>
      </c>
    </row>
    <row r="8757" spans="1:2" ht="15" customHeight="1" x14ac:dyDescent="0.3">
      <c r="A8757" t="s">
        <v>8085</v>
      </c>
      <c r="B8757">
        <f>B8470</f>
        <v>80</v>
      </c>
    </row>
    <row r="8758" spans="1:2" ht="15" customHeight="1" x14ac:dyDescent="0.3">
      <c r="A8758" t="s">
        <v>8086</v>
      </c>
      <c r="B8758">
        <f>B8473</f>
        <v>90</v>
      </c>
    </row>
    <row r="8759" spans="1:2" ht="15" customHeight="1" x14ac:dyDescent="0.3">
      <c r="A8759" t="s">
        <v>8087</v>
      </c>
      <c r="B8759">
        <f>B8476</f>
        <v>150</v>
      </c>
    </row>
    <row r="8760" spans="1:2" ht="15" customHeight="1" x14ac:dyDescent="0.3">
      <c r="A8760" t="s">
        <v>8088</v>
      </c>
      <c r="B8760">
        <f>B8479</f>
        <v>150</v>
      </c>
    </row>
    <row r="8761" spans="1:2" ht="15" customHeight="1" x14ac:dyDescent="0.3">
      <c r="A8761" t="s">
        <v>8089</v>
      </c>
      <c r="B8761">
        <f>B8482</f>
        <v>190</v>
      </c>
    </row>
    <row r="8762" spans="1:2" ht="15" customHeight="1" x14ac:dyDescent="0.3">
      <c r="A8762" t="s">
        <v>8090</v>
      </c>
      <c r="B8762">
        <f>B8399</f>
        <v>25</v>
      </c>
    </row>
    <row r="8763" spans="1:2" ht="15" customHeight="1" x14ac:dyDescent="0.3">
      <c r="A8763" t="s">
        <v>8091</v>
      </c>
      <c r="B8763">
        <f>B8402</f>
        <v>25</v>
      </c>
    </row>
    <row r="8764" spans="1:2" ht="15" customHeight="1" x14ac:dyDescent="0.3">
      <c r="A8764" t="s">
        <v>8092</v>
      </c>
      <c r="B8764">
        <f>B8405</f>
        <v>25</v>
      </c>
    </row>
    <row r="8765" spans="1:2" ht="15" customHeight="1" x14ac:dyDescent="0.3">
      <c r="A8765" t="s">
        <v>8093</v>
      </c>
      <c r="B8765">
        <f>B8408</f>
        <v>30</v>
      </c>
    </row>
    <row r="8766" spans="1:2" ht="15" customHeight="1" x14ac:dyDescent="0.3">
      <c r="A8766" t="s">
        <v>8094</v>
      </c>
      <c r="B8766">
        <f>B8411</f>
        <v>30</v>
      </c>
    </row>
    <row r="8767" spans="1:2" ht="15" customHeight="1" x14ac:dyDescent="0.3">
      <c r="A8767" t="s">
        <v>8095</v>
      </c>
      <c r="B8767">
        <f>B8414</f>
        <v>30</v>
      </c>
    </row>
    <row r="8768" spans="1:2" ht="15" customHeight="1" x14ac:dyDescent="0.3">
      <c r="A8768" t="s">
        <v>8096</v>
      </c>
      <c r="B8768">
        <f>B8417</f>
        <v>30</v>
      </c>
    </row>
    <row r="8769" spans="1:2" ht="15" customHeight="1" x14ac:dyDescent="0.3">
      <c r="A8769" t="s">
        <v>8097</v>
      </c>
      <c r="B8769">
        <f>B8420</f>
        <v>35</v>
      </c>
    </row>
    <row r="8770" spans="1:2" ht="15" customHeight="1" x14ac:dyDescent="0.3">
      <c r="A8770" t="s">
        <v>8098</v>
      </c>
      <c r="B8770">
        <f>B8429</f>
        <v>35</v>
      </c>
    </row>
    <row r="8771" spans="1:2" ht="15" customHeight="1" x14ac:dyDescent="0.3">
      <c r="A8771" t="s">
        <v>8099</v>
      </c>
      <c r="B8771">
        <f>B8437</f>
        <v>35</v>
      </c>
    </row>
    <row r="8772" spans="1:2" ht="15" customHeight="1" x14ac:dyDescent="0.3">
      <c r="A8772" t="s">
        <v>8100</v>
      </c>
      <c r="B8772">
        <f>B8432</f>
        <v>35</v>
      </c>
    </row>
    <row r="8773" spans="1:2" ht="15" customHeight="1" x14ac:dyDescent="0.3">
      <c r="A8773" t="s">
        <v>8101</v>
      </c>
      <c r="B8773">
        <f>B8435</f>
        <v>45</v>
      </c>
    </row>
    <row r="8774" spans="1:2" ht="15" customHeight="1" x14ac:dyDescent="0.3">
      <c r="A8774" t="s">
        <v>8102</v>
      </c>
      <c r="B8774">
        <f t="shared" ref="B8774:B8793" si="1330">B8486</f>
        <v>25</v>
      </c>
    </row>
    <row r="8775" spans="1:2" ht="15" customHeight="1" x14ac:dyDescent="0.3">
      <c r="A8775" t="s">
        <v>8103</v>
      </c>
      <c r="B8775">
        <f t="shared" si="1330"/>
        <v>25</v>
      </c>
    </row>
    <row r="8776" spans="1:2" ht="15" customHeight="1" x14ac:dyDescent="0.3">
      <c r="A8776" t="s">
        <v>8104</v>
      </c>
      <c r="B8776">
        <f t="shared" si="1330"/>
        <v>25</v>
      </c>
    </row>
    <row r="8777" spans="1:2" ht="15" customHeight="1" x14ac:dyDescent="0.3">
      <c r="A8777" t="s">
        <v>8105</v>
      </c>
      <c r="B8777">
        <f t="shared" si="1330"/>
        <v>25</v>
      </c>
    </row>
    <row r="8778" spans="1:2" ht="15" customHeight="1" x14ac:dyDescent="0.3">
      <c r="A8778" t="s">
        <v>8106</v>
      </c>
      <c r="B8778">
        <f t="shared" si="1330"/>
        <v>25</v>
      </c>
    </row>
    <row r="8779" spans="1:2" ht="15" customHeight="1" x14ac:dyDescent="0.3">
      <c r="A8779" t="s">
        <v>8107</v>
      </c>
      <c r="B8779">
        <f t="shared" si="1330"/>
        <v>25</v>
      </c>
    </row>
    <row r="8780" spans="1:2" ht="15" customHeight="1" x14ac:dyDescent="0.3">
      <c r="A8780" t="s">
        <v>8108</v>
      </c>
      <c r="B8780">
        <f t="shared" si="1330"/>
        <v>25</v>
      </c>
    </row>
    <row r="8781" spans="1:2" ht="15" customHeight="1" x14ac:dyDescent="0.3">
      <c r="A8781" t="s">
        <v>8109</v>
      </c>
      <c r="B8781">
        <f t="shared" si="1330"/>
        <v>30</v>
      </c>
    </row>
    <row r="8782" spans="1:2" ht="15" customHeight="1" x14ac:dyDescent="0.3">
      <c r="A8782" t="s">
        <v>8110</v>
      </c>
      <c r="B8782">
        <f t="shared" si="1330"/>
        <v>55</v>
      </c>
    </row>
    <row r="8783" spans="1:2" ht="15" customHeight="1" x14ac:dyDescent="0.3">
      <c r="A8783" t="s">
        <v>8111</v>
      </c>
      <c r="B8783">
        <f t="shared" si="1330"/>
        <v>25</v>
      </c>
    </row>
    <row r="8784" spans="1:2" ht="15" customHeight="1" x14ac:dyDescent="0.3">
      <c r="A8784" t="s">
        <v>8112</v>
      </c>
      <c r="B8784">
        <f t="shared" si="1330"/>
        <v>25</v>
      </c>
    </row>
    <row r="8785" spans="1:2" ht="15" customHeight="1" x14ac:dyDescent="0.3">
      <c r="A8785" t="s">
        <v>8113</v>
      </c>
      <c r="B8785">
        <f t="shared" si="1330"/>
        <v>25</v>
      </c>
    </row>
    <row r="8786" spans="1:2" ht="15" customHeight="1" x14ac:dyDescent="0.3">
      <c r="A8786" t="s">
        <v>8114</v>
      </c>
      <c r="B8786">
        <f t="shared" si="1330"/>
        <v>25</v>
      </c>
    </row>
    <row r="8787" spans="1:2" ht="15" customHeight="1" x14ac:dyDescent="0.3">
      <c r="A8787" t="s">
        <v>8115</v>
      </c>
      <c r="B8787">
        <f t="shared" si="1330"/>
        <v>30</v>
      </c>
    </row>
    <row r="8788" spans="1:2" ht="15" customHeight="1" x14ac:dyDescent="0.3">
      <c r="A8788" t="s">
        <v>8116</v>
      </c>
      <c r="B8788">
        <f t="shared" si="1330"/>
        <v>30</v>
      </c>
    </row>
    <row r="8789" spans="1:2" ht="15" customHeight="1" x14ac:dyDescent="0.3">
      <c r="A8789" t="s">
        <v>8117</v>
      </c>
      <c r="B8789">
        <f t="shared" si="1330"/>
        <v>30</v>
      </c>
    </row>
    <row r="8790" spans="1:2" ht="15" customHeight="1" x14ac:dyDescent="0.3">
      <c r="A8790" t="s">
        <v>8118</v>
      </c>
      <c r="B8790">
        <f t="shared" si="1330"/>
        <v>25</v>
      </c>
    </row>
    <row r="8791" spans="1:2" ht="15" customHeight="1" x14ac:dyDescent="0.3">
      <c r="A8791" t="s">
        <v>8119</v>
      </c>
      <c r="B8791">
        <f t="shared" si="1330"/>
        <v>30</v>
      </c>
    </row>
    <row r="8792" spans="1:2" ht="15" customHeight="1" x14ac:dyDescent="0.3">
      <c r="A8792" t="s">
        <v>8120</v>
      </c>
      <c r="B8792">
        <f t="shared" si="1330"/>
        <v>30</v>
      </c>
    </row>
    <row r="8793" spans="1:2" ht="15" customHeight="1" x14ac:dyDescent="0.3">
      <c r="A8793" t="s">
        <v>8121</v>
      </c>
      <c r="B8793">
        <f t="shared" si="1330"/>
        <v>25</v>
      </c>
    </row>
    <row r="8794" spans="1:2" ht="15" customHeight="1" x14ac:dyDescent="0.3">
      <c r="A8794" t="s">
        <v>8122</v>
      </c>
      <c r="B8794">
        <f t="shared" ref="B8794:B8803" si="1331">B8511</f>
        <v>25</v>
      </c>
    </row>
    <row r="8795" spans="1:2" ht="15" customHeight="1" x14ac:dyDescent="0.3">
      <c r="A8795" t="s">
        <v>8123</v>
      </c>
      <c r="B8795">
        <f t="shared" si="1331"/>
        <v>25</v>
      </c>
    </row>
    <row r="8796" spans="1:2" ht="15" customHeight="1" x14ac:dyDescent="0.3">
      <c r="A8796" t="s">
        <v>8124</v>
      </c>
      <c r="B8796">
        <f t="shared" si="1331"/>
        <v>25</v>
      </c>
    </row>
    <row r="8797" spans="1:2" ht="15" customHeight="1" x14ac:dyDescent="0.3">
      <c r="A8797" t="s">
        <v>8125</v>
      </c>
      <c r="B8797">
        <f t="shared" si="1331"/>
        <v>25</v>
      </c>
    </row>
    <row r="8798" spans="1:2" ht="15" customHeight="1" x14ac:dyDescent="0.3">
      <c r="A8798" t="s">
        <v>8126</v>
      </c>
      <c r="B8798">
        <f t="shared" si="1331"/>
        <v>25</v>
      </c>
    </row>
    <row r="8799" spans="1:2" ht="15" customHeight="1" x14ac:dyDescent="0.3">
      <c r="A8799" t="s">
        <v>8127</v>
      </c>
      <c r="B8799">
        <f t="shared" si="1331"/>
        <v>25</v>
      </c>
    </row>
    <row r="8800" spans="1:2" ht="15" customHeight="1" x14ac:dyDescent="0.3">
      <c r="A8800" t="s">
        <v>8128</v>
      </c>
      <c r="B8800">
        <f t="shared" si="1331"/>
        <v>25</v>
      </c>
    </row>
    <row r="8801" spans="1:2" ht="15" customHeight="1" x14ac:dyDescent="0.3">
      <c r="A8801" t="s">
        <v>8129</v>
      </c>
      <c r="B8801">
        <f t="shared" si="1331"/>
        <v>30</v>
      </c>
    </row>
    <row r="8802" spans="1:2" ht="15" customHeight="1" x14ac:dyDescent="0.3">
      <c r="A8802" t="s">
        <v>8130</v>
      </c>
      <c r="B8802">
        <f t="shared" si="1331"/>
        <v>30</v>
      </c>
    </row>
    <row r="8803" spans="1:2" ht="15" customHeight="1" x14ac:dyDescent="0.3">
      <c r="A8803" t="s">
        <v>8131</v>
      </c>
      <c r="B8803">
        <f t="shared" si="1331"/>
        <v>30</v>
      </c>
    </row>
    <row r="8804" spans="1:2" ht="15" customHeight="1" x14ac:dyDescent="0.3">
      <c r="A8804" t="s">
        <v>8132</v>
      </c>
      <c r="B8804">
        <f>B8526</f>
        <v>25</v>
      </c>
    </row>
    <row r="8805" spans="1:2" ht="15" customHeight="1" x14ac:dyDescent="0.3">
      <c r="A8805" t="s">
        <v>8133</v>
      </c>
      <c r="B8805">
        <f>B8526</f>
        <v>25</v>
      </c>
    </row>
    <row r="8806" spans="1:2" ht="15" customHeight="1" x14ac:dyDescent="0.3">
      <c r="A8806" t="s">
        <v>8134</v>
      </c>
      <c r="B8806">
        <f>B8527</f>
        <v>30</v>
      </c>
    </row>
    <row r="8807" spans="1:2" ht="15" customHeight="1" x14ac:dyDescent="0.3">
      <c r="A8807" t="s">
        <v>8135</v>
      </c>
      <c r="B8807">
        <f>B8528</f>
        <v>35</v>
      </c>
    </row>
    <row r="8808" spans="1:2" ht="15" customHeight="1" x14ac:dyDescent="0.3">
      <c r="A8808" t="s">
        <v>8136</v>
      </c>
      <c r="B8808">
        <f>B8529</f>
        <v>25</v>
      </c>
    </row>
    <row r="8809" spans="1:2" ht="15" customHeight="1" x14ac:dyDescent="0.3">
      <c r="A8809" t="s">
        <v>8137</v>
      </c>
      <c r="B8809">
        <f>B8534</f>
        <v>25</v>
      </c>
    </row>
    <row r="8810" spans="1:2" ht="15" customHeight="1" x14ac:dyDescent="0.3">
      <c r="A8810" t="s">
        <v>8138</v>
      </c>
      <c r="B8810">
        <f>B8535</f>
        <v>25</v>
      </c>
    </row>
    <row r="8811" spans="1:2" ht="15" customHeight="1" x14ac:dyDescent="0.3">
      <c r="A8811" t="s">
        <v>8139</v>
      </c>
      <c r="B8811">
        <f>B8536</f>
        <v>25</v>
      </c>
    </row>
    <row r="8812" spans="1:2" ht="15" customHeight="1" x14ac:dyDescent="0.3">
      <c r="A8812" t="s">
        <v>8140</v>
      </c>
      <c r="B8812">
        <f>B8537</f>
        <v>25</v>
      </c>
    </row>
    <row r="8813" spans="1:2" ht="15" customHeight="1" x14ac:dyDescent="0.3">
      <c r="A8813" t="s">
        <v>8141</v>
      </c>
      <c r="B8813">
        <f t="shared" ref="B8813:B8819" si="1332">B8542</f>
        <v>30</v>
      </c>
    </row>
    <row r="8814" spans="1:2" ht="15" customHeight="1" x14ac:dyDescent="0.3">
      <c r="A8814" t="s">
        <v>8142</v>
      </c>
      <c r="B8814">
        <f t="shared" si="1332"/>
        <v>25</v>
      </c>
    </row>
    <row r="8815" spans="1:2" ht="15" customHeight="1" x14ac:dyDescent="0.3">
      <c r="A8815" t="s">
        <v>8143</v>
      </c>
      <c r="B8815">
        <f t="shared" si="1332"/>
        <v>30</v>
      </c>
    </row>
    <row r="8816" spans="1:2" ht="15" customHeight="1" x14ac:dyDescent="0.3">
      <c r="A8816" t="s">
        <v>8144</v>
      </c>
      <c r="B8816">
        <f t="shared" si="1332"/>
        <v>30</v>
      </c>
    </row>
    <row r="8817" spans="1:2" ht="15" customHeight="1" x14ac:dyDescent="0.3">
      <c r="A8817" t="s">
        <v>8145</v>
      </c>
      <c r="B8817">
        <f t="shared" si="1332"/>
        <v>25</v>
      </c>
    </row>
    <row r="8818" spans="1:2" ht="15" customHeight="1" x14ac:dyDescent="0.3">
      <c r="A8818" t="s">
        <v>8146</v>
      </c>
      <c r="B8818">
        <f t="shared" si="1332"/>
        <v>30</v>
      </c>
    </row>
    <row r="8819" spans="1:2" ht="15" customHeight="1" x14ac:dyDescent="0.3">
      <c r="A8819" t="s">
        <v>8147</v>
      </c>
      <c r="B8819">
        <f t="shared" si="1332"/>
        <v>30</v>
      </c>
    </row>
    <row r="8820" spans="1:2" ht="15" customHeight="1" x14ac:dyDescent="0.3">
      <c r="A8820" t="s">
        <v>8148</v>
      </c>
      <c r="B8820">
        <f t="shared" ref="B8820:B8828" si="1333">B8559</f>
        <v>25</v>
      </c>
    </row>
    <row r="8821" spans="1:2" ht="15" customHeight="1" x14ac:dyDescent="0.3">
      <c r="A8821" t="s">
        <v>8149</v>
      </c>
      <c r="B8821">
        <f t="shared" si="1333"/>
        <v>25</v>
      </c>
    </row>
    <row r="8822" spans="1:2" ht="15" customHeight="1" x14ac:dyDescent="0.3">
      <c r="A8822" t="s">
        <v>8150</v>
      </c>
      <c r="B8822">
        <f t="shared" si="1333"/>
        <v>25</v>
      </c>
    </row>
    <row r="8823" spans="1:2" ht="15" customHeight="1" x14ac:dyDescent="0.3">
      <c r="A8823" t="s">
        <v>8151</v>
      </c>
      <c r="B8823">
        <f t="shared" si="1333"/>
        <v>25</v>
      </c>
    </row>
    <row r="8824" spans="1:2" ht="15" customHeight="1" x14ac:dyDescent="0.3">
      <c r="A8824" t="s">
        <v>8152</v>
      </c>
      <c r="B8824">
        <f t="shared" si="1333"/>
        <v>30</v>
      </c>
    </row>
    <row r="8825" spans="1:2" ht="15" customHeight="1" x14ac:dyDescent="0.3">
      <c r="A8825" t="s">
        <v>8153</v>
      </c>
      <c r="B8825">
        <f t="shared" si="1333"/>
        <v>25</v>
      </c>
    </row>
    <row r="8826" spans="1:2" ht="15" customHeight="1" x14ac:dyDescent="0.3">
      <c r="A8826" t="s">
        <v>8154</v>
      </c>
      <c r="B8826">
        <f t="shared" si="1333"/>
        <v>25</v>
      </c>
    </row>
    <row r="8827" spans="1:2" ht="15" customHeight="1" x14ac:dyDescent="0.3">
      <c r="A8827" t="s">
        <v>8155</v>
      </c>
      <c r="B8827">
        <f t="shared" si="1333"/>
        <v>30</v>
      </c>
    </row>
    <row r="8828" spans="1:2" ht="15" customHeight="1" x14ac:dyDescent="0.3">
      <c r="A8828" t="s">
        <v>8156</v>
      </c>
      <c r="B8828">
        <f t="shared" si="1333"/>
        <v>30</v>
      </c>
    </row>
    <row r="8829" spans="1:2" ht="15" customHeight="1" x14ac:dyDescent="0.3">
      <c r="A8829" t="s">
        <v>8157</v>
      </c>
      <c r="B8829">
        <f t="shared" ref="B8829:B8849" si="1334">B8573</f>
        <v>25</v>
      </c>
    </row>
    <row r="8830" spans="1:2" ht="15" customHeight="1" x14ac:dyDescent="0.3">
      <c r="A8830" t="s">
        <v>8158</v>
      </c>
      <c r="B8830">
        <f t="shared" si="1334"/>
        <v>25</v>
      </c>
    </row>
    <row r="8831" spans="1:2" ht="15" customHeight="1" x14ac:dyDescent="0.3">
      <c r="A8831" t="s">
        <v>8159</v>
      </c>
      <c r="B8831">
        <f t="shared" si="1334"/>
        <v>25</v>
      </c>
    </row>
    <row r="8832" spans="1:2" ht="15" customHeight="1" x14ac:dyDescent="0.3">
      <c r="A8832" t="s">
        <v>8160</v>
      </c>
      <c r="B8832">
        <f t="shared" si="1334"/>
        <v>25</v>
      </c>
    </row>
    <row r="8833" spans="1:2" ht="15" customHeight="1" x14ac:dyDescent="0.3">
      <c r="A8833" t="s">
        <v>8161</v>
      </c>
      <c r="B8833">
        <f t="shared" si="1334"/>
        <v>25</v>
      </c>
    </row>
    <row r="8834" spans="1:2" ht="15" customHeight="1" x14ac:dyDescent="0.3">
      <c r="A8834" t="s">
        <v>8162</v>
      </c>
      <c r="B8834">
        <f t="shared" si="1334"/>
        <v>25</v>
      </c>
    </row>
    <row r="8835" spans="1:2" ht="15" customHeight="1" x14ac:dyDescent="0.3">
      <c r="A8835" t="s">
        <v>8163</v>
      </c>
      <c r="B8835">
        <f t="shared" si="1334"/>
        <v>25</v>
      </c>
    </row>
    <row r="8836" spans="1:2" ht="15" customHeight="1" x14ac:dyDescent="0.3">
      <c r="A8836" t="s">
        <v>8164</v>
      </c>
      <c r="B8836">
        <f t="shared" si="1334"/>
        <v>25</v>
      </c>
    </row>
    <row r="8837" spans="1:2" ht="15" customHeight="1" x14ac:dyDescent="0.3">
      <c r="A8837" t="s">
        <v>8165</v>
      </c>
      <c r="B8837">
        <f t="shared" si="1334"/>
        <v>25</v>
      </c>
    </row>
    <row r="8838" spans="1:2" ht="15" customHeight="1" x14ac:dyDescent="0.3">
      <c r="A8838" t="s">
        <v>8166</v>
      </c>
      <c r="B8838">
        <f t="shared" si="1334"/>
        <v>30</v>
      </c>
    </row>
    <row r="8839" spans="1:2" ht="15" customHeight="1" x14ac:dyDescent="0.3">
      <c r="A8839" t="s">
        <v>8167</v>
      </c>
      <c r="B8839">
        <f t="shared" si="1334"/>
        <v>25</v>
      </c>
    </row>
    <row r="8840" spans="1:2" ht="15" customHeight="1" x14ac:dyDescent="0.3">
      <c r="A8840" t="s">
        <v>8168</v>
      </c>
      <c r="B8840">
        <f t="shared" si="1334"/>
        <v>25</v>
      </c>
    </row>
    <row r="8841" spans="1:2" ht="15" customHeight="1" x14ac:dyDescent="0.3">
      <c r="A8841" t="s">
        <v>8169</v>
      </c>
      <c r="B8841">
        <f t="shared" si="1334"/>
        <v>25</v>
      </c>
    </row>
    <row r="8842" spans="1:2" ht="15" customHeight="1" x14ac:dyDescent="0.3">
      <c r="A8842" t="s">
        <v>8170</v>
      </c>
      <c r="B8842">
        <f t="shared" si="1334"/>
        <v>25</v>
      </c>
    </row>
    <row r="8843" spans="1:2" ht="15" customHeight="1" x14ac:dyDescent="0.3">
      <c r="A8843" t="s">
        <v>8171</v>
      </c>
      <c r="B8843">
        <f t="shared" si="1334"/>
        <v>30</v>
      </c>
    </row>
    <row r="8844" spans="1:2" ht="15" customHeight="1" x14ac:dyDescent="0.3">
      <c r="A8844" t="s">
        <v>8172</v>
      </c>
      <c r="B8844">
        <f t="shared" si="1334"/>
        <v>30</v>
      </c>
    </row>
    <row r="8845" spans="1:2" ht="15" customHeight="1" x14ac:dyDescent="0.3">
      <c r="A8845" t="s">
        <v>8173</v>
      </c>
      <c r="B8845">
        <f t="shared" si="1334"/>
        <v>25</v>
      </c>
    </row>
    <row r="8846" spans="1:2" ht="15" customHeight="1" x14ac:dyDescent="0.3">
      <c r="A8846" t="s">
        <v>8174</v>
      </c>
      <c r="B8846">
        <f t="shared" si="1334"/>
        <v>25</v>
      </c>
    </row>
    <row r="8847" spans="1:2" ht="15" customHeight="1" x14ac:dyDescent="0.3">
      <c r="A8847" t="s">
        <v>8175</v>
      </c>
      <c r="B8847">
        <f t="shared" si="1334"/>
        <v>25</v>
      </c>
    </row>
    <row r="8848" spans="1:2" ht="15" customHeight="1" x14ac:dyDescent="0.3">
      <c r="A8848" t="s">
        <v>8176</v>
      </c>
      <c r="B8848">
        <f t="shared" si="1334"/>
        <v>25</v>
      </c>
    </row>
    <row r="8849" spans="1:2" ht="15" customHeight="1" x14ac:dyDescent="0.3">
      <c r="A8849" t="s">
        <v>8177</v>
      </c>
      <c r="B8849">
        <f t="shared" si="1334"/>
        <v>25</v>
      </c>
    </row>
    <row r="8850" spans="1:2" ht="15" customHeight="1" x14ac:dyDescent="0.3">
      <c r="A8850" t="s">
        <v>8178</v>
      </c>
      <c r="B8850">
        <f>B8599</f>
        <v>25</v>
      </c>
    </row>
    <row r="8851" spans="1:2" ht="15" customHeight="1" x14ac:dyDescent="0.3">
      <c r="A8851" t="s">
        <v>8179</v>
      </c>
      <c r="B8851">
        <f t="shared" ref="B8851:B8857" si="1335">B8605</f>
        <v>25</v>
      </c>
    </row>
    <row r="8852" spans="1:2" ht="15" customHeight="1" x14ac:dyDescent="0.3">
      <c r="A8852" t="s">
        <v>8180</v>
      </c>
      <c r="B8852">
        <f t="shared" si="1335"/>
        <v>25</v>
      </c>
    </row>
    <row r="8853" spans="1:2" ht="15" customHeight="1" x14ac:dyDescent="0.3">
      <c r="A8853" t="s">
        <v>8181</v>
      </c>
      <c r="B8853">
        <f t="shared" si="1335"/>
        <v>25</v>
      </c>
    </row>
    <row r="8854" spans="1:2" ht="15" customHeight="1" x14ac:dyDescent="0.3">
      <c r="A8854" t="s">
        <v>8182</v>
      </c>
      <c r="B8854">
        <f t="shared" si="1335"/>
        <v>30</v>
      </c>
    </row>
    <row r="8855" spans="1:2" ht="15" customHeight="1" x14ac:dyDescent="0.3">
      <c r="A8855" t="s">
        <v>8183</v>
      </c>
      <c r="B8855">
        <f t="shared" si="1335"/>
        <v>30</v>
      </c>
    </row>
    <row r="8856" spans="1:2" ht="15" customHeight="1" x14ac:dyDescent="0.3">
      <c r="A8856" t="s">
        <v>8184</v>
      </c>
      <c r="B8856">
        <f t="shared" si="1335"/>
        <v>30</v>
      </c>
    </row>
    <row r="8857" spans="1:2" ht="15" customHeight="1" x14ac:dyDescent="0.3">
      <c r="A8857" t="s">
        <v>8185</v>
      </c>
      <c r="B8857">
        <f t="shared" si="1335"/>
        <v>30</v>
      </c>
    </row>
    <row r="8858" spans="1:2" ht="15" customHeight="1" x14ac:dyDescent="0.3">
      <c r="A8858" t="s">
        <v>8186</v>
      </c>
      <c r="B8858">
        <f t="shared" ref="B8858:B8869" si="1336">B8617</f>
        <v>25</v>
      </c>
    </row>
    <row r="8859" spans="1:2" ht="15" customHeight="1" x14ac:dyDescent="0.3">
      <c r="A8859" t="s">
        <v>8187</v>
      </c>
      <c r="B8859">
        <f t="shared" si="1336"/>
        <v>30</v>
      </c>
    </row>
    <row r="8860" spans="1:2" ht="15" customHeight="1" x14ac:dyDescent="0.3">
      <c r="A8860" t="s">
        <v>8188</v>
      </c>
      <c r="B8860">
        <f t="shared" si="1336"/>
        <v>30</v>
      </c>
    </row>
    <row r="8861" spans="1:2" ht="15" customHeight="1" x14ac:dyDescent="0.3">
      <c r="A8861" t="s">
        <v>8189</v>
      </c>
      <c r="B8861">
        <f t="shared" si="1336"/>
        <v>30</v>
      </c>
    </row>
    <row r="8862" spans="1:2" ht="15" customHeight="1" x14ac:dyDescent="0.3">
      <c r="A8862" t="s">
        <v>8190</v>
      </c>
      <c r="B8862">
        <f t="shared" si="1336"/>
        <v>30</v>
      </c>
    </row>
    <row r="8863" spans="1:2" ht="15" customHeight="1" x14ac:dyDescent="0.3">
      <c r="A8863" t="s">
        <v>8191</v>
      </c>
      <c r="B8863">
        <f t="shared" si="1336"/>
        <v>25</v>
      </c>
    </row>
    <row r="8864" spans="1:2" ht="15" customHeight="1" x14ac:dyDescent="0.3">
      <c r="A8864" t="s">
        <v>8192</v>
      </c>
      <c r="B8864">
        <f t="shared" si="1336"/>
        <v>25</v>
      </c>
    </row>
    <row r="8865" spans="1:2" ht="15" customHeight="1" x14ac:dyDescent="0.3">
      <c r="A8865" t="s">
        <v>8193</v>
      </c>
      <c r="B8865">
        <f t="shared" si="1336"/>
        <v>25</v>
      </c>
    </row>
    <row r="8866" spans="1:2" ht="15" customHeight="1" x14ac:dyDescent="0.3">
      <c r="A8866" t="s">
        <v>8194</v>
      </c>
      <c r="B8866">
        <f t="shared" si="1336"/>
        <v>25</v>
      </c>
    </row>
    <row r="8867" spans="1:2" ht="15" customHeight="1" x14ac:dyDescent="0.3">
      <c r="A8867" t="s">
        <v>8195</v>
      </c>
      <c r="B8867">
        <f t="shared" si="1336"/>
        <v>30</v>
      </c>
    </row>
    <row r="8868" spans="1:2" ht="15" customHeight="1" x14ac:dyDescent="0.3">
      <c r="A8868" t="s">
        <v>8196</v>
      </c>
      <c r="B8868">
        <f t="shared" si="1336"/>
        <v>30</v>
      </c>
    </row>
    <row r="8869" spans="1:2" ht="15" customHeight="1" x14ac:dyDescent="0.3">
      <c r="A8869" t="s">
        <v>8197</v>
      </c>
      <c r="B8869">
        <f t="shared" si="1336"/>
        <v>30</v>
      </c>
    </row>
    <row r="8870" spans="1:2" ht="15" customHeight="1" x14ac:dyDescent="0.3">
      <c r="A8870" t="s">
        <v>8198</v>
      </c>
      <c r="B8870">
        <f t="shared" ref="B8870:B8882" si="1337">B8630</f>
        <v>25</v>
      </c>
    </row>
    <row r="8871" spans="1:2" ht="15" customHeight="1" x14ac:dyDescent="0.3">
      <c r="A8871" t="s">
        <v>8199</v>
      </c>
      <c r="B8871">
        <f t="shared" si="1337"/>
        <v>25</v>
      </c>
    </row>
    <row r="8872" spans="1:2" ht="15" customHeight="1" x14ac:dyDescent="0.3">
      <c r="A8872" t="s">
        <v>8200</v>
      </c>
      <c r="B8872">
        <f t="shared" si="1337"/>
        <v>25</v>
      </c>
    </row>
    <row r="8873" spans="1:2" ht="15" customHeight="1" x14ac:dyDescent="0.3">
      <c r="A8873" t="s">
        <v>8201</v>
      </c>
      <c r="B8873">
        <f t="shared" si="1337"/>
        <v>25</v>
      </c>
    </row>
    <row r="8874" spans="1:2" ht="15" customHeight="1" x14ac:dyDescent="0.3">
      <c r="A8874" t="s">
        <v>8202</v>
      </c>
      <c r="B8874">
        <f t="shared" si="1337"/>
        <v>30</v>
      </c>
    </row>
    <row r="8875" spans="1:2" ht="15" customHeight="1" x14ac:dyDescent="0.3">
      <c r="A8875" t="s">
        <v>8203</v>
      </c>
      <c r="B8875">
        <f t="shared" si="1337"/>
        <v>30</v>
      </c>
    </row>
    <row r="8876" spans="1:2" ht="15" customHeight="1" x14ac:dyDescent="0.3">
      <c r="A8876" t="s">
        <v>8204</v>
      </c>
      <c r="B8876">
        <f t="shared" si="1337"/>
        <v>30</v>
      </c>
    </row>
    <row r="8877" spans="1:2" ht="15" customHeight="1" x14ac:dyDescent="0.3">
      <c r="A8877" t="s">
        <v>8205</v>
      </c>
      <c r="B8877">
        <f t="shared" si="1337"/>
        <v>30</v>
      </c>
    </row>
    <row r="8878" spans="1:2" ht="15" customHeight="1" x14ac:dyDescent="0.3">
      <c r="A8878" t="s">
        <v>8206</v>
      </c>
      <c r="B8878">
        <f t="shared" si="1337"/>
        <v>0</v>
      </c>
    </row>
    <row r="8879" spans="1:2" ht="15" customHeight="1" x14ac:dyDescent="0.3">
      <c r="A8879" t="s">
        <v>8207</v>
      </c>
      <c r="B8879">
        <f t="shared" si="1337"/>
        <v>30</v>
      </c>
    </row>
    <row r="8880" spans="1:2" ht="15" customHeight="1" x14ac:dyDescent="0.3">
      <c r="A8880" t="s">
        <v>8208</v>
      </c>
      <c r="B8880">
        <f t="shared" si="1337"/>
        <v>30</v>
      </c>
    </row>
    <row r="8881" spans="1:2" ht="15" customHeight="1" x14ac:dyDescent="0.3">
      <c r="A8881" t="s">
        <v>8209</v>
      </c>
      <c r="B8881">
        <f t="shared" si="1337"/>
        <v>25</v>
      </c>
    </row>
    <row r="8882" spans="1:2" ht="15" customHeight="1" x14ac:dyDescent="0.3">
      <c r="A8882" t="s">
        <v>8210</v>
      </c>
      <c r="B8882">
        <f t="shared" si="1337"/>
        <v>25</v>
      </c>
    </row>
    <row r="8883" spans="1:2" ht="15" customHeight="1" x14ac:dyDescent="0.3">
      <c r="A8883" t="s">
        <v>8211</v>
      </c>
      <c r="B8883" t="e">
        <f>#REF!</f>
        <v>#REF!</v>
      </c>
    </row>
    <row r="8884" spans="1:2" ht="15" customHeight="1" x14ac:dyDescent="0.3">
      <c r="A8884" t="s">
        <v>8212</v>
      </c>
      <c r="B8884">
        <f>B8643</f>
        <v>25</v>
      </c>
    </row>
    <row r="8885" spans="1:2" ht="15" customHeight="1" x14ac:dyDescent="0.3">
      <c r="A8885" t="s">
        <v>8213</v>
      </c>
      <c r="B8885">
        <f>B8644</f>
        <v>25</v>
      </c>
    </row>
    <row r="8886" spans="1:2" ht="15" customHeight="1" x14ac:dyDescent="0.3">
      <c r="A8886" t="s">
        <v>8214</v>
      </c>
      <c r="B8886">
        <f t="shared" ref="B8886:B8892" si="1338">B8655</f>
        <v>25</v>
      </c>
    </row>
    <row r="8887" spans="1:2" ht="15" customHeight="1" x14ac:dyDescent="0.3">
      <c r="A8887" t="s">
        <v>8215</v>
      </c>
      <c r="B8887">
        <f t="shared" si="1338"/>
        <v>25</v>
      </c>
    </row>
    <row r="8888" spans="1:2" ht="15" customHeight="1" x14ac:dyDescent="0.3">
      <c r="A8888" t="s">
        <v>8216</v>
      </c>
      <c r="B8888">
        <f t="shared" si="1338"/>
        <v>25</v>
      </c>
    </row>
    <row r="8889" spans="1:2" ht="15" customHeight="1" x14ac:dyDescent="0.3">
      <c r="A8889" t="s">
        <v>8217</v>
      </c>
      <c r="B8889">
        <f t="shared" si="1338"/>
        <v>30</v>
      </c>
    </row>
    <row r="8890" spans="1:2" ht="15" customHeight="1" x14ac:dyDescent="0.3">
      <c r="A8890" t="s">
        <v>8218</v>
      </c>
      <c r="B8890">
        <f t="shared" si="1338"/>
        <v>30</v>
      </c>
    </row>
    <row r="8891" spans="1:2" ht="15" customHeight="1" x14ac:dyDescent="0.3">
      <c r="A8891" t="s">
        <v>8219</v>
      </c>
      <c r="B8891">
        <f t="shared" si="1338"/>
        <v>30</v>
      </c>
    </row>
    <row r="8892" spans="1:2" ht="15" customHeight="1" x14ac:dyDescent="0.3">
      <c r="A8892" t="s">
        <v>8220</v>
      </c>
      <c r="B8892">
        <f t="shared" si="1338"/>
        <v>25</v>
      </c>
    </row>
    <row r="8893" spans="1:2" ht="15" customHeight="1" x14ac:dyDescent="0.3">
      <c r="A8893" t="s">
        <v>8221</v>
      </c>
      <c r="B8893">
        <f t="shared" ref="B8893:B8901" si="1339">B8663</f>
        <v>30</v>
      </c>
    </row>
    <row r="8894" spans="1:2" ht="15" customHeight="1" x14ac:dyDescent="0.3">
      <c r="A8894" t="s">
        <v>8222</v>
      </c>
      <c r="B8894">
        <f t="shared" si="1339"/>
        <v>25</v>
      </c>
    </row>
    <row r="8895" spans="1:2" ht="15" customHeight="1" x14ac:dyDescent="0.3">
      <c r="A8895" t="s">
        <v>8223</v>
      </c>
      <c r="B8895">
        <f t="shared" si="1339"/>
        <v>30</v>
      </c>
    </row>
    <row r="8896" spans="1:2" ht="15" customHeight="1" x14ac:dyDescent="0.3">
      <c r="A8896" t="s">
        <v>8224</v>
      </c>
      <c r="B8896">
        <f t="shared" si="1339"/>
        <v>25</v>
      </c>
    </row>
    <row r="8897" spans="1:2" ht="15" customHeight="1" x14ac:dyDescent="0.3">
      <c r="A8897" t="s">
        <v>8225</v>
      </c>
      <c r="B8897">
        <f t="shared" si="1339"/>
        <v>30</v>
      </c>
    </row>
    <row r="8898" spans="1:2" ht="15" customHeight="1" x14ac:dyDescent="0.3">
      <c r="A8898" t="s">
        <v>8226</v>
      </c>
      <c r="B8898">
        <f t="shared" si="1339"/>
        <v>25</v>
      </c>
    </row>
    <row r="8899" spans="1:2" ht="15" customHeight="1" x14ac:dyDescent="0.3">
      <c r="A8899" t="s">
        <v>8227</v>
      </c>
      <c r="B8899">
        <f t="shared" si="1339"/>
        <v>30</v>
      </c>
    </row>
    <row r="8900" spans="1:2" ht="15" customHeight="1" x14ac:dyDescent="0.3">
      <c r="A8900" t="s">
        <v>8228</v>
      </c>
      <c r="B8900">
        <f t="shared" si="1339"/>
        <v>30</v>
      </c>
    </row>
    <row r="8901" spans="1:2" ht="15" customHeight="1" x14ac:dyDescent="0.3">
      <c r="A8901" t="s">
        <v>8229</v>
      </c>
      <c r="B8901">
        <f t="shared" si="1339"/>
        <v>25</v>
      </c>
    </row>
    <row r="8902" spans="1:2" ht="15" customHeight="1" x14ac:dyDescent="0.3">
      <c r="A8902" t="s">
        <v>8230</v>
      </c>
      <c r="B8902">
        <f t="shared" ref="B8902:B8944" si="1340">B8677</f>
        <v>25</v>
      </c>
    </row>
    <row r="8903" spans="1:2" ht="15" customHeight="1" x14ac:dyDescent="0.3">
      <c r="A8903" t="s">
        <v>8231</v>
      </c>
      <c r="B8903">
        <f t="shared" si="1340"/>
        <v>25</v>
      </c>
    </row>
    <row r="8904" spans="1:2" ht="15" customHeight="1" x14ac:dyDescent="0.3">
      <c r="A8904" t="s">
        <v>8232</v>
      </c>
      <c r="B8904">
        <f t="shared" si="1340"/>
        <v>25</v>
      </c>
    </row>
    <row r="8905" spans="1:2" ht="15" customHeight="1" x14ac:dyDescent="0.3">
      <c r="A8905" t="s">
        <v>8233</v>
      </c>
      <c r="B8905">
        <f t="shared" si="1340"/>
        <v>25</v>
      </c>
    </row>
    <row r="8906" spans="1:2" ht="15" customHeight="1" x14ac:dyDescent="0.3">
      <c r="A8906" t="s">
        <v>8234</v>
      </c>
      <c r="B8906">
        <f t="shared" si="1340"/>
        <v>25</v>
      </c>
    </row>
    <row r="8907" spans="1:2" ht="15" customHeight="1" x14ac:dyDescent="0.3">
      <c r="A8907" t="s">
        <v>8235</v>
      </c>
      <c r="B8907">
        <f t="shared" si="1340"/>
        <v>25</v>
      </c>
    </row>
    <row r="8908" spans="1:2" ht="15" customHeight="1" x14ac:dyDescent="0.3">
      <c r="A8908" t="s">
        <v>8236</v>
      </c>
      <c r="B8908">
        <f t="shared" si="1340"/>
        <v>25</v>
      </c>
    </row>
    <row r="8909" spans="1:2" ht="15" customHeight="1" x14ac:dyDescent="0.3">
      <c r="A8909" t="s">
        <v>8237</v>
      </c>
      <c r="B8909">
        <f t="shared" si="1340"/>
        <v>25</v>
      </c>
    </row>
    <row r="8910" spans="1:2" ht="15" customHeight="1" x14ac:dyDescent="0.3">
      <c r="A8910" t="s">
        <v>8238</v>
      </c>
      <c r="B8910">
        <f t="shared" si="1340"/>
        <v>25</v>
      </c>
    </row>
    <row r="8911" spans="1:2" ht="15" customHeight="1" x14ac:dyDescent="0.3">
      <c r="A8911" t="s">
        <v>8239</v>
      </c>
      <c r="B8911">
        <f t="shared" si="1340"/>
        <v>25</v>
      </c>
    </row>
    <row r="8912" spans="1:2" ht="15" customHeight="1" x14ac:dyDescent="0.3">
      <c r="A8912" t="s">
        <v>8240</v>
      </c>
      <c r="B8912">
        <f t="shared" si="1340"/>
        <v>25</v>
      </c>
    </row>
    <row r="8913" spans="1:2" ht="15" customHeight="1" x14ac:dyDescent="0.3">
      <c r="A8913" t="s">
        <v>8241</v>
      </c>
      <c r="B8913">
        <f t="shared" si="1340"/>
        <v>25</v>
      </c>
    </row>
    <row r="8914" spans="1:2" ht="15" customHeight="1" x14ac:dyDescent="0.3">
      <c r="A8914" t="s">
        <v>8242</v>
      </c>
      <c r="B8914">
        <f t="shared" si="1340"/>
        <v>25</v>
      </c>
    </row>
    <row r="8915" spans="1:2" ht="15" customHeight="1" x14ac:dyDescent="0.3">
      <c r="A8915" t="s">
        <v>8243</v>
      </c>
      <c r="B8915">
        <f t="shared" si="1340"/>
        <v>25</v>
      </c>
    </row>
    <row r="8916" spans="1:2" ht="15" customHeight="1" x14ac:dyDescent="0.3">
      <c r="A8916" t="s">
        <v>8244</v>
      </c>
      <c r="B8916">
        <f t="shared" si="1340"/>
        <v>25</v>
      </c>
    </row>
    <row r="8917" spans="1:2" ht="15" customHeight="1" x14ac:dyDescent="0.3">
      <c r="A8917" t="s">
        <v>8245</v>
      </c>
      <c r="B8917">
        <f t="shared" si="1340"/>
        <v>25</v>
      </c>
    </row>
    <row r="8918" spans="1:2" ht="15" customHeight="1" x14ac:dyDescent="0.3">
      <c r="A8918" t="s">
        <v>8246</v>
      </c>
      <c r="B8918">
        <f t="shared" si="1340"/>
        <v>25</v>
      </c>
    </row>
    <row r="8919" spans="1:2" ht="15" customHeight="1" x14ac:dyDescent="0.3">
      <c r="A8919" t="s">
        <v>8247</v>
      </c>
      <c r="B8919">
        <f t="shared" si="1340"/>
        <v>25</v>
      </c>
    </row>
    <row r="8920" spans="1:2" ht="15" customHeight="1" x14ac:dyDescent="0.3">
      <c r="A8920" t="s">
        <v>8248</v>
      </c>
      <c r="B8920">
        <f t="shared" si="1340"/>
        <v>25</v>
      </c>
    </row>
    <row r="8921" spans="1:2" ht="15" customHeight="1" x14ac:dyDescent="0.3">
      <c r="A8921" t="s">
        <v>8249</v>
      </c>
      <c r="B8921">
        <f t="shared" si="1340"/>
        <v>25</v>
      </c>
    </row>
    <row r="8922" spans="1:2" ht="15" customHeight="1" x14ac:dyDescent="0.3">
      <c r="A8922" t="s">
        <v>8250</v>
      </c>
      <c r="B8922">
        <f t="shared" si="1340"/>
        <v>25</v>
      </c>
    </row>
    <row r="8923" spans="1:2" ht="15" customHeight="1" x14ac:dyDescent="0.3">
      <c r="A8923" t="s">
        <v>8251</v>
      </c>
      <c r="B8923">
        <f t="shared" si="1340"/>
        <v>25</v>
      </c>
    </row>
    <row r="8924" spans="1:2" ht="15" customHeight="1" x14ac:dyDescent="0.3">
      <c r="A8924" t="s">
        <v>8252</v>
      </c>
      <c r="B8924">
        <f t="shared" si="1340"/>
        <v>25</v>
      </c>
    </row>
    <row r="8925" spans="1:2" ht="15" customHeight="1" x14ac:dyDescent="0.3">
      <c r="A8925" t="s">
        <v>8253</v>
      </c>
      <c r="B8925">
        <f t="shared" si="1340"/>
        <v>25</v>
      </c>
    </row>
    <row r="8926" spans="1:2" ht="15" customHeight="1" x14ac:dyDescent="0.3">
      <c r="A8926" t="s">
        <v>8254</v>
      </c>
      <c r="B8926">
        <f t="shared" si="1340"/>
        <v>25</v>
      </c>
    </row>
    <row r="8927" spans="1:2" ht="15" customHeight="1" x14ac:dyDescent="0.3">
      <c r="A8927" t="s">
        <v>8255</v>
      </c>
      <c r="B8927">
        <f t="shared" si="1340"/>
        <v>25</v>
      </c>
    </row>
    <row r="8928" spans="1:2" ht="15" customHeight="1" x14ac:dyDescent="0.3">
      <c r="A8928" t="s">
        <v>8256</v>
      </c>
      <c r="B8928">
        <f t="shared" si="1340"/>
        <v>25</v>
      </c>
    </row>
    <row r="8929" spans="1:2" ht="15" customHeight="1" x14ac:dyDescent="0.3">
      <c r="A8929" t="s">
        <v>8257</v>
      </c>
      <c r="B8929">
        <f t="shared" si="1340"/>
        <v>25</v>
      </c>
    </row>
    <row r="8930" spans="1:2" ht="15" customHeight="1" x14ac:dyDescent="0.3">
      <c r="A8930" t="s">
        <v>8258</v>
      </c>
      <c r="B8930">
        <f t="shared" si="1340"/>
        <v>35</v>
      </c>
    </row>
    <row r="8931" spans="1:2" ht="15" customHeight="1" x14ac:dyDescent="0.3">
      <c r="A8931" t="s">
        <v>8259</v>
      </c>
      <c r="B8931">
        <f t="shared" si="1340"/>
        <v>30</v>
      </c>
    </row>
    <row r="8932" spans="1:2" ht="15" customHeight="1" x14ac:dyDescent="0.3">
      <c r="A8932" t="s">
        <v>8260</v>
      </c>
      <c r="B8932">
        <f t="shared" si="1340"/>
        <v>25</v>
      </c>
    </row>
    <row r="8933" spans="1:2" ht="15" customHeight="1" x14ac:dyDescent="0.3">
      <c r="A8933" t="s">
        <v>8261</v>
      </c>
      <c r="B8933">
        <f t="shared" si="1340"/>
        <v>25</v>
      </c>
    </row>
    <row r="8934" spans="1:2" ht="15" customHeight="1" x14ac:dyDescent="0.3">
      <c r="A8934" t="s">
        <v>8262</v>
      </c>
      <c r="B8934">
        <f t="shared" si="1340"/>
        <v>25</v>
      </c>
    </row>
    <row r="8935" spans="1:2" ht="15" customHeight="1" x14ac:dyDescent="0.3">
      <c r="A8935" t="s">
        <v>8263</v>
      </c>
      <c r="B8935">
        <f t="shared" si="1340"/>
        <v>25</v>
      </c>
    </row>
    <row r="8936" spans="1:2" ht="15" customHeight="1" x14ac:dyDescent="0.3">
      <c r="A8936" t="s">
        <v>8264</v>
      </c>
      <c r="B8936">
        <f t="shared" si="1340"/>
        <v>25</v>
      </c>
    </row>
    <row r="8937" spans="1:2" ht="15" customHeight="1" x14ac:dyDescent="0.3">
      <c r="A8937" t="s">
        <v>8265</v>
      </c>
      <c r="B8937">
        <f t="shared" si="1340"/>
        <v>25</v>
      </c>
    </row>
    <row r="8938" spans="1:2" ht="15" customHeight="1" x14ac:dyDescent="0.3">
      <c r="A8938" t="s">
        <v>8266</v>
      </c>
      <c r="B8938">
        <f t="shared" si="1340"/>
        <v>25</v>
      </c>
    </row>
    <row r="8939" spans="1:2" ht="15" customHeight="1" x14ac:dyDescent="0.3">
      <c r="A8939" t="s">
        <v>8267</v>
      </c>
      <c r="B8939">
        <f t="shared" si="1340"/>
        <v>30</v>
      </c>
    </row>
    <row r="8940" spans="1:2" ht="15" customHeight="1" x14ac:dyDescent="0.3">
      <c r="A8940" t="s">
        <v>8268</v>
      </c>
      <c r="B8940">
        <f t="shared" si="1340"/>
        <v>65</v>
      </c>
    </row>
    <row r="8941" spans="1:2" ht="15" customHeight="1" x14ac:dyDescent="0.3">
      <c r="A8941" t="s">
        <v>8269</v>
      </c>
      <c r="B8941">
        <f t="shared" si="1340"/>
        <v>65</v>
      </c>
    </row>
    <row r="8942" spans="1:2" ht="15" customHeight="1" x14ac:dyDescent="0.3">
      <c r="A8942" t="s">
        <v>8270</v>
      </c>
      <c r="B8942">
        <f t="shared" si="1340"/>
        <v>65</v>
      </c>
    </row>
    <row r="8943" spans="1:2" ht="15" customHeight="1" x14ac:dyDescent="0.3">
      <c r="A8943" t="s">
        <v>8271</v>
      </c>
      <c r="B8943">
        <f t="shared" si="1340"/>
        <v>30</v>
      </c>
    </row>
    <row r="8944" spans="1:2" ht="15" customHeight="1" x14ac:dyDescent="0.3">
      <c r="A8944" t="s">
        <v>8272</v>
      </c>
      <c r="B8944">
        <f t="shared" si="1340"/>
        <v>30</v>
      </c>
    </row>
    <row r="8945" spans="1:2" ht="15" customHeight="1" x14ac:dyDescent="0.3">
      <c r="A8945" t="s">
        <v>8273</v>
      </c>
      <c r="B8945">
        <f t="shared" ref="B8945:B8966" si="1341">B8725</f>
        <v>55</v>
      </c>
    </row>
    <row r="8946" spans="1:2" ht="15" customHeight="1" x14ac:dyDescent="0.3">
      <c r="A8946" t="s">
        <v>8274</v>
      </c>
      <c r="B8946">
        <f t="shared" si="1341"/>
        <v>50</v>
      </c>
    </row>
    <row r="8947" spans="1:2" ht="15" customHeight="1" x14ac:dyDescent="0.3">
      <c r="A8947" t="s">
        <v>8275</v>
      </c>
      <c r="B8947">
        <f t="shared" si="1341"/>
        <v>70</v>
      </c>
    </row>
    <row r="8948" spans="1:2" ht="15" customHeight="1" x14ac:dyDescent="0.3">
      <c r="A8948" t="s">
        <v>8276</v>
      </c>
      <c r="B8948">
        <f t="shared" si="1341"/>
        <v>65</v>
      </c>
    </row>
    <row r="8949" spans="1:2" ht="15" customHeight="1" x14ac:dyDescent="0.3">
      <c r="A8949" t="s">
        <v>8277</v>
      </c>
      <c r="B8949">
        <f t="shared" si="1341"/>
        <v>50</v>
      </c>
    </row>
    <row r="8950" spans="1:2" ht="15" customHeight="1" x14ac:dyDescent="0.3">
      <c r="A8950" t="s">
        <v>8278</v>
      </c>
      <c r="B8950">
        <f t="shared" si="1341"/>
        <v>30</v>
      </c>
    </row>
    <row r="8951" spans="1:2" ht="15" customHeight="1" x14ac:dyDescent="0.3">
      <c r="A8951" t="s">
        <v>8279</v>
      </c>
      <c r="B8951">
        <f t="shared" si="1341"/>
        <v>30</v>
      </c>
    </row>
    <row r="8952" spans="1:2" ht="15" customHeight="1" x14ac:dyDescent="0.3">
      <c r="A8952" t="s">
        <v>8280</v>
      </c>
      <c r="B8952">
        <f t="shared" si="1341"/>
        <v>55</v>
      </c>
    </row>
    <row r="8953" spans="1:2" ht="15" customHeight="1" x14ac:dyDescent="0.3">
      <c r="A8953" t="s">
        <v>8281</v>
      </c>
      <c r="B8953">
        <f t="shared" si="1341"/>
        <v>25</v>
      </c>
    </row>
    <row r="8954" spans="1:2" ht="15" customHeight="1" x14ac:dyDescent="0.3">
      <c r="A8954" t="s">
        <v>8282</v>
      </c>
      <c r="B8954">
        <f t="shared" si="1341"/>
        <v>30</v>
      </c>
    </row>
    <row r="8955" spans="1:2" ht="15" customHeight="1" x14ac:dyDescent="0.3">
      <c r="A8955" t="s">
        <v>8283</v>
      </c>
      <c r="B8955">
        <f t="shared" si="1341"/>
        <v>30</v>
      </c>
    </row>
    <row r="8956" spans="1:2" ht="15" customHeight="1" x14ac:dyDescent="0.3">
      <c r="A8956" t="s">
        <v>8284</v>
      </c>
      <c r="B8956">
        <f t="shared" si="1341"/>
        <v>25</v>
      </c>
    </row>
    <row r="8957" spans="1:2" ht="15" customHeight="1" x14ac:dyDescent="0.3">
      <c r="A8957" t="s">
        <v>8285</v>
      </c>
      <c r="B8957">
        <f t="shared" si="1341"/>
        <v>25</v>
      </c>
    </row>
    <row r="8958" spans="1:2" ht="15" customHeight="1" x14ac:dyDescent="0.3">
      <c r="A8958" t="s">
        <v>8286</v>
      </c>
      <c r="B8958">
        <f t="shared" si="1341"/>
        <v>25</v>
      </c>
    </row>
    <row r="8959" spans="1:2" ht="15" customHeight="1" x14ac:dyDescent="0.3">
      <c r="A8959" t="s">
        <v>8287</v>
      </c>
      <c r="B8959">
        <f t="shared" si="1341"/>
        <v>25</v>
      </c>
    </row>
    <row r="8960" spans="1:2" ht="15" customHeight="1" x14ac:dyDescent="0.3">
      <c r="A8960" t="s">
        <v>8288</v>
      </c>
      <c r="B8960">
        <f t="shared" si="1341"/>
        <v>25</v>
      </c>
    </row>
    <row r="8961" spans="1:2" ht="15" customHeight="1" x14ac:dyDescent="0.3">
      <c r="A8961" t="s">
        <v>8289</v>
      </c>
      <c r="B8961">
        <f t="shared" si="1341"/>
        <v>25</v>
      </c>
    </row>
    <row r="8962" spans="1:2" ht="15" customHeight="1" x14ac:dyDescent="0.3">
      <c r="A8962" t="s">
        <v>8290</v>
      </c>
      <c r="B8962">
        <f t="shared" si="1341"/>
        <v>25</v>
      </c>
    </row>
    <row r="8963" spans="1:2" ht="15" customHeight="1" x14ac:dyDescent="0.3">
      <c r="A8963" t="s">
        <v>8291</v>
      </c>
      <c r="B8963">
        <f t="shared" si="1341"/>
        <v>45</v>
      </c>
    </row>
    <row r="8964" spans="1:2" ht="15" customHeight="1" x14ac:dyDescent="0.3">
      <c r="A8964" t="s">
        <v>8292</v>
      </c>
      <c r="B8964">
        <f t="shared" si="1341"/>
        <v>35</v>
      </c>
    </row>
    <row r="8965" spans="1:2" ht="15" customHeight="1" x14ac:dyDescent="0.3">
      <c r="A8965" t="s">
        <v>8293</v>
      </c>
      <c r="B8965">
        <f t="shared" si="1341"/>
        <v>35</v>
      </c>
    </row>
    <row r="8966" spans="1:2" ht="15" customHeight="1" x14ac:dyDescent="0.3">
      <c r="A8966" t="s">
        <v>8294</v>
      </c>
      <c r="B8966">
        <f t="shared" si="1341"/>
        <v>55</v>
      </c>
    </row>
    <row r="8967" spans="1:2" ht="15" customHeight="1" x14ac:dyDescent="0.3">
      <c r="A8967" t="s">
        <v>8295</v>
      </c>
      <c r="B8967">
        <f>B8440</f>
        <v>45</v>
      </c>
    </row>
    <row r="8968" spans="1:2" ht="15" customHeight="1" x14ac:dyDescent="0.3">
      <c r="A8968" t="s">
        <v>8296</v>
      </c>
      <c r="B8968">
        <f>B8443</f>
        <v>50</v>
      </c>
    </row>
    <row r="8969" spans="1:2" ht="15" customHeight="1" x14ac:dyDescent="0.3">
      <c r="A8969" t="s">
        <v>8297</v>
      </c>
      <c r="B8969">
        <f>B8446</f>
        <v>55</v>
      </c>
    </row>
    <row r="8970" spans="1:2" ht="15" customHeight="1" x14ac:dyDescent="0.3">
      <c r="A8970" t="s">
        <v>8298</v>
      </c>
      <c r="B8970" t="e">
        <f>B8449</f>
        <v>#REF!</v>
      </c>
    </row>
    <row r="8971" spans="1:2" ht="15" customHeight="1" x14ac:dyDescent="0.3">
      <c r="A8971" t="s">
        <v>8299</v>
      </c>
      <c r="B8971" t="e">
        <f>B8452</f>
        <v>#REF!</v>
      </c>
    </row>
    <row r="8972" spans="1:2" ht="15" customHeight="1" x14ac:dyDescent="0.3">
      <c r="A8972" t="s">
        <v>8300</v>
      </c>
      <c r="B8972">
        <f>B8455</f>
        <v>45</v>
      </c>
    </row>
    <row r="8973" spans="1:2" ht="15" customHeight="1" x14ac:dyDescent="0.3">
      <c r="A8973" t="s">
        <v>8301</v>
      </c>
      <c r="B8973">
        <f>B8458</f>
        <v>50</v>
      </c>
    </row>
    <row r="8974" spans="1:2" ht="15" customHeight="1" x14ac:dyDescent="0.3">
      <c r="A8974" t="s">
        <v>8302</v>
      </c>
      <c r="B8974">
        <f>B8461</f>
        <v>70</v>
      </c>
    </row>
    <row r="8975" spans="1:2" ht="15" customHeight="1" x14ac:dyDescent="0.3">
      <c r="A8975" t="s">
        <v>8303</v>
      </c>
      <c r="B8975">
        <f>B8464</f>
        <v>70</v>
      </c>
    </row>
    <row r="8976" spans="1:2" ht="15" customHeight="1" x14ac:dyDescent="0.3">
      <c r="A8976" t="s">
        <v>8304</v>
      </c>
      <c r="B8976">
        <f>B8467</f>
        <v>60</v>
      </c>
    </row>
    <row r="8977" spans="1:2" ht="15" customHeight="1" x14ac:dyDescent="0.3">
      <c r="A8977" t="s">
        <v>8305</v>
      </c>
      <c r="B8977">
        <f>B8470</f>
        <v>80</v>
      </c>
    </row>
    <row r="8978" spans="1:2" ht="15" customHeight="1" x14ac:dyDescent="0.3">
      <c r="A8978" t="s">
        <v>8306</v>
      </c>
      <c r="B8978">
        <f>B8473</f>
        <v>90</v>
      </c>
    </row>
    <row r="8979" spans="1:2" ht="15" customHeight="1" x14ac:dyDescent="0.3">
      <c r="A8979" t="s">
        <v>8307</v>
      </c>
      <c r="B8979">
        <f>B8476</f>
        <v>150</v>
      </c>
    </row>
    <row r="8980" spans="1:2" ht="15" customHeight="1" x14ac:dyDescent="0.3">
      <c r="A8980" t="s">
        <v>8308</v>
      </c>
      <c r="B8980">
        <f>B8479</f>
        <v>150</v>
      </c>
    </row>
    <row r="8981" spans="1:2" ht="15" customHeight="1" x14ac:dyDescent="0.3">
      <c r="A8981" t="s">
        <v>8309</v>
      </c>
      <c r="B8981">
        <f>B8482</f>
        <v>190</v>
      </c>
    </row>
    <row r="8982" spans="1:2" ht="15" customHeight="1" x14ac:dyDescent="0.3">
      <c r="A8982" t="s">
        <v>8310</v>
      </c>
      <c r="B8982">
        <f>B8399</f>
        <v>25</v>
      </c>
    </row>
    <row r="8983" spans="1:2" ht="15" customHeight="1" x14ac:dyDescent="0.3">
      <c r="A8983" t="s">
        <v>8311</v>
      </c>
      <c r="B8983">
        <f>B8402</f>
        <v>25</v>
      </c>
    </row>
    <row r="8984" spans="1:2" ht="15" customHeight="1" x14ac:dyDescent="0.3">
      <c r="A8984" t="s">
        <v>8312</v>
      </c>
      <c r="B8984">
        <f>B8405</f>
        <v>25</v>
      </c>
    </row>
    <row r="8985" spans="1:2" ht="15" customHeight="1" x14ac:dyDescent="0.3">
      <c r="A8985" t="s">
        <v>8313</v>
      </c>
      <c r="B8985">
        <f>B8408</f>
        <v>30</v>
      </c>
    </row>
    <row r="8986" spans="1:2" ht="15" customHeight="1" x14ac:dyDescent="0.3">
      <c r="A8986" t="s">
        <v>8314</v>
      </c>
      <c r="B8986">
        <f>B8411</f>
        <v>30</v>
      </c>
    </row>
    <row r="8987" spans="1:2" ht="15" customHeight="1" x14ac:dyDescent="0.3">
      <c r="A8987" t="s">
        <v>8315</v>
      </c>
      <c r="B8987">
        <f>B8414</f>
        <v>30</v>
      </c>
    </row>
    <row r="8988" spans="1:2" ht="15" customHeight="1" x14ac:dyDescent="0.3">
      <c r="A8988" t="s">
        <v>8316</v>
      </c>
      <c r="B8988">
        <f>B8417</f>
        <v>30</v>
      </c>
    </row>
    <row r="8989" spans="1:2" ht="15" customHeight="1" x14ac:dyDescent="0.3">
      <c r="A8989" t="s">
        <v>8317</v>
      </c>
      <c r="B8989">
        <f>B8420</f>
        <v>35</v>
      </c>
    </row>
    <row r="8990" spans="1:2" ht="15" customHeight="1" x14ac:dyDescent="0.3">
      <c r="A8990" t="s">
        <v>8318</v>
      </c>
      <c r="B8990">
        <f>B8429</f>
        <v>35</v>
      </c>
    </row>
    <row r="8991" spans="1:2" ht="15" customHeight="1" x14ac:dyDescent="0.3">
      <c r="A8991" t="s">
        <v>8319</v>
      </c>
      <c r="B8991">
        <f>B8437</f>
        <v>35</v>
      </c>
    </row>
    <row r="8992" spans="1:2" ht="15" customHeight="1" x14ac:dyDescent="0.3">
      <c r="A8992" t="s">
        <v>8320</v>
      </c>
      <c r="B8992">
        <f>B8432</f>
        <v>35</v>
      </c>
    </row>
    <row r="8993" spans="1:2" ht="15" customHeight="1" x14ac:dyDescent="0.3">
      <c r="A8993" t="s">
        <v>8321</v>
      </c>
      <c r="B8993">
        <f>B8435</f>
        <v>45</v>
      </c>
    </row>
    <row r="8994" spans="1:2" ht="15" customHeight="1" x14ac:dyDescent="0.3">
      <c r="A8994" t="s">
        <v>8322</v>
      </c>
      <c r="B8994">
        <f t="shared" ref="B8994:B9013" si="1342">B8486</f>
        <v>25</v>
      </c>
    </row>
    <row r="8995" spans="1:2" ht="15" customHeight="1" x14ac:dyDescent="0.3">
      <c r="A8995" t="s">
        <v>8323</v>
      </c>
      <c r="B8995">
        <f t="shared" si="1342"/>
        <v>25</v>
      </c>
    </row>
    <row r="8996" spans="1:2" ht="15" customHeight="1" x14ac:dyDescent="0.3">
      <c r="A8996" t="s">
        <v>8324</v>
      </c>
      <c r="B8996">
        <f t="shared" si="1342"/>
        <v>25</v>
      </c>
    </row>
    <row r="8997" spans="1:2" ht="15" customHeight="1" x14ac:dyDescent="0.3">
      <c r="A8997" t="s">
        <v>8325</v>
      </c>
      <c r="B8997">
        <f t="shared" si="1342"/>
        <v>25</v>
      </c>
    </row>
    <row r="8998" spans="1:2" ht="15" customHeight="1" x14ac:dyDescent="0.3">
      <c r="A8998" t="s">
        <v>8326</v>
      </c>
      <c r="B8998">
        <f t="shared" si="1342"/>
        <v>25</v>
      </c>
    </row>
    <row r="8999" spans="1:2" ht="15" customHeight="1" x14ac:dyDescent="0.3">
      <c r="A8999" t="s">
        <v>8327</v>
      </c>
      <c r="B8999">
        <f t="shared" si="1342"/>
        <v>25</v>
      </c>
    </row>
    <row r="9000" spans="1:2" ht="15" customHeight="1" x14ac:dyDescent="0.3">
      <c r="A9000" t="s">
        <v>8328</v>
      </c>
      <c r="B9000">
        <f t="shared" si="1342"/>
        <v>25</v>
      </c>
    </row>
    <row r="9001" spans="1:2" ht="15" customHeight="1" x14ac:dyDescent="0.3">
      <c r="A9001" t="s">
        <v>8329</v>
      </c>
      <c r="B9001">
        <f t="shared" si="1342"/>
        <v>30</v>
      </c>
    </row>
    <row r="9002" spans="1:2" ht="15" customHeight="1" x14ac:dyDescent="0.3">
      <c r="A9002" t="s">
        <v>8330</v>
      </c>
      <c r="B9002">
        <f t="shared" si="1342"/>
        <v>55</v>
      </c>
    </row>
    <row r="9003" spans="1:2" ht="15" customHeight="1" x14ac:dyDescent="0.3">
      <c r="A9003" t="s">
        <v>8331</v>
      </c>
      <c r="B9003">
        <f t="shared" si="1342"/>
        <v>25</v>
      </c>
    </row>
    <row r="9004" spans="1:2" ht="15" customHeight="1" x14ac:dyDescent="0.3">
      <c r="A9004" t="s">
        <v>8332</v>
      </c>
      <c r="B9004">
        <f t="shared" si="1342"/>
        <v>25</v>
      </c>
    </row>
    <row r="9005" spans="1:2" ht="15" customHeight="1" x14ac:dyDescent="0.3">
      <c r="A9005" t="s">
        <v>8333</v>
      </c>
      <c r="B9005">
        <f t="shared" si="1342"/>
        <v>25</v>
      </c>
    </row>
    <row r="9006" spans="1:2" ht="15" customHeight="1" x14ac:dyDescent="0.3">
      <c r="A9006" t="s">
        <v>8334</v>
      </c>
      <c r="B9006">
        <f t="shared" si="1342"/>
        <v>25</v>
      </c>
    </row>
    <row r="9007" spans="1:2" ht="15" customHeight="1" x14ac:dyDescent="0.3">
      <c r="A9007" t="s">
        <v>8335</v>
      </c>
      <c r="B9007">
        <f t="shared" si="1342"/>
        <v>30</v>
      </c>
    </row>
    <row r="9008" spans="1:2" ht="15" customHeight="1" x14ac:dyDescent="0.3">
      <c r="A9008" t="s">
        <v>8336</v>
      </c>
      <c r="B9008">
        <f t="shared" si="1342"/>
        <v>30</v>
      </c>
    </row>
    <row r="9009" spans="1:2" ht="15" customHeight="1" x14ac:dyDescent="0.3">
      <c r="A9009" t="s">
        <v>8337</v>
      </c>
      <c r="B9009">
        <f t="shared" si="1342"/>
        <v>30</v>
      </c>
    </row>
    <row r="9010" spans="1:2" ht="15" customHeight="1" x14ac:dyDescent="0.3">
      <c r="A9010" t="s">
        <v>8338</v>
      </c>
      <c r="B9010">
        <f t="shared" si="1342"/>
        <v>25</v>
      </c>
    </row>
    <row r="9011" spans="1:2" ht="15" customHeight="1" x14ac:dyDescent="0.3">
      <c r="A9011" t="s">
        <v>8339</v>
      </c>
      <c r="B9011">
        <f t="shared" si="1342"/>
        <v>30</v>
      </c>
    </row>
    <row r="9012" spans="1:2" ht="15" customHeight="1" x14ac:dyDescent="0.3">
      <c r="A9012" t="s">
        <v>8340</v>
      </c>
      <c r="B9012">
        <f t="shared" si="1342"/>
        <v>30</v>
      </c>
    </row>
    <row r="9013" spans="1:2" ht="15" customHeight="1" x14ac:dyDescent="0.3">
      <c r="A9013" t="s">
        <v>8341</v>
      </c>
      <c r="B9013">
        <f t="shared" si="1342"/>
        <v>25</v>
      </c>
    </row>
    <row r="9014" spans="1:2" ht="15" customHeight="1" x14ac:dyDescent="0.3">
      <c r="A9014" t="s">
        <v>8342</v>
      </c>
      <c r="B9014">
        <f t="shared" ref="B9014:B9023" si="1343">B8511</f>
        <v>25</v>
      </c>
    </row>
    <row r="9015" spans="1:2" ht="15" customHeight="1" x14ac:dyDescent="0.3">
      <c r="A9015" t="s">
        <v>8343</v>
      </c>
      <c r="B9015">
        <f t="shared" si="1343"/>
        <v>25</v>
      </c>
    </row>
    <row r="9016" spans="1:2" ht="15" customHeight="1" x14ac:dyDescent="0.3">
      <c r="A9016" t="s">
        <v>8344</v>
      </c>
      <c r="B9016">
        <f t="shared" si="1343"/>
        <v>25</v>
      </c>
    </row>
    <row r="9017" spans="1:2" ht="15" customHeight="1" x14ac:dyDescent="0.3">
      <c r="A9017" t="s">
        <v>8345</v>
      </c>
      <c r="B9017">
        <f t="shared" si="1343"/>
        <v>25</v>
      </c>
    </row>
    <row r="9018" spans="1:2" ht="15" customHeight="1" x14ac:dyDescent="0.3">
      <c r="A9018" t="s">
        <v>8346</v>
      </c>
      <c r="B9018">
        <f t="shared" si="1343"/>
        <v>25</v>
      </c>
    </row>
    <row r="9019" spans="1:2" ht="15" customHeight="1" x14ac:dyDescent="0.3">
      <c r="A9019" t="s">
        <v>8347</v>
      </c>
      <c r="B9019">
        <f t="shared" si="1343"/>
        <v>25</v>
      </c>
    </row>
    <row r="9020" spans="1:2" ht="15" customHeight="1" x14ac:dyDescent="0.3">
      <c r="A9020" t="s">
        <v>8348</v>
      </c>
      <c r="B9020">
        <f t="shared" si="1343"/>
        <v>25</v>
      </c>
    </row>
    <row r="9021" spans="1:2" ht="15" customHeight="1" x14ac:dyDescent="0.3">
      <c r="A9021" t="s">
        <v>8349</v>
      </c>
      <c r="B9021">
        <f t="shared" si="1343"/>
        <v>30</v>
      </c>
    </row>
    <row r="9022" spans="1:2" ht="15" customHeight="1" x14ac:dyDescent="0.3">
      <c r="A9022" t="s">
        <v>8350</v>
      </c>
      <c r="B9022">
        <f t="shared" si="1343"/>
        <v>30</v>
      </c>
    </row>
    <row r="9023" spans="1:2" ht="15" customHeight="1" x14ac:dyDescent="0.3">
      <c r="A9023" t="s">
        <v>8351</v>
      </c>
      <c r="B9023">
        <f t="shared" si="1343"/>
        <v>30</v>
      </c>
    </row>
    <row r="9024" spans="1:2" ht="15" customHeight="1" x14ac:dyDescent="0.3">
      <c r="A9024" t="s">
        <v>8352</v>
      </c>
      <c r="B9024">
        <f>B8526</f>
        <v>25</v>
      </c>
    </row>
    <row r="9025" spans="1:2" ht="15" customHeight="1" x14ac:dyDescent="0.3">
      <c r="A9025" t="s">
        <v>8353</v>
      </c>
      <c r="B9025">
        <f>B8526</f>
        <v>25</v>
      </c>
    </row>
    <row r="9026" spans="1:2" ht="15" customHeight="1" x14ac:dyDescent="0.3">
      <c r="A9026" t="s">
        <v>8354</v>
      </c>
      <c r="B9026">
        <f>B8527</f>
        <v>30</v>
      </c>
    </row>
    <row r="9027" spans="1:2" ht="15" customHeight="1" x14ac:dyDescent="0.3">
      <c r="A9027" t="s">
        <v>8355</v>
      </c>
      <c r="B9027">
        <f>B8528</f>
        <v>35</v>
      </c>
    </row>
    <row r="9028" spans="1:2" ht="15" customHeight="1" x14ac:dyDescent="0.3">
      <c r="A9028" t="s">
        <v>8356</v>
      </c>
      <c r="B9028">
        <f>B8529</f>
        <v>25</v>
      </c>
    </row>
    <row r="9029" spans="1:2" ht="15" customHeight="1" x14ac:dyDescent="0.3">
      <c r="A9029" t="s">
        <v>8357</v>
      </c>
      <c r="B9029">
        <f>B8534</f>
        <v>25</v>
      </c>
    </row>
    <row r="9030" spans="1:2" ht="15" customHeight="1" x14ac:dyDescent="0.3">
      <c r="A9030" t="s">
        <v>8358</v>
      </c>
      <c r="B9030">
        <f>B8535</f>
        <v>25</v>
      </c>
    </row>
    <row r="9031" spans="1:2" ht="15" customHeight="1" x14ac:dyDescent="0.3">
      <c r="A9031" t="s">
        <v>8359</v>
      </c>
      <c r="B9031">
        <f>B8536</f>
        <v>25</v>
      </c>
    </row>
    <row r="9032" spans="1:2" ht="15" customHeight="1" x14ac:dyDescent="0.3">
      <c r="A9032" t="s">
        <v>8360</v>
      </c>
      <c r="B9032">
        <f>B8537</f>
        <v>25</v>
      </c>
    </row>
    <row r="9033" spans="1:2" ht="15" customHeight="1" x14ac:dyDescent="0.3">
      <c r="A9033" t="s">
        <v>8361</v>
      </c>
      <c r="B9033">
        <f t="shared" ref="B9033:B9039" si="1344">B8542</f>
        <v>30</v>
      </c>
    </row>
    <row r="9034" spans="1:2" ht="15" customHeight="1" x14ac:dyDescent="0.3">
      <c r="A9034" t="s">
        <v>8362</v>
      </c>
      <c r="B9034">
        <f t="shared" si="1344"/>
        <v>25</v>
      </c>
    </row>
    <row r="9035" spans="1:2" ht="15" customHeight="1" x14ac:dyDescent="0.3">
      <c r="A9035" t="s">
        <v>8363</v>
      </c>
      <c r="B9035">
        <f t="shared" si="1344"/>
        <v>30</v>
      </c>
    </row>
    <row r="9036" spans="1:2" ht="15" customHeight="1" x14ac:dyDescent="0.3">
      <c r="A9036" t="s">
        <v>8364</v>
      </c>
      <c r="B9036">
        <f t="shared" si="1344"/>
        <v>30</v>
      </c>
    </row>
    <row r="9037" spans="1:2" ht="15" customHeight="1" x14ac:dyDescent="0.3">
      <c r="A9037" t="s">
        <v>8365</v>
      </c>
      <c r="B9037">
        <f t="shared" si="1344"/>
        <v>25</v>
      </c>
    </row>
    <row r="9038" spans="1:2" ht="15" customHeight="1" x14ac:dyDescent="0.3">
      <c r="A9038" t="s">
        <v>8366</v>
      </c>
      <c r="B9038">
        <f t="shared" si="1344"/>
        <v>30</v>
      </c>
    </row>
    <row r="9039" spans="1:2" ht="15" customHeight="1" x14ac:dyDescent="0.3">
      <c r="A9039" t="s">
        <v>8367</v>
      </c>
      <c r="B9039">
        <f t="shared" si="1344"/>
        <v>30</v>
      </c>
    </row>
    <row r="9040" spans="1:2" ht="15" customHeight="1" x14ac:dyDescent="0.3">
      <c r="A9040" t="s">
        <v>8368</v>
      </c>
      <c r="B9040">
        <f t="shared" ref="B9040:B9048" si="1345">B8559</f>
        <v>25</v>
      </c>
    </row>
    <row r="9041" spans="1:2" ht="15" customHeight="1" x14ac:dyDescent="0.3">
      <c r="A9041" t="s">
        <v>8369</v>
      </c>
      <c r="B9041">
        <f t="shared" si="1345"/>
        <v>25</v>
      </c>
    </row>
    <row r="9042" spans="1:2" ht="15" customHeight="1" x14ac:dyDescent="0.3">
      <c r="A9042" t="s">
        <v>8370</v>
      </c>
      <c r="B9042">
        <f t="shared" si="1345"/>
        <v>25</v>
      </c>
    </row>
    <row r="9043" spans="1:2" ht="15" customHeight="1" x14ac:dyDescent="0.3">
      <c r="A9043" t="s">
        <v>8371</v>
      </c>
      <c r="B9043">
        <f t="shared" si="1345"/>
        <v>25</v>
      </c>
    </row>
    <row r="9044" spans="1:2" ht="15" customHeight="1" x14ac:dyDescent="0.3">
      <c r="A9044" t="s">
        <v>8372</v>
      </c>
      <c r="B9044">
        <f t="shared" si="1345"/>
        <v>30</v>
      </c>
    </row>
    <row r="9045" spans="1:2" ht="15" customHeight="1" x14ac:dyDescent="0.3">
      <c r="A9045" t="s">
        <v>8373</v>
      </c>
      <c r="B9045">
        <f t="shared" si="1345"/>
        <v>25</v>
      </c>
    </row>
    <row r="9046" spans="1:2" ht="15" customHeight="1" x14ac:dyDescent="0.3">
      <c r="A9046" t="s">
        <v>8374</v>
      </c>
      <c r="B9046">
        <f t="shared" si="1345"/>
        <v>25</v>
      </c>
    </row>
    <row r="9047" spans="1:2" ht="15" customHeight="1" x14ac:dyDescent="0.3">
      <c r="A9047" t="s">
        <v>8375</v>
      </c>
      <c r="B9047">
        <f t="shared" si="1345"/>
        <v>30</v>
      </c>
    </row>
    <row r="9048" spans="1:2" ht="15" customHeight="1" x14ac:dyDescent="0.3">
      <c r="A9048" t="s">
        <v>8376</v>
      </c>
      <c r="B9048">
        <f t="shared" si="1345"/>
        <v>30</v>
      </c>
    </row>
    <row r="9049" spans="1:2" ht="15" customHeight="1" x14ac:dyDescent="0.3">
      <c r="A9049" t="s">
        <v>8377</v>
      </c>
      <c r="B9049">
        <f t="shared" ref="B9049:B9066" si="1346">B8573</f>
        <v>25</v>
      </c>
    </row>
    <row r="9050" spans="1:2" ht="15" customHeight="1" x14ac:dyDescent="0.3">
      <c r="A9050" t="s">
        <v>8378</v>
      </c>
      <c r="B9050">
        <f t="shared" si="1346"/>
        <v>25</v>
      </c>
    </row>
    <row r="9051" spans="1:2" ht="15" customHeight="1" x14ac:dyDescent="0.3">
      <c r="A9051" t="s">
        <v>8379</v>
      </c>
      <c r="B9051">
        <f t="shared" si="1346"/>
        <v>25</v>
      </c>
    </row>
    <row r="9052" spans="1:2" ht="15" customHeight="1" x14ac:dyDescent="0.3">
      <c r="A9052" t="s">
        <v>8380</v>
      </c>
      <c r="B9052">
        <f t="shared" si="1346"/>
        <v>25</v>
      </c>
    </row>
    <row r="9053" spans="1:2" ht="15" customHeight="1" x14ac:dyDescent="0.3">
      <c r="A9053" t="s">
        <v>8381</v>
      </c>
      <c r="B9053">
        <f t="shared" si="1346"/>
        <v>25</v>
      </c>
    </row>
    <row r="9054" spans="1:2" ht="15" customHeight="1" x14ac:dyDescent="0.3">
      <c r="A9054" t="s">
        <v>8382</v>
      </c>
      <c r="B9054">
        <f t="shared" si="1346"/>
        <v>25</v>
      </c>
    </row>
    <row r="9055" spans="1:2" ht="15" customHeight="1" x14ac:dyDescent="0.3">
      <c r="A9055" t="s">
        <v>8383</v>
      </c>
      <c r="B9055">
        <f t="shared" si="1346"/>
        <v>25</v>
      </c>
    </row>
    <row r="9056" spans="1:2" ht="15" customHeight="1" x14ac:dyDescent="0.3">
      <c r="A9056" t="s">
        <v>8384</v>
      </c>
      <c r="B9056">
        <f t="shared" si="1346"/>
        <v>25</v>
      </c>
    </row>
    <row r="9057" spans="1:2" ht="15" customHeight="1" x14ac:dyDescent="0.3">
      <c r="A9057" t="s">
        <v>8385</v>
      </c>
      <c r="B9057">
        <f t="shared" si="1346"/>
        <v>25</v>
      </c>
    </row>
    <row r="9058" spans="1:2" ht="15" customHeight="1" x14ac:dyDescent="0.3">
      <c r="A9058" t="s">
        <v>8386</v>
      </c>
      <c r="B9058">
        <f t="shared" si="1346"/>
        <v>30</v>
      </c>
    </row>
    <row r="9059" spans="1:2" ht="15" customHeight="1" x14ac:dyDescent="0.3">
      <c r="A9059" t="s">
        <v>8387</v>
      </c>
      <c r="B9059">
        <f t="shared" si="1346"/>
        <v>25</v>
      </c>
    </row>
    <row r="9060" spans="1:2" ht="15" customHeight="1" x14ac:dyDescent="0.3">
      <c r="A9060" t="s">
        <v>8388</v>
      </c>
      <c r="B9060">
        <f t="shared" si="1346"/>
        <v>25</v>
      </c>
    </row>
    <row r="9061" spans="1:2" ht="15" customHeight="1" x14ac:dyDescent="0.3">
      <c r="A9061" t="s">
        <v>8389</v>
      </c>
      <c r="B9061">
        <f t="shared" si="1346"/>
        <v>25</v>
      </c>
    </row>
    <row r="9062" spans="1:2" ht="15" customHeight="1" x14ac:dyDescent="0.3">
      <c r="A9062" t="s">
        <v>8390</v>
      </c>
      <c r="B9062">
        <f t="shared" si="1346"/>
        <v>25</v>
      </c>
    </row>
    <row r="9063" spans="1:2" ht="15" customHeight="1" x14ac:dyDescent="0.3">
      <c r="A9063" t="s">
        <v>8391</v>
      </c>
      <c r="B9063">
        <f t="shared" si="1346"/>
        <v>30</v>
      </c>
    </row>
    <row r="9064" spans="1:2" ht="15" customHeight="1" x14ac:dyDescent="0.3">
      <c r="A9064" t="s">
        <v>8392</v>
      </c>
      <c r="B9064">
        <f t="shared" si="1346"/>
        <v>30</v>
      </c>
    </row>
    <row r="9065" spans="1:2" ht="15" customHeight="1" x14ac:dyDescent="0.3">
      <c r="A9065" t="s">
        <v>8393</v>
      </c>
      <c r="B9065">
        <f t="shared" si="1346"/>
        <v>25</v>
      </c>
    </row>
    <row r="9066" spans="1:2" ht="15" customHeight="1" x14ac:dyDescent="0.3">
      <c r="A9066" t="s">
        <v>8394</v>
      </c>
      <c r="B9066">
        <f t="shared" si="1346"/>
        <v>25</v>
      </c>
    </row>
    <row r="9067" spans="1:2" ht="15" customHeight="1" x14ac:dyDescent="0.3">
      <c r="A9067" t="s">
        <v>8395</v>
      </c>
      <c r="B9067">
        <f>B8599</f>
        <v>25</v>
      </c>
    </row>
    <row r="9068" spans="1:2" ht="15" customHeight="1" x14ac:dyDescent="0.3">
      <c r="A9068" t="s">
        <v>8396</v>
      </c>
      <c r="B9068">
        <f>B8606</f>
        <v>25</v>
      </c>
    </row>
    <row r="9069" spans="1:2" ht="15" customHeight="1" x14ac:dyDescent="0.3">
      <c r="A9069" t="s">
        <v>8397</v>
      </c>
      <c r="B9069">
        <f>B8607</f>
        <v>25</v>
      </c>
    </row>
    <row r="9070" spans="1:2" ht="15" customHeight="1" x14ac:dyDescent="0.3">
      <c r="A9070" t="s">
        <v>8398</v>
      </c>
      <c r="B9070">
        <f>B8617</f>
        <v>25</v>
      </c>
    </row>
    <row r="9071" spans="1:2" ht="15" customHeight="1" x14ac:dyDescent="0.3">
      <c r="A9071" t="s">
        <v>8399</v>
      </c>
      <c r="B9071">
        <f>B8618</f>
        <v>30</v>
      </c>
    </row>
    <row r="9072" spans="1:2" ht="15" customHeight="1" x14ac:dyDescent="0.3">
      <c r="A9072" t="s">
        <v>8400</v>
      </c>
      <c r="B9072">
        <f>B8621</f>
        <v>30</v>
      </c>
    </row>
    <row r="9073" spans="1:2" ht="15" customHeight="1" x14ac:dyDescent="0.3">
      <c r="A9073" t="s">
        <v>8401</v>
      </c>
      <c r="B9073">
        <f t="shared" ref="B9073:B9089" si="1347">B8626</f>
        <v>30</v>
      </c>
    </row>
    <row r="9074" spans="1:2" ht="15" customHeight="1" x14ac:dyDescent="0.3">
      <c r="A9074" t="s">
        <v>8402</v>
      </c>
      <c r="B9074">
        <f t="shared" si="1347"/>
        <v>30</v>
      </c>
    </row>
    <row r="9075" spans="1:2" ht="15" customHeight="1" x14ac:dyDescent="0.3">
      <c r="A9075" t="s">
        <v>8403</v>
      </c>
      <c r="B9075">
        <f t="shared" si="1347"/>
        <v>30</v>
      </c>
    </row>
    <row r="9076" spans="1:2" ht="15" customHeight="1" x14ac:dyDescent="0.3">
      <c r="A9076" t="s">
        <v>8404</v>
      </c>
      <c r="B9076">
        <f t="shared" si="1347"/>
        <v>25</v>
      </c>
    </row>
    <row r="9077" spans="1:2" ht="15" customHeight="1" x14ac:dyDescent="0.3">
      <c r="A9077" t="s">
        <v>8405</v>
      </c>
      <c r="B9077">
        <f t="shared" si="1347"/>
        <v>25</v>
      </c>
    </row>
    <row r="9078" spans="1:2" ht="15" customHeight="1" x14ac:dyDescent="0.3">
      <c r="A9078" t="s">
        <v>8406</v>
      </c>
      <c r="B9078">
        <f t="shared" si="1347"/>
        <v>25</v>
      </c>
    </row>
    <row r="9079" spans="1:2" ht="15" customHeight="1" x14ac:dyDescent="0.3">
      <c r="A9079" s="36" t="s">
        <v>8407</v>
      </c>
      <c r="B9079">
        <f t="shared" si="1347"/>
        <v>25</v>
      </c>
    </row>
    <row r="9080" spans="1:2" ht="15" customHeight="1" x14ac:dyDescent="0.3">
      <c r="A9080" t="s">
        <v>8408</v>
      </c>
      <c r="B9080">
        <f t="shared" si="1347"/>
        <v>25</v>
      </c>
    </row>
    <row r="9081" spans="1:2" ht="15" customHeight="1" x14ac:dyDescent="0.3">
      <c r="A9081" t="s">
        <v>8409</v>
      </c>
      <c r="B9081">
        <f t="shared" si="1347"/>
        <v>30</v>
      </c>
    </row>
    <row r="9082" spans="1:2" ht="15" customHeight="1" x14ac:dyDescent="0.3">
      <c r="A9082" t="s">
        <v>8410</v>
      </c>
      <c r="B9082">
        <f t="shared" si="1347"/>
        <v>30</v>
      </c>
    </row>
    <row r="9083" spans="1:2" ht="15" customHeight="1" x14ac:dyDescent="0.3">
      <c r="A9083" t="s">
        <v>8411</v>
      </c>
      <c r="B9083">
        <f t="shared" si="1347"/>
        <v>30</v>
      </c>
    </row>
    <row r="9084" spans="1:2" ht="15" customHeight="1" x14ac:dyDescent="0.3">
      <c r="A9084" t="s">
        <v>8412</v>
      </c>
      <c r="B9084">
        <f t="shared" si="1347"/>
        <v>30</v>
      </c>
    </row>
    <row r="9085" spans="1:2" ht="15" customHeight="1" x14ac:dyDescent="0.3">
      <c r="A9085" t="s">
        <v>8413</v>
      </c>
      <c r="B9085">
        <f t="shared" si="1347"/>
        <v>0</v>
      </c>
    </row>
    <row r="9086" spans="1:2" ht="15" customHeight="1" x14ac:dyDescent="0.3">
      <c r="A9086" t="s">
        <v>8414</v>
      </c>
      <c r="B9086">
        <f t="shared" si="1347"/>
        <v>30</v>
      </c>
    </row>
    <row r="9087" spans="1:2" ht="15" customHeight="1" x14ac:dyDescent="0.3">
      <c r="A9087" t="s">
        <v>8415</v>
      </c>
      <c r="B9087">
        <f t="shared" si="1347"/>
        <v>30</v>
      </c>
    </row>
    <row r="9088" spans="1:2" ht="15" customHeight="1" x14ac:dyDescent="0.3">
      <c r="A9088" t="s">
        <v>8416</v>
      </c>
      <c r="B9088">
        <f t="shared" si="1347"/>
        <v>25</v>
      </c>
    </row>
    <row r="9089" spans="1:2" ht="15" customHeight="1" x14ac:dyDescent="0.3">
      <c r="A9089" t="s">
        <v>8417</v>
      </c>
      <c r="B9089">
        <f t="shared" si="1347"/>
        <v>25</v>
      </c>
    </row>
    <row r="9090" spans="1:2" ht="15" customHeight="1" x14ac:dyDescent="0.3">
      <c r="A9090" t="s">
        <v>8418</v>
      </c>
      <c r="B9090" t="e">
        <f>#REF!</f>
        <v>#REF!</v>
      </c>
    </row>
    <row r="9091" spans="1:2" ht="15" customHeight="1" x14ac:dyDescent="0.3">
      <c r="A9091" t="s">
        <v>8419</v>
      </c>
      <c r="B9091">
        <f>B8643</f>
        <v>25</v>
      </c>
    </row>
    <row r="9092" spans="1:2" ht="15" customHeight="1" x14ac:dyDescent="0.3">
      <c r="A9092" t="s">
        <v>8420</v>
      </c>
      <c r="B9092">
        <f>B8644</f>
        <v>25</v>
      </c>
    </row>
    <row r="9093" spans="1:2" ht="15" customHeight="1" x14ac:dyDescent="0.3">
      <c r="A9093" t="s">
        <v>8421</v>
      </c>
      <c r="B9093">
        <f t="shared" ref="B9093:B9099" si="1348">B8655</f>
        <v>25</v>
      </c>
    </row>
    <row r="9094" spans="1:2" ht="15" customHeight="1" x14ac:dyDescent="0.3">
      <c r="A9094" t="s">
        <v>8422</v>
      </c>
      <c r="B9094">
        <f t="shared" si="1348"/>
        <v>25</v>
      </c>
    </row>
    <row r="9095" spans="1:2" ht="15" customHeight="1" x14ac:dyDescent="0.3">
      <c r="A9095" t="s">
        <v>8423</v>
      </c>
      <c r="B9095">
        <f t="shared" si="1348"/>
        <v>25</v>
      </c>
    </row>
    <row r="9096" spans="1:2" ht="15" customHeight="1" x14ac:dyDescent="0.3">
      <c r="A9096" t="s">
        <v>8424</v>
      </c>
      <c r="B9096">
        <f t="shared" si="1348"/>
        <v>30</v>
      </c>
    </row>
    <row r="9097" spans="1:2" ht="15" customHeight="1" x14ac:dyDescent="0.3">
      <c r="A9097" t="s">
        <v>8425</v>
      </c>
      <c r="B9097">
        <f t="shared" si="1348"/>
        <v>30</v>
      </c>
    </row>
    <row r="9098" spans="1:2" ht="15" customHeight="1" x14ac:dyDescent="0.3">
      <c r="A9098" t="s">
        <v>8426</v>
      </c>
      <c r="B9098">
        <f t="shared" si="1348"/>
        <v>30</v>
      </c>
    </row>
    <row r="9099" spans="1:2" ht="15" customHeight="1" x14ac:dyDescent="0.3">
      <c r="A9099" t="s">
        <v>8427</v>
      </c>
      <c r="B9099">
        <f t="shared" si="1348"/>
        <v>25</v>
      </c>
    </row>
    <row r="9100" spans="1:2" ht="15" customHeight="1" x14ac:dyDescent="0.3">
      <c r="A9100" t="s">
        <v>8428</v>
      </c>
      <c r="B9100">
        <f t="shared" ref="B9100:B9108" si="1349">B8663</f>
        <v>30</v>
      </c>
    </row>
    <row r="9101" spans="1:2" ht="15" customHeight="1" x14ac:dyDescent="0.3">
      <c r="A9101" t="s">
        <v>8429</v>
      </c>
      <c r="B9101">
        <f t="shared" si="1349"/>
        <v>25</v>
      </c>
    </row>
    <row r="9102" spans="1:2" ht="15" customHeight="1" x14ac:dyDescent="0.3">
      <c r="A9102" t="s">
        <v>8430</v>
      </c>
      <c r="B9102">
        <f t="shared" si="1349"/>
        <v>30</v>
      </c>
    </row>
    <row r="9103" spans="1:2" ht="15" customHeight="1" x14ac:dyDescent="0.3">
      <c r="A9103" t="s">
        <v>8431</v>
      </c>
      <c r="B9103">
        <f t="shared" si="1349"/>
        <v>25</v>
      </c>
    </row>
    <row r="9104" spans="1:2" ht="15" customHeight="1" x14ac:dyDescent="0.3">
      <c r="A9104" t="s">
        <v>8432</v>
      </c>
      <c r="B9104">
        <f t="shared" si="1349"/>
        <v>30</v>
      </c>
    </row>
    <row r="9105" spans="1:2" ht="15" customHeight="1" x14ac:dyDescent="0.3">
      <c r="A9105" t="s">
        <v>8433</v>
      </c>
      <c r="B9105">
        <f t="shared" si="1349"/>
        <v>25</v>
      </c>
    </row>
    <row r="9106" spans="1:2" ht="15" customHeight="1" x14ac:dyDescent="0.3">
      <c r="A9106" t="s">
        <v>8434</v>
      </c>
      <c r="B9106">
        <f t="shared" si="1349"/>
        <v>30</v>
      </c>
    </row>
    <row r="9107" spans="1:2" ht="15" customHeight="1" x14ac:dyDescent="0.3">
      <c r="A9107" t="s">
        <v>8435</v>
      </c>
      <c r="B9107">
        <f t="shared" si="1349"/>
        <v>30</v>
      </c>
    </row>
    <row r="9108" spans="1:2" ht="15" customHeight="1" x14ac:dyDescent="0.3">
      <c r="A9108" t="s">
        <v>8436</v>
      </c>
      <c r="B9108">
        <f t="shared" si="1349"/>
        <v>25</v>
      </c>
    </row>
    <row r="9109" spans="1:2" ht="15" customHeight="1" x14ac:dyDescent="0.3">
      <c r="A9109" t="s">
        <v>8437</v>
      </c>
      <c r="B9109">
        <f t="shared" ref="B9109:B9151" si="1350">B8677</f>
        <v>25</v>
      </c>
    </row>
    <row r="9110" spans="1:2" ht="15" customHeight="1" x14ac:dyDescent="0.3">
      <c r="A9110" t="s">
        <v>8438</v>
      </c>
      <c r="B9110">
        <f t="shared" si="1350"/>
        <v>25</v>
      </c>
    </row>
    <row r="9111" spans="1:2" ht="15" customHeight="1" x14ac:dyDescent="0.3">
      <c r="A9111" t="s">
        <v>8439</v>
      </c>
      <c r="B9111">
        <f t="shared" si="1350"/>
        <v>25</v>
      </c>
    </row>
    <row r="9112" spans="1:2" ht="15" customHeight="1" x14ac:dyDescent="0.3">
      <c r="A9112" t="s">
        <v>8440</v>
      </c>
      <c r="B9112">
        <f t="shared" si="1350"/>
        <v>25</v>
      </c>
    </row>
    <row r="9113" spans="1:2" ht="15" customHeight="1" x14ac:dyDescent="0.3">
      <c r="A9113" t="s">
        <v>8441</v>
      </c>
      <c r="B9113">
        <f t="shared" si="1350"/>
        <v>25</v>
      </c>
    </row>
    <row r="9114" spans="1:2" ht="15" customHeight="1" x14ac:dyDescent="0.3">
      <c r="A9114" t="s">
        <v>8442</v>
      </c>
      <c r="B9114">
        <f t="shared" si="1350"/>
        <v>25</v>
      </c>
    </row>
    <row r="9115" spans="1:2" ht="15" customHeight="1" x14ac:dyDescent="0.3">
      <c r="A9115" t="s">
        <v>8443</v>
      </c>
      <c r="B9115">
        <f t="shared" si="1350"/>
        <v>25</v>
      </c>
    </row>
    <row r="9116" spans="1:2" ht="15" customHeight="1" x14ac:dyDescent="0.3">
      <c r="A9116" t="s">
        <v>8444</v>
      </c>
      <c r="B9116">
        <f t="shared" si="1350"/>
        <v>25</v>
      </c>
    </row>
    <row r="9117" spans="1:2" ht="15" customHeight="1" x14ac:dyDescent="0.3">
      <c r="A9117" t="s">
        <v>8445</v>
      </c>
      <c r="B9117">
        <f t="shared" si="1350"/>
        <v>25</v>
      </c>
    </row>
    <row r="9118" spans="1:2" ht="15" customHeight="1" x14ac:dyDescent="0.3">
      <c r="A9118" t="s">
        <v>8446</v>
      </c>
      <c r="B9118">
        <f t="shared" si="1350"/>
        <v>25</v>
      </c>
    </row>
    <row r="9119" spans="1:2" ht="15" customHeight="1" x14ac:dyDescent="0.3">
      <c r="A9119" t="s">
        <v>8447</v>
      </c>
      <c r="B9119">
        <f t="shared" si="1350"/>
        <v>25</v>
      </c>
    </row>
    <row r="9120" spans="1:2" ht="15" customHeight="1" x14ac:dyDescent="0.3">
      <c r="A9120" t="s">
        <v>8448</v>
      </c>
      <c r="B9120">
        <f t="shared" si="1350"/>
        <v>25</v>
      </c>
    </row>
    <row r="9121" spans="1:2" ht="15" customHeight="1" x14ac:dyDescent="0.3">
      <c r="A9121" t="s">
        <v>8449</v>
      </c>
      <c r="B9121">
        <f t="shared" si="1350"/>
        <v>25</v>
      </c>
    </row>
    <row r="9122" spans="1:2" ht="15" customHeight="1" x14ac:dyDescent="0.3">
      <c r="A9122" t="s">
        <v>8450</v>
      </c>
      <c r="B9122">
        <f t="shared" si="1350"/>
        <v>25</v>
      </c>
    </row>
    <row r="9123" spans="1:2" ht="15" customHeight="1" x14ac:dyDescent="0.3">
      <c r="A9123" t="s">
        <v>8451</v>
      </c>
      <c r="B9123">
        <f t="shared" si="1350"/>
        <v>25</v>
      </c>
    </row>
    <row r="9124" spans="1:2" ht="15" customHeight="1" x14ac:dyDescent="0.3">
      <c r="A9124" t="s">
        <v>8452</v>
      </c>
      <c r="B9124">
        <f t="shared" si="1350"/>
        <v>25</v>
      </c>
    </row>
    <row r="9125" spans="1:2" ht="15" customHeight="1" x14ac:dyDescent="0.3">
      <c r="A9125" t="s">
        <v>8453</v>
      </c>
      <c r="B9125">
        <f t="shared" si="1350"/>
        <v>25</v>
      </c>
    </row>
    <row r="9126" spans="1:2" ht="15" customHeight="1" x14ac:dyDescent="0.3">
      <c r="A9126" t="s">
        <v>8454</v>
      </c>
      <c r="B9126">
        <f t="shared" si="1350"/>
        <v>25</v>
      </c>
    </row>
    <row r="9127" spans="1:2" ht="15" customHeight="1" x14ac:dyDescent="0.3">
      <c r="A9127" t="s">
        <v>8455</v>
      </c>
      <c r="B9127">
        <f t="shared" si="1350"/>
        <v>25</v>
      </c>
    </row>
    <row r="9128" spans="1:2" ht="15" customHeight="1" x14ac:dyDescent="0.3">
      <c r="A9128" t="s">
        <v>8456</v>
      </c>
      <c r="B9128">
        <f t="shared" si="1350"/>
        <v>25</v>
      </c>
    </row>
    <row r="9129" spans="1:2" ht="15" customHeight="1" x14ac:dyDescent="0.3">
      <c r="A9129" t="s">
        <v>8457</v>
      </c>
      <c r="B9129">
        <f t="shared" si="1350"/>
        <v>25</v>
      </c>
    </row>
    <row r="9130" spans="1:2" ht="15" customHeight="1" x14ac:dyDescent="0.3">
      <c r="A9130" t="s">
        <v>8458</v>
      </c>
      <c r="B9130">
        <f t="shared" si="1350"/>
        <v>25</v>
      </c>
    </row>
    <row r="9131" spans="1:2" ht="15" customHeight="1" x14ac:dyDescent="0.3">
      <c r="A9131" t="s">
        <v>8459</v>
      </c>
      <c r="B9131">
        <f t="shared" si="1350"/>
        <v>25</v>
      </c>
    </row>
    <row r="9132" spans="1:2" ht="15" customHeight="1" x14ac:dyDescent="0.3">
      <c r="A9132" t="s">
        <v>8460</v>
      </c>
      <c r="B9132">
        <f t="shared" si="1350"/>
        <v>25</v>
      </c>
    </row>
    <row r="9133" spans="1:2" ht="15" customHeight="1" x14ac:dyDescent="0.3">
      <c r="A9133" t="s">
        <v>8461</v>
      </c>
      <c r="B9133">
        <f t="shared" si="1350"/>
        <v>25</v>
      </c>
    </row>
    <row r="9134" spans="1:2" ht="15" customHeight="1" x14ac:dyDescent="0.3">
      <c r="A9134" t="s">
        <v>8462</v>
      </c>
      <c r="B9134">
        <f t="shared" si="1350"/>
        <v>25</v>
      </c>
    </row>
    <row r="9135" spans="1:2" ht="15" customHeight="1" x14ac:dyDescent="0.3">
      <c r="A9135" t="s">
        <v>8463</v>
      </c>
      <c r="B9135">
        <f t="shared" si="1350"/>
        <v>25</v>
      </c>
    </row>
    <row r="9136" spans="1:2" ht="15" customHeight="1" x14ac:dyDescent="0.3">
      <c r="A9136" t="s">
        <v>8464</v>
      </c>
      <c r="B9136">
        <f t="shared" si="1350"/>
        <v>25</v>
      </c>
    </row>
    <row r="9137" spans="1:2" ht="15" customHeight="1" x14ac:dyDescent="0.3">
      <c r="A9137" t="s">
        <v>8465</v>
      </c>
      <c r="B9137">
        <f t="shared" si="1350"/>
        <v>35</v>
      </c>
    </row>
    <row r="9138" spans="1:2" ht="15" customHeight="1" x14ac:dyDescent="0.3">
      <c r="A9138" t="s">
        <v>8466</v>
      </c>
      <c r="B9138">
        <f t="shared" si="1350"/>
        <v>30</v>
      </c>
    </row>
    <row r="9139" spans="1:2" ht="15" customHeight="1" x14ac:dyDescent="0.3">
      <c r="A9139" t="s">
        <v>8467</v>
      </c>
      <c r="B9139">
        <f t="shared" si="1350"/>
        <v>25</v>
      </c>
    </row>
    <row r="9140" spans="1:2" ht="15" customHeight="1" x14ac:dyDescent="0.3">
      <c r="A9140" t="s">
        <v>8468</v>
      </c>
      <c r="B9140">
        <f t="shared" si="1350"/>
        <v>25</v>
      </c>
    </row>
    <row r="9141" spans="1:2" ht="15" customHeight="1" x14ac:dyDescent="0.3">
      <c r="A9141" t="s">
        <v>8469</v>
      </c>
      <c r="B9141">
        <f t="shared" si="1350"/>
        <v>25</v>
      </c>
    </row>
    <row r="9142" spans="1:2" ht="15" customHeight="1" x14ac:dyDescent="0.3">
      <c r="A9142" t="s">
        <v>8470</v>
      </c>
      <c r="B9142">
        <f t="shared" si="1350"/>
        <v>25</v>
      </c>
    </row>
    <row r="9143" spans="1:2" ht="15" customHeight="1" x14ac:dyDescent="0.3">
      <c r="A9143" t="s">
        <v>8471</v>
      </c>
      <c r="B9143">
        <f t="shared" si="1350"/>
        <v>25</v>
      </c>
    </row>
    <row r="9144" spans="1:2" ht="15" customHeight="1" x14ac:dyDescent="0.3">
      <c r="A9144" t="s">
        <v>8472</v>
      </c>
      <c r="B9144">
        <f t="shared" si="1350"/>
        <v>25</v>
      </c>
    </row>
    <row r="9145" spans="1:2" ht="15" customHeight="1" x14ac:dyDescent="0.3">
      <c r="A9145" t="s">
        <v>8473</v>
      </c>
      <c r="B9145">
        <f t="shared" si="1350"/>
        <v>25</v>
      </c>
    </row>
    <row r="9146" spans="1:2" ht="15" customHeight="1" x14ac:dyDescent="0.3">
      <c r="A9146" t="s">
        <v>8474</v>
      </c>
      <c r="B9146">
        <f t="shared" si="1350"/>
        <v>30</v>
      </c>
    </row>
    <row r="9147" spans="1:2" ht="15" customHeight="1" x14ac:dyDescent="0.3">
      <c r="A9147" t="s">
        <v>8475</v>
      </c>
      <c r="B9147">
        <f t="shared" si="1350"/>
        <v>65</v>
      </c>
    </row>
    <row r="9148" spans="1:2" ht="15" customHeight="1" x14ac:dyDescent="0.3">
      <c r="A9148" t="s">
        <v>8476</v>
      </c>
      <c r="B9148">
        <f t="shared" si="1350"/>
        <v>65</v>
      </c>
    </row>
    <row r="9149" spans="1:2" ht="15" customHeight="1" x14ac:dyDescent="0.3">
      <c r="A9149" t="s">
        <v>8477</v>
      </c>
      <c r="B9149">
        <f t="shared" si="1350"/>
        <v>65</v>
      </c>
    </row>
    <row r="9150" spans="1:2" ht="15" customHeight="1" x14ac:dyDescent="0.3">
      <c r="A9150" t="s">
        <v>8478</v>
      </c>
      <c r="B9150">
        <f t="shared" si="1350"/>
        <v>30</v>
      </c>
    </row>
    <row r="9151" spans="1:2" ht="15" customHeight="1" x14ac:dyDescent="0.3">
      <c r="A9151" t="s">
        <v>8479</v>
      </c>
      <c r="B9151">
        <f t="shared" si="1350"/>
        <v>30</v>
      </c>
    </row>
    <row r="9152" spans="1:2" ht="15" customHeight="1" x14ac:dyDescent="0.3">
      <c r="A9152" t="s">
        <v>8480</v>
      </c>
      <c r="B9152">
        <f t="shared" ref="B9152:B9173" si="1351">B8725</f>
        <v>55</v>
      </c>
    </row>
    <row r="9153" spans="1:2" ht="15" customHeight="1" x14ac:dyDescent="0.3">
      <c r="A9153" t="s">
        <v>8481</v>
      </c>
      <c r="B9153">
        <f t="shared" si="1351"/>
        <v>50</v>
      </c>
    </row>
    <row r="9154" spans="1:2" ht="15" customHeight="1" x14ac:dyDescent="0.3">
      <c r="A9154" t="s">
        <v>8482</v>
      </c>
      <c r="B9154">
        <f t="shared" si="1351"/>
        <v>70</v>
      </c>
    </row>
    <row r="9155" spans="1:2" ht="15" customHeight="1" x14ac:dyDescent="0.3">
      <c r="A9155" t="s">
        <v>8483</v>
      </c>
      <c r="B9155">
        <f t="shared" si="1351"/>
        <v>65</v>
      </c>
    </row>
    <row r="9156" spans="1:2" ht="15" customHeight="1" x14ac:dyDescent="0.3">
      <c r="A9156" t="s">
        <v>8484</v>
      </c>
      <c r="B9156">
        <f t="shared" si="1351"/>
        <v>50</v>
      </c>
    </row>
    <row r="9157" spans="1:2" ht="15" customHeight="1" x14ac:dyDescent="0.3">
      <c r="A9157" t="s">
        <v>8485</v>
      </c>
      <c r="B9157">
        <f t="shared" si="1351"/>
        <v>30</v>
      </c>
    </row>
    <row r="9158" spans="1:2" ht="15" customHeight="1" x14ac:dyDescent="0.3">
      <c r="A9158" t="s">
        <v>8486</v>
      </c>
      <c r="B9158">
        <f t="shared" si="1351"/>
        <v>30</v>
      </c>
    </row>
    <row r="9159" spans="1:2" ht="15" customHeight="1" x14ac:dyDescent="0.3">
      <c r="A9159" t="s">
        <v>8487</v>
      </c>
      <c r="B9159">
        <f t="shared" si="1351"/>
        <v>55</v>
      </c>
    </row>
    <row r="9160" spans="1:2" ht="15" customHeight="1" x14ac:dyDescent="0.3">
      <c r="A9160" t="s">
        <v>8488</v>
      </c>
      <c r="B9160">
        <f t="shared" si="1351"/>
        <v>25</v>
      </c>
    </row>
    <row r="9161" spans="1:2" ht="15" customHeight="1" x14ac:dyDescent="0.3">
      <c r="A9161" t="s">
        <v>8489</v>
      </c>
      <c r="B9161">
        <f t="shared" si="1351"/>
        <v>30</v>
      </c>
    </row>
    <row r="9162" spans="1:2" ht="15" customHeight="1" x14ac:dyDescent="0.3">
      <c r="A9162" t="s">
        <v>8490</v>
      </c>
      <c r="B9162">
        <f t="shared" si="1351"/>
        <v>30</v>
      </c>
    </row>
    <row r="9163" spans="1:2" ht="15" customHeight="1" x14ac:dyDescent="0.3">
      <c r="A9163" t="s">
        <v>8491</v>
      </c>
      <c r="B9163">
        <f t="shared" si="1351"/>
        <v>25</v>
      </c>
    </row>
    <row r="9164" spans="1:2" ht="15" customHeight="1" x14ac:dyDescent="0.3">
      <c r="A9164" t="s">
        <v>8492</v>
      </c>
      <c r="B9164">
        <f t="shared" si="1351"/>
        <v>25</v>
      </c>
    </row>
    <row r="9165" spans="1:2" ht="15" customHeight="1" x14ac:dyDescent="0.3">
      <c r="A9165" t="s">
        <v>8493</v>
      </c>
      <c r="B9165">
        <f t="shared" si="1351"/>
        <v>25</v>
      </c>
    </row>
    <row r="9166" spans="1:2" ht="15" customHeight="1" x14ac:dyDescent="0.3">
      <c r="A9166" t="s">
        <v>8494</v>
      </c>
      <c r="B9166">
        <f t="shared" si="1351"/>
        <v>25</v>
      </c>
    </row>
    <row r="9167" spans="1:2" ht="15" customHeight="1" x14ac:dyDescent="0.3">
      <c r="A9167" t="s">
        <v>8495</v>
      </c>
      <c r="B9167">
        <f t="shared" si="1351"/>
        <v>25</v>
      </c>
    </row>
    <row r="9168" spans="1:2" ht="15" customHeight="1" x14ac:dyDescent="0.3">
      <c r="A9168" t="s">
        <v>8496</v>
      </c>
      <c r="B9168">
        <f t="shared" si="1351"/>
        <v>25</v>
      </c>
    </row>
    <row r="9169" spans="1:2" ht="15" customHeight="1" x14ac:dyDescent="0.3">
      <c r="A9169" t="s">
        <v>8497</v>
      </c>
      <c r="B9169">
        <f t="shared" si="1351"/>
        <v>25</v>
      </c>
    </row>
    <row r="9170" spans="1:2" ht="15" customHeight="1" x14ac:dyDescent="0.3">
      <c r="A9170" t="s">
        <v>8498</v>
      </c>
      <c r="B9170">
        <f t="shared" si="1351"/>
        <v>45</v>
      </c>
    </row>
    <row r="9171" spans="1:2" ht="15" customHeight="1" x14ac:dyDescent="0.3">
      <c r="A9171" t="s">
        <v>8499</v>
      </c>
      <c r="B9171">
        <f t="shared" si="1351"/>
        <v>35</v>
      </c>
    </row>
    <row r="9172" spans="1:2" ht="15" customHeight="1" x14ac:dyDescent="0.3">
      <c r="A9172" t="s">
        <v>8500</v>
      </c>
      <c r="B9172">
        <f t="shared" si="1351"/>
        <v>35</v>
      </c>
    </row>
    <row r="9173" spans="1:2" ht="15" customHeight="1" x14ac:dyDescent="0.3">
      <c r="A9173" t="s">
        <v>8501</v>
      </c>
      <c r="B9173">
        <f t="shared" si="1351"/>
        <v>55</v>
      </c>
    </row>
    <row r="9174" spans="1:2" ht="15" customHeight="1" x14ac:dyDescent="0.3">
      <c r="A9174" t="s">
        <v>5138</v>
      </c>
      <c r="B9174">
        <f t="shared" ref="B9174:B9196" si="1352">F2232</f>
        <v>35</v>
      </c>
    </row>
    <row r="9175" spans="1:2" ht="15" customHeight="1" x14ac:dyDescent="0.3">
      <c r="A9175" t="s">
        <v>5139</v>
      </c>
      <c r="B9175">
        <f t="shared" si="1352"/>
        <v>40</v>
      </c>
    </row>
    <row r="9176" spans="1:2" ht="15" customHeight="1" x14ac:dyDescent="0.3">
      <c r="A9176" t="s">
        <v>5140</v>
      </c>
      <c r="B9176">
        <f t="shared" si="1352"/>
        <v>40</v>
      </c>
    </row>
    <row r="9177" spans="1:2" ht="15" customHeight="1" x14ac:dyDescent="0.3">
      <c r="A9177" t="s">
        <v>5141</v>
      </c>
      <c r="B9177">
        <f t="shared" si="1352"/>
        <v>40</v>
      </c>
    </row>
    <row r="9178" spans="1:2" ht="15" customHeight="1" x14ac:dyDescent="0.3">
      <c r="A9178" t="s">
        <v>5142</v>
      </c>
      <c r="B9178">
        <f t="shared" si="1352"/>
        <v>35</v>
      </c>
    </row>
    <row r="9179" spans="1:2" ht="15" customHeight="1" x14ac:dyDescent="0.3">
      <c r="A9179" t="s">
        <v>5887</v>
      </c>
      <c r="B9179">
        <f t="shared" si="1352"/>
        <v>45</v>
      </c>
    </row>
    <row r="9180" spans="1:2" ht="15" customHeight="1" x14ac:dyDescent="0.3">
      <c r="A9180" t="s">
        <v>5485</v>
      </c>
      <c r="B9180">
        <f t="shared" si="1352"/>
        <v>45</v>
      </c>
    </row>
    <row r="9181" spans="1:2" ht="15" customHeight="1" x14ac:dyDescent="0.3">
      <c r="A9181" t="s">
        <v>5143</v>
      </c>
      <c r="B9181">
        <f t="shared" si="1352"/>
        <v>40</v>
      </c>
    </row>
    <row r="9182" spans="1:2" ht="15" customHeight="1" x14ac:dyDescent="0.3">
      <c r="A9182" t="s">
        <v>5144</v>
      </c>
      <c r="B9182">
        <f t="shared" si="1352"/>
        <v>45</v>
      </c>
    </row>
    <row r="9183" spans="1:2" ht="15" customHeight="1" x14ac:dyDescent="0.3">
      <c r="A9183" t="s">
        <v>5145</v>
      </c>
      <c r="B9183">
        <f t="shared" si="1352"/>
        <v>50</v>
      </c>
    </row>
    <row r="9184" spans="1:2" ht="15" customHeight="1" x14ac:dyDescent="0.3">
      <c r="A9184" t="s">
        <v>5276</v>
      </c>
      <c r="B9184">
        <f t="shared" si="1352"/>
        <v>50</v>
      </c>
    </row>
    <row r="9185" spans="1:2" ht="15" customHeight="1" x14ac:dyDescent="0.3">
      <c r="A9185" t="s">
        <v>5486</v>
      </c>
      <c r="B9185">
        <f t="shared" si="1352"/>
        <v>55</v>
      </c>
    </row>
    <row r="9186" spans="1:2" ht="15" customHeight="1" x14ac:dyDescent="0.3">
      <c r="A9186" t="s">
        <v>5277</v>
      </c>
      <c r="B9186">
        <f t="shared" si="1352"/>
        <v>30</v>
      </c>
    </row>
    <row r="9187" spans="1:2" ht="15" customHeight="1" x14ac:dyDescent="0.3">
      <c r="A9187" t="s">
        <v>5278</v>
      </c>
      <c r="B9187">
        <f t="shared" si="1352"/>
        <v>35</v>
      </c>
    </row>
    <row r="9188" spans="1:2" ht="15" customHeight="1" x14ac:dyDescent="0.3">
      <c r="A9188" t="s">
        <v>5487</v>
      </c>
      <c r="B9188">
        <f t="shared" si="1352"/>
        <v>30</v>
      </c>
    </row>
    <row r="9189" spans="1:2" ht="15" customHeight="1" x14ac:dyDescent="0.3">
      <c r="A9189" t="s">
        <v>5279</v>
      </c>
      <c r="B9189">
        <f t="shared" si="1352"/>
        <v>35</v>
      </c>
    </row>
    <row r="9190" spans="1:2" ht="15" customHeight="1" x14ac:dyDescent="0.3">
      <c r="A9190" t="s">
        <v>5488</v>
      </c>
      <c r="B9190">
        <f t="shared" si="1352"/>
        <v>30</v>
      </c>
    </row>
    <row r="9191" spans="1:2" ht="15" customHeight="1" x14ac:dyDescent="0.3">
      <c r="A9191" t="s">
        <v>5489</v>
      </c>
      <c r="B9191">
        <f t="shared" si="1352"/>
        <v>30</v>
      </c>
    </row>
    <row r="9192" spans="1:2" ht="15" customHeight="1" x14ac:dyDescent="0.3">
      <c r="A9192" t="s">
        <v>5888</v>
      </c>
      <c r="B9192">
        <f t="shared" si="1352"/>
        <v>35</v>
      </c>
    </row>
    <row r="9193" spans="1:2" ht="15" customHeight="1" x14ac:dyDescent="0.3">
      <c r="A9193" t="s">
        <v>5490</v>
      </c>
      <c r="B9193">
        <f t="shared" si="1352"/>
        <v>35</v>
      </c>
    </row>
    <row r="9194" spans="1:2" ht="15" customHeight="1" x14ac:dyDescent="0.3">
      <c r="A9194" t="s">
        <v>5491</v>
      </c>
      <c r="B9194">
        <f t="shared" si="1352"/>
        <v>35</v>
      </c>
    </row>
    <row r="9195" spans="1:2" ht="15" customHeight="1" x14ac:dyDescent="0.3">
      <c r="A9195" t="s">
        <v>6009</v>
      </c>
      <c r="B9195">
        <f t="shared" si="1352"/>
        <v>35</v>
      </c>
    </row>
    <row r="9196" spans="1:2" ht="15" customHeight="1" x14ac:dyDescent="0.3">
      <c r="A9196" t="s">
        <v>5492</v>
      </c>
      <c r="B9196">
        <f t="shared" si="1352"/>
        <v>35</v>
      </c>
    </row>
    <row r="9197" spans="1:2" ht="15" customHeight="1" x14ac:dyDescent="0.3">
      <c r="A9197" t="s">
        <v>5495</v>
      </c>
      <c r="B9197">
        <f>F2257</f>
        <v>35</v>
      </c>
    </row>
    <row r="9198" spans="1:2" ht="15" customHeight="1" x14ac:dyDescent="0.3">
      <c r="A9198" t="s">
        <v>5493</v>
      </c>
      <c r="B9198">
        <f>F2255</f>
        <v>35</v>
      </c>
    </row>
    <row r="9199" spans="1:2" ht="15" customHeight="1" x14ac:dyDescent="0.3">
      <c r="A9199" t="s">
        <v>5494</v>
      </c>
      <c r="B9199">
        <f>F2256</f>
        <v>35</v>
      </c>
    </row>
    <row r="9200" spans="1:2" ht="15" customHeight="1" x14ac:dyDescent="0.3">
      <c r="A9200" t="s">
        <v>5496</v>
      </c>
      <c r="B9200">
        <f>B9197</f>
        <v>35</v>
      </c>
    </row>
    <row r="9201" spans="1:2" ht="15" customHeight="1" x14ac:dyDescent="0.3">
      <c r="A9201" t="s">
        <v>5497</v>
      </c>
      <c r="B9201">
        <f>F2258</f>
        <v>35</v>
      </c>
    </row>
    <row r="9202" spans="1:2" ht="15" customHeight="1" x14ac:dyDescent="0.3">
      <c r="A9202" t="s">
        <v>5498</v>
      </c>
      <c r="B9202">
        <f>B9201</f>
        <v>35</v>
      </c>
    </row>
    <row r="9203" spans="1:2" ht="15" customHeight="1" x14ac:dyDescent="0.3">
      <c r="A9203" t="s">
        <v>5499</v>
      </c>
      <c r="B9203">
        <f t="shared" ref="B9203:B9214" si="1353">F2259</f>
        <v>35</v>
      </c>
    </row>
    <row r="9204" spans="1:2" ht="15" customHeight="1" x14ac:dyDescent="0.3">
      <c r="A9204" t="s">
        <v>5500</v>
      </c>
      <c r="B9204">
        <f t="shared" si="1353"/>
        <v>35</v>
      </c>
    </row>
    <row r="9205" spans="1:2" ht="15" customHeight="1" x14ac:dyDescent="0.3">
      <c r="A9205" t="s">
        <v>6010</v>
      </c>
      <c r="B9205">
        <f t="shared" si="1353"/>
        <v>80</v>
      </c>
    </row>
    <row r="9206" spans="1:2" ht="15" customHeight="1" x14ac:dyDescent="0.3">
      <c r="A9206" t="s">
        <v>5928</v>
      </c>
      <c r="B9206">
        <f t="shared" si="1353"/>
        <v>35</v>
      </c>
    </row>
    <row r="9207" spans="1:2" ht="15" customHeight="1" x14ac:dyDescent="0.3">
      <c r="A9207" t="s">
        <v>5501</v>
      </c>
      <c r="B9207">
        <f t="shared" si="1353"/>
        <v>30</v>
      </c>
    </row>
    <row r="9208" spans="1:2" ht="15" customHeight="1" x14ac:dyDescent="0.3">
      <c r="A9208" t="s">
        <v>5929</v>
      </c>
      <c r="B9208">
        <f t="shared" si="1353"/>
        <v>35</v>
      </c>
    </row>
    <row r="9209" spans="1:2" ht="15" customHeight="1" x14ac:dyDescent="0.3">
      <c r="A9209" t="s">
        <v>6011</v>
      </c>
      <c r="B9209">
        <f t="shared" si="1353"/>
        <v>35</v>
      </c>
    </row>
    <row r="9210" spans="1:2" ht="15" customHeight="1" x14ac:dyDescent="0.3">
      <c r="A9210" t="s">
        <v>5502</v>
      </c>
      <c r="B9210">
        <f t="shared" si="1353"/>
        <v>35</v>
      </c>
    </row>
    <row r="9211" spans="1:2" ht="15" customHeight="1" x14ac:dyDescent="0.3">
      <c r="A9211" t="s">
        <v>5503</v>
      </c>
      <c r="B9211">
        <f t="shared" si="1353"/>
        <v>35</v>
      </c>
    </row>
    <row r="9212" spans="1:2" ht="15" customHeight="1" x14ac:dyDescent="0.3">
      <c r="A9212" t="s">
        <v>5504</v>
      </c>
      <c r="B9212">
        <f t="shared" si="1353"/>
        <v>30</v>
      </c>
    </row>
    <row r="9213" spans="1:2" ht="15" customHeight="1" x14ac:dyDescent="0.3">
      <c r="A9213" t="s">
        <v>5280</v>
      </c>
      <c r="B9213">
        <f t="shared" si="1353"/>
        <v>35</v>
      </c>
    </row>
    <row r="9214" spans="1:2" ht="15" customHeight="1" x14ac:dyDescent="0.3">
      <c r="A9214" t="s">
        <v>5930</v>
      </c>
      <c r="B9214">
        <f t="shared" si="1353"/>
        <v>35</v>
      </c>
    </row>
    <row r="9215" spans="1:2" ht="15" customHeight="1" x14ac:dyDescent="0.3">
      <c r="A9215" t="s">
        <v>5931</v>
      </c>
      <c r="B9215">
        <f t="shared" ref="B9215:B9220" si="1354">F2270</f>
        <v>35</v>
      </c>
    </row>
    <row r="9216" spans="1:2" ht="15" customHeight="1" x14ac:dyDescent="0.3">
      <c r="A9216" t="s">
        <v>5146</v>
      </c>
      <c r="B9216">
        <f t="shared" si="1354"/>
        <v>35</v>
      </c>
    </row>
    <row r="9217" spans="1:2" ht="15" customHeight="1" x14ac:dyDescent="0.3">
      <c r="A9217" t="s">
        <v>5932</v>
      </c>
      <c r="B9217">
        <f t="shared" si="1354"/>
        <v>35</v>
      </c>
    </row>
    <row r="9218" spans="1:2" ht="15" customHeight="1" x14ac:dyDescent="0.3">
      <c r="A9218" t="s">
        <v>5281</v>
      </c>
      <c r="B9218">
        <f t="shared" si="1354"/>
        <v>35</v>
      </c>
    </row>
    <row r="9219" spans="1:2" ht="15" customHeight="1" x14ac:dyDescent="0.3">
      <c r="A9219" t="s">
        <v>5505</v>
      </c>
      <c r="B9219">
        <f t="shared" si="1354"/>
        <v>35</v>
      </c>
    </row>
    <row r="9220" spans="1:2" ht="15" customHeight="1" x14ac:dyDescent="0.3">
      <c r="A9220" t="s">
        <v>5933</v>
      </c>
      <c r="B9220">
        <f t="shared" si="1354"/>
        <v>35</v>
      </c>
    </row>
    <row r="9221" spans="1:2" ht="15" customHeight="1" x14ac:dyDescent="0.3">
      <c r="A9221" t="s">
        <v>5934</v>
      </c>
      <c r="B9221">
        <f>F2275</f>
        <v>35</v>
      </c>
    </row>
    <row r="9222" spans="1:2" ht="15" customHeight="1" x14ac:dyDescent="0.3">
      <c r="A9222" t="s">
        <v>5935</v>
      </c>
      <c r="B9222">
        <f>F2275</f>
        <v>35</v>
      </c>
    </row>
    <row r="9223" spans="1:2" ht="15" customHeight="1" x14ac:dyDescent="0.3">
      <c r="A9223" t="s">
        <v>5936</v>
      </c>
      <c r="B9223">
        <f>F2276</f>
        <v>35</v>
      </c>
    </row>
    <row r="9224" spans="1:2" ht="15" customHeight="1" x14ac:dyDescent="0.3">
      <c r="A9224" t="s">
        <v>5147</v>
      </c>
      <c r="B9224">
        <f>F2277</f>
        <v>35</v>
      </c>
    </row>
    <row r="9225" spans="1:2" ht="15" customHeight="1" x14ac:dyDescent="0.3">
      <c r="A9225" t="s">
        <v>5148</v>
      </c>
      <c r="B9225">
        <f>F2278</f>
        <v>35</v>
      </c>
    </row>
    <row r="9226" spans="1:2" ht="15" customHeight="1" x14ac:dyDescent="0.3">
      <c r="A9226" t="s">
        <v>5149</v>
      </c>
      <c r="B9226">
        <f t="shared" ref="B9226:B9262" si="1355">F2278</f>
        <v>35</v>
      </c>
    </row>
    <row r="9227" spans="1:2" ht="15" customHeight="1" x14ac:dyDescent="0.3">
      <c r="A9227" t="s">
        <v>5150</v>
      </c>
      <c r="B9227">
        <f t="shared" si="1355"/>
        <v>35</v>
      </c>
    </row>
    <row r="9228" spans="1:2" ht="15" customHeight="1" x14ac:dyDescent="0.3">
      <c r="A9228" t="s">
        <v>6012</v>
      </c>
      <c r="B9228">
        <f t="shared" si="1355"/>
        <v>35</v>
      </c>
    </row>
    <row r="9229" spans="1:2" ht="15" customHeight="1" x14ac:dyDescent="0.3">
      <c r="A9229" t="s">
        <v>5506</v>
      </c>
      <c r="B9229">
        <f t="shared" si="1355"/>
        <v>30</v>
      </c>
    </row>
    <row r="9230" spans="1:2" ht="15" customHeight="1" x14ac:dyDescent="0.3">
      <c r="A9230" t="s">
        <v>5151</v>
      </c>
      <c r="B9230">
        <f t="shared" si="1355"/>
        <v>40</v>
      </c>
    </row>
    <row r="9231" spans="1:2" ht="15" customHeight="1" x14ac:dyDescent="0.3">
      <c r="A9231" t="s">
        <v>5937</v>
      </c>
      <c r="B9231">
        <f t="shared" si="1355"/>
        <v>35</v>
      </c>
    </row>
    <row r="9232" spans="1:2" ht="15" customHeight="1" x14ac:dyDescent="0.3">
      <c r="A9232" t="s">
        <v>5507</v>
      </c>
      <c r="B9232">
        <f t="shared" si="1355"/>
        <v>35</v>
      </c>
    </row>
    <row r="9233" spans="1:2" ht="15" customHeight="1" x14ac:dyDescent="0.3">
      <c r="A9233" t="s">
        <v>5508</v>
      </c>
      <c r="B9233">
        <f t="shared" si="1355"/>
        <v>35</v>
      </c>
    </row>
    <row r="9234" spans="1:2" ht="15" customHeight="1" x14ac:dyDescent="0.3">
      <c r="A9234" t="s">
        <v>5938</v>
      </c>
      <c r="B9234">
        <f t="shared" si="1355"/>
        <v>35</v>
      </c>
    </row>
    <row r="9235" spans="1:2" ht="15" customHeight="1" x14ac:dyDescent="0.3">
      <c r="A9235" t="s">
        <v>5509</v>
      </c>
      <c r="B9235">
        <f t="shared" si="1355"/>
        <v>35</v>
      </c>
    </row>
    <row r="9236" spans="1:2" ht="15" customHeight="1" x14ac:dyDescent="0.3">
      <c r="A9236" t="s">
        <v>10307</v>
      </c>
      <c r="B9236">
        <f t="shared" si="1355"/>
        <v>35</v>
      </c>
    </row>
    <row r="9237" spans="1:2" ht="15" customHeight="1" x14ac:dyDescent="0.3">
      <c r="A9237" t="s">
        <v>5510</v>
      </c>
      <c r="B9237">
        <f t="shared" si="1355"/>
        <v>40</v>
      </c>
    </row>
    <row r="9238" spans="1:2" ht="15" customHeight="1" x14ac:dyDescent="0.3">
      <c r="A9238" t="s">
        <v>5511</v>
      </c>
      <c r="B9238">
        <f t="shared" si="1355"/>
        <v>30</v>
      </c>
    </row>
    <row r="9239" spans="1:2" ht="15" customHeight="1" x14ac:dyDescent="0.3">
      <c r="A9239" t="s">
        <v>5512</v>
      </c>
      <c r="B9239">
        <f t="shared" si="1355"/>
        <v>35</v>
      </c>
    </row>
    <row r="9240" spans="1:2" ht="15" customHeight="1" x14ac:dyDescent="0.3">
      <c r="A9240" t="s">
        <v>5939</v>
      </c>
      <c r="B9240">
        <f t="shared" si="1355"/>
        <v>35</v>
      </c>
    </row>
    <row r="9241" spans="1:2" ht="15" customHeight="1" x14ac:dyDescent="0.3">
      <c r="A9241" t="s">
        <v>6059</v>
      </c>
      <c r="B9241">
        <f t="shared" si="1355"/>
        <v>35</v>
      </c>
    </row>
    <row r="9242" spans="1:2" ht="15" customHeight="1" x14ac:dyDescent="0.3">
      <c r="A9242" t="s">
        <v>5152</v>
      </c>
      <c r="B9242">
        <f t="shared" si="1355"/>
        <v>35</v>
      </c>
    </row>
    <row r="9243" spans="1:2" ht="15" customHeight="1" x14ac:dyDescent="0.3">
      <c r="A9243" t="s">
        <v>5513</v>
      </c>
      <c r="B9243">
        <f t="shared" si="1355"/>
        <v>30</v>
      </c>
    </row>
    <row r="9244" spans="1:2" ht="15" customHeight="1" x14ac:dyDescent="0.3">
      <c r="A9244" t="s">
        <v>5514</v>
      </c>
      <c r="B9244">
        <f t="shared" si="1355"/>
        <v>30</v>
      </c>
    </row>
    <row r="9245" spans="1:2" ht="15" customHeight="1" x14ac:dyDescent="0.3">
      <c r="A9245" t="s">
        <v>5282</v>
      </c>
      <c r="B9245">
        <f t="shared" si="1355"/>
        <v>35</v>
      </c>
    </row>
    <row r="9246" spans="1:2" ht="15" customHeight="1" x14ac:dyDescent="0.3">
      <c r="A9246" t="s">
        <v>5515</v>
      </c>
      <c r="B9246">
        <f t="shared" si="1355"/>
        <v>35</v>
      </c>
    </row>
    <row r="9247" spans="1:2" ht="15" customHeight="1" x14ac:dyDescent="0.3">
      <c r="A9247" t="s">
        <v>5153</v>
      </c>
      <c r="B9247">
        <f t="shared" si="1355"/>
        <v>35</v>
      </c>
    </row>
    <row r="9248" spans="1:2" ht="15" customHeight="1" x14ac:dyDescent="0.3">
      <c r="A9248" t="s">
        <v>5889</v>
      </c>
      <c r="B9248">
        <f t="shared" si="1355"/>
        <v>35</v>
      </c>
    </row>
    <row r="9249" spans="1:2" ht="15" customHeight="1" x14ac:dyDescent="0.3">
      <c r="A9249" t="s">
        <v>5283</v>
      </c>
      <c r="B9249">
        <f t="shared" si="1355"/>
        <v>35</v>
      </c>
    </row>
    <row r="9250" spans="1:2" ht="15" customHeight="1" x14ac:dyDescent="0.3">
      <c r="A9250" t="s">
        <v>5284</v>
      </c>
      <c r="B9250">
        <f t="shared" si="1355"/>
        <v>35</v>
      </c>
    </row>
    <row r="9251" spans="1:2" ht="15" customHeight="1" x14ac:dyDescent="0.3">
      <c r="A9251" t="s">
        <v>5516</v>
      </c>
      <c r="B9251">
        <f t="shared" si="1355"/>
        <v>35</v>
      </c>
    </row>
    <row r="9252" spans="1:2" ht="15" customHeight="1" x14ac:dyDescent="0.3">
      <c r="A9252" t="s">
        <v>10308</v>
      </c>
      <c r="B9252">
        <f t="shared" si="1355"/>
        <v>35</v>
      </c>
    </row>
    <row r="9253" spans="1:2" ht="15" customHeight="1" x14ac:dyDescent="0.3">
      <c r="A9253" t="s">
        <v>5154</v>
      </c>
      <c r="B9253">
        <f t="shared" si="1355"/>
        <v>35</v>
      </c>
    </row>
    <row r="9254" spans="1:2" ht="15" customHeight="1" x14ac:dyDescent="0.3">
      <c r="A9254" t="s">
        <v>6047</v>
      </c>
      <c r="B9254">
        <f t="shared" si="1355"/>
        <v>40</v>
      </c>
    </row>
    <row r="9255" spans="1:2" ht="15" customHeight="1" x14ac:dyDescent="0.3">
      <c r="A9255" t="s">
        <v>5517</v>
      </c>
      <c r="B9255">
        <f t="shared" si="1355"/>
        <v>35</v>
      </c>
    </row>
    <row r="9256" spans="1:2" ht="15" customHeight="1" x14ac:dyDescent="0.3">
      <c r="A9256" t="s">
        <v>5518</v>
      </c>
      <c r="B9256">
        <f t="shared" si="1355"/>
        <v>35</v>
      </c>
    </row>
    <row r="9257" spans="1:2" ht="15" customHeight="1" x14ac:dyDescent="0.3">
      <c r="A9257" t="s">
        <v>5155</v>
      </c>
      <c r="B9257">
        <f t="shared" si="1355"/>
        <v>35</v>
      </c>
    </row>
    <row r="9258" spans="1:2" ht="15" customHeight="1" x14ac:dyDescent="0.3">
      <c r="A9258" t="s">
        <v>5285</v>
      </c>
      <c r="B9258">
        <f t="shared" si="1355"/>
        <v>40</v>
      </c>
    </row>
    <row r="9259" spans="1:2" ht="15" customHeight="1" x14ac:dyDescent="0.3">
      <c r="A9259" t="s">
        <v>6068</v>
      </c>
      <c r="B9259">
        <f t="shared" si="1355"/>
        <v>35</v>
      </c>
    </row>
    <row r="9260" spans="1:2" ht="15" customHeight="1" x14ac:dyDescent="0.3">
      <c r="A9260" t="s">
        <v>5940</v>
      </c>
      <c r="B9260">
        <f t="shared" si="1355"/>
        <v>35</v>
      </c>
    </row>
    <row r="9261" spans="1:2" ht="15" customHeight="1" x14ac:dyDescent="0.3">
      <c r="A9261" t="s">
        <v>6013</v>
      </c>
      <c r="B9261">
        <f t="shared" si="1355"/>
        <v>40</v>
      </c>
    </row>
    <row r="9262" spans="1:2" ht="15" customHeight="1" x14ac:dyDescent="0.3">
      <c r="A9262" t="s">
        <v>5941</v>
      </c>
      <c r="B9262">
        <f t="shared" si="1355"/>
        <v>35</v>
      </c>
    </row>
    <row r="9263" spans="1:2" ht="15" customHeight="1" x14ac:dyDescent="0.3">
      <c r="A9263" t="s">
        <v>5156</v>
      </c>
      <c r="B9263">
        <f>F2397</f>
        <v>35</v>
      </c>
    </row>
    <row r="9264" spans="1:2" ht="15" customHeight="1" x14ac:dyDescent="0.3">
      <c r="A9264" t="s">
        <v>5157</v>
      </c>
      <c r="B9264">
        <f>B9263</f>
        <v>35</v>
      </c>
    </row>
    <row r="9265" spans="1:2" ht="15" customHeight="1" x14ac:dyDescent="0.3">
      <c r="A9265" t="s">
        <v>5286</v>
      </c>
      <c r="B9265">
        <f>F2393</f>
        <v>30</v>
      </c>
    </row>
    <row r="9266" spans="1:2" ht="15" customHeight="1" x14ac:dyDescent="0.3">
      <c r="A9266" t="s">
        <v>5287</v>
      </c>
      <c r="B9266">
        <f>B9265</f>
        <v>30</v>
      </c>
    </row>
    <row r="9267" spans="1:2" ht="15" customHeight="1" x14ac:dyDescent="0.3">
      <c r="A9267" t="s">
        <v>5288</v>
      </c>
      <c r="B9267">
        <f t="shared" ref="B9267:B9287" si="1356">F2315</f>
        <v>35</v>
      </c>
    </row>
    <row r="9268" spans="1:2" ht="15" customHeight="1" x14ac:dyDescent="0.3">
      <c r="A9268" t="s">
        <v>5289</v>
      </c>
      <c r="B9268">
        <f t="shared" si="1356"/>
        <v>30</v>
      </c>
    </row>
    <row r="9269" spans="1:2" ht="15" customHeight="1" x14ac:dyDescent="0.3">
      <c r="A9269" t="s">
        <v>5290</v>
      </c>
      <c r="B9269">
        <f t="shared" si="1356"/>
        <v>35</v>
      </c>
    </row>
    <row r="9270" spans="1:2" ht="15" customHeight="1" x14ac:dyDescent="0.3">
      <c r="A9270" t="s">
        <v>5291</v>
      </c>
      <c r="B9270">
        <f t="shared" si="1356"/>
        <v>30</v>
      </c>
    </row>
    <row r="9271" spans="1:2" ht="15" customHeight="1" x14ac:dyDescent="0.3">
      <c r="A9271" t="s">
        <v>5292</v>
      </c>
      <c r="B9271">
        <f t="shared" si="1356"/>
        <v>30</v>
      </c>
    </row>
    <row r="9272" spans="1:2" ht="15" customHeight="1" x14ac:dyDescent="0.3">
      <c r="A9272" t="s">
        <v>5158</v>
      </c>
      <c r="B9272">
        <f t="shared" si="1356"/>
        <v>30</v>
      </c>
    </row>
    <row r="9273" spans="1:2" ht="15" customHeight="1" x14ac:dyDescent="0.3">
      <c r="A9273" t="s">
        <v>5293</v>
      </c>
      <c r="B9273">
        <f t="shared" si="1356"/>
        <v>35</v>
      </c>
    </row>
    <row r="9274" spans="1:2" ht="15" customHeight="1" x14ac:dyDescent="0.3">
      <c r="A9274" t="s">
        <v>5294</v>
      </c>
      <c r="B9274">
        <f t="shared" si="1356"/>
        <v>35</v>
      </c>
    </row>
    <row r="9275" spans="1:2" ht="15" customHeight="1" x14ac:dyDescent="0.3">
      <c r="A9275" t="s">
        <v>5295</v>
      </c>
      <c r="B9275">
        <f t="shared" si="1356"/>
        <v>35</v>
      </c>
    </row>
    <row r="9276" spans="1:2" ht="15" customHeight="1" x14ac:dyDescent="0.3">
      <c r="A9276" t="s">
        <v>5296</v>
      </c>
      <c r="B9276">
        <f t="shared" si="1356"/>
        <v>30</v>
      </c>
    </row>
    <row r="9277" spans="1:2" ht="15" customHeight="1" x14ac:dyDescent="0.3">
      <c r="A9277" t="s">
        <v>5159</v>
      </c>
      <c r="B9277">
        <f t="shared" si="1356"/>
        <v>35</v>
      </c>
    </row>
    <row r="9278" spans="1:2" ht="15" customHeight="1" x14ac:dyDescent="0.3">
      <c r="A9278" t="s">
        <v>5297</v>
      </c>
      <c r="B9278">
        <f t="shared" si="1356"/>
        <v>35</v>
      </c>
    </row>
    <row r="9279" spans="1:2" ht="15" customHeight="1" x14ac:dyDescent="0.3">
      <c r="A9279" t="s">
        <v>5298</v>
      </c>
      <c r="B9279">
        <f t="shared" si="1356"/>
        <v>35</v>
      </c>
    </row>
    <row r="9280" spans="1:2" ht="15" customHeight="1" x14ac:dyDescent="0.3">
      <c r="A9280" t="s">
        <v>12606</v>
      </c>
      <c r="B9280">
        <f t="shared" si="1356"/>
        <v>35</v>
      </c>
    </row>
    <row r="9281" spans="1:2" ht="15" customHeight="1" x14ac:dyDescent="0.3">
      <c r="A9281" t="s">
        <v>5299</v>
      </c>
      <c r="B9281">
        <f t="shared" si="1356"/>
        <v>35</v>
      </c>
    </row>
    <row r="9282" spans="1:2" ht="15" customHeight="1" x14ac:dyDescent="0.3">
      <c r="A9282" t="s">
        <v>5160</v>
      </c>
      <c r="B9282">
        <f t="shared" si="1356"/>
        <v>30</v>
      </c>
    </row>
    <row r="9283" spans="1:2" ht="15" customHeight="1" x14ac:dyDescent="0.3">
      <c r="A9283" t="s">
        <v>5519</v>
      </c>
      <c r="B9283">
        <f t="shared" si="1356"/>
        <v>35</v>
      </c>
    </row>
    <row r="9284" spans="1:2" ht="15" customHeight="1" x14ac:dyDescent="0.3">
      <c r="A9284" t="s">
        <v>5520</v>
      </c>
      <c r="B9284">
        <f t="shared" si="1356"/>
        <v>35</v>
      </c>
    </row>
    <row r="9285" spans="1:2" ht="15" customHeight="1" x14ac:dyDescent="0.3">
      <c r="A9285" t="s">
        <v>5300</v>
      </c>
      <c r="B9285">
        <f t="shared" si="1356"/>
        <v>35</v>
      </c>
    </row>
    <row r="9286" spans="1:2" ht="15" customHeight="1" x14ac:dyDescent="0.3">
      <c r="A9286" t="s">
        <v>5890</v>
      </c>
      <c r="B9286">
        <f t="shared" si="1356"/>
        <v>35</v>
      </c>
    </row>
    <row r="9287" spans="1:2" ht="15" customHeight="1" x14ac:dyDescent="0.3">
      <c r="A9287" t="s">
        <v>5521</v>
      </c>
      <c r="B9287">
        <f t="shared" si="1356"/>
        <v>35</v>
      </c>
    </row>
    <row r="9288" spans="1:2" ht="15" customHeight="1" x14ac:dyDescent="0.3">
      <c r="A9288" t="s">
        <v>5522</v>
      </c>
      <c r="B9288">
        <f>B9287</f>
        <v>35</v>
      </c>
    </row>
    <row r="9289" spans="1:2" ht="15" customHeight="1" x14ac:dyDescent="0.3">
      <c r="A9289" t="s">
        <v>5523</v>
      </c>
      <c r="B9289">
        <f>F2336</f>
        <v>35</v>
      </c>
    </row>
    <row r="9290" spans="1:2" ht="15" customHeight="1" x14ac:dyDescent="0.3">
      <c r="A9290" t="s">
        <v>5524</v>
      </c>
      <c r="B9290">
        <f>B9289</f>
        <v>35</v>
      </c>
    </row>
    <row r="9291" spans="1:2" ht="15" customHeight="1" x14ac:dyDescent="0.3">
      <c r="A9291" t="s">
        <v>5525</v>
      </c>
      <c r="B9291">
        <f>F2337</f>
        <v>35</v>
      </c>
    </row>
    <row r="9292" spans="1:2" ht="15" customHeight="1" x14ac:dyDescent="0.3">
      <c r="A9292" t="s">
        <v>5161</v>
      </c>
      <c r="B9292">
        <f>F2338</f>
        <v>35</v>
      </c>
    </row>
    <row r="9293" spans="1:2" ht="15" customHeight="1" x14ac:dyDescent="0.3">
      <c r="A9293" t="s">
        <v>5526</v>
      </c>
      <c r="B9293">
        <f>F2339</f>
        <v>40</v>
      </c>
    </row>
    <row r="9294" spans="1:2" ht="15" customHeight="1" x14ac:dyDescent="0.3">
      <c r="A9294" t="s">
        <v>5527</v>
      </c>
      <c r="B9294">
        <f>F2340</f>
        <v>30</v>
      </c>
    </row>
    <row r="9295" spans="1:2" ht="15" customHeight="1" x14ac:dyDescent="0.3">
      <c r="A9295" t="s">
        <v>5528</v>
      </c>
      <c r="B9295">
        <f>B9294</f>
        <v>30</v>
      </c>
    </row>
    <row r="9296" spans="1:2" ht="15" customHeight="1" x14ac:dyDescent="0.3">
      <c r="A9296" t="s">
        <v>5529</v>
      </c>
      <c r="B9296">
        <f>F2341</f>
        <v>35</v>
      </c>
    </row>
    <row r="9297" spans="1:2" ht="15" customHeight="1" x14ac:dyDescent="0.3">
      <c r="A9297" t="s">
        <v>5530</v>
      </c>
      <c r="B9297">
        <f>B9296</f>
        <v>35</v>
      </c>
    </row>
    <row r="9298" spans="1:2" ht="15" customHeight="1" x14ac:dyDescent="0.3">
      <c r="A9298" t="s">
        <v>5531</v>
      </c>
      <c r="B9298">
        <f t="shared" ref="B9298:B9303" si="1357">F2342</f>
        <v>35</v>
      </c>
    </row>
    <row r="9299" spans="1:2" ht="15" customHeight="1" x14ac:dyDescent="0.3">
      <c r="A9299" t="s">
        <v>5532</v>
      </c>
      <c r="B9299">
        <f t="shared" si="1357"/>
        <v>35</v>
      </c>
    </row>
    <row r="9300" spans="1:2" ht="15" customHeight="1" x14ac:dyDescent="0.3">
      <c r="A9300" t="s">
        <v>5533</v>
      </c>
      <c r="B9300">
        <f t="shared" si="1357"/>
        <v>35</v>
      </c>
    </row>
    <row r="9301" spans="1:2" ht="15" customHeight="1" x14ac:dyDescent="0.3">
      <c r="A9301" t="s">
        <v>5534</v>
      </c>
      <c r="B9301">
        <f t="shared" si="1357"/>
        <v>35</v>
      </c>
    </row>
    <row r="9302" spans="1:2" ht="15" customHeight="1" x14ac:dyDescent="0.3">
      <c r="A9302" t="s">
        <v>12607</v>
      </c>
      <c r="B9302">
        <f t="shared" si="1357"/>
        <v>40</v>
      </c>
    </row>
    <row r="9303" spans="1:2" ht="15" customHeight="1" x14ac:dyDescent="0.3">
      <c r="A9303" t="s">
        <v>5535</v>
      </c>
      <c r="B9303">
        <f t="shared" si="1357"/>
        <v>35</v>
      </c>
    </row>
    <row r="9304" spans="1:2" ht="15" customHeight="1" x14ac:dyDescent="0.3">
      <c r="A9304" t="s">
        <v>5536</v>
      </c>
      <c r="B9304">
        <f>B9303</f>
        <v>35</v>
      </c>
    </row>
    <row r="9305" spans="1:2" ht="15" customHeight="1" x14ac:dyDescent="0.3">
      <c r="A9305" t="s">
        <v>5537</v>
      </c>
      <c r="B9305">
        <f>F2348</f>
        <v>35</v>
      </c>
    </row>
    <row r="9306" spans="1:2" ht="15" customHeight="1" x14ac:dyDescent="0.3">
      <c r="A9306" t="s">
        <v>5538</v>
      </c>
      <c r="B9306">
        <f>B9305</f>
        <v>35</v>
      </c>
    </row>
    <row r="9307" spans="1:2" ht="15" customHeight="1" x14ac:dyDescent="0.3">
      <c r="A9307" t="s">
        <v>5539</v>
      </c>
      <c r="B9307">
        <f>F2349</f>
        <v>35</v>
      </c>
    </row>
    <row r="9308" spans="1:2" ht="15" customHeight="1" x14ac:dyDescent="0.3">
      <c r="A9308" t="s">
        <v>5540</v>
      </c>
      <c r="B9308">
        <f>F2350</f>
        <v>35</v>
      </c>
    </row>
    <row r="9309" spans="1:2" ht="15" customHeight="1" x14ac:dyDescent="0.3">
      <c r="A9309" t="s">
        <v>1850</v>
      </c>
      <c r="B9309">
        <f>F2356</f>
        <v>40</v>
      </c>
    </row>
    <row r="9310" spans="1:2" ht="15" customHeight="1" x14ac:dyDescent="0.3">
      <c r="A9310" t="s">
        <v>5541</v>
      </c>
      <c r="B9310">
        <f>F2357</f>
        <v>35</v>
      </c>
    </row>
    <row r="9311" spans="1:2" ht="15" customHeight="1" x14ac:dyDescent="0.3">
      <c r="A9311" t="s">
        <v>5542</v>
      </c>
      <c r="B9311">
        <f>B9310</f>
        <v>35</v>
      </c>
    </row>
    <row r="9312" spans="1:2" ht="15" customHeight="1" x14ac:dyDescent="0.3">
      <c r="A9312" t="s">
        <v>5543</v>
      </c>
      <c r="B9312">
        <f>F2358</f>
        <v>35</v>
      </c>
    </row>
    <row r="9313" spans="1:2" ht="15" customHeight="1" x14ac:dyDescent="0.3">
      <c r="A9313" t="s">
        <v>5544</v>
      </c>
      <c r="B9313">
        <f>F2358</f>
        <v>35</v>
      </c>
    </row>
    <row r="9314" spans="1:2" ht="15" customHeight="1" x14ac:dyDescent="0.3">
      <c r="A9314" t="s">
        <v>5545</v>
      </c>
      <c r="B9314">
        <f>F2358</f>
        <v>35</v>
      </c>
    </row>
    <row r="9315" spans="1:2" ht="15" customHeight="1" x14ac:dyDescent="0.3">
      <c r="A9315" t="s">
        <v>5546</v>
      </c>
      <c r="B9315">
        <f>F2359</f>
        <v>35</v>
      </c>
    </row>
    <row r="9316" spans="1:2" ht="15" customHeight="1" x14ac:dyDescent="0.3">
      <c r="A9316" t="s">
        <v>5547</v>
      </c>
      <c r="B9316">
        <f>F2360</f>
        <v>35</v>
      </c>
    </row>
    <row r="9317" spans="1:2" ht="15" customHeight="1" x14ac:dyDescent="0.3">
      <c r="A9317" t="s">
        <v>5548</v>
      </c>
      <c r="B9317">
        <f>F2360</f>
        <v>35</v>
      </c>
    </row>
    <row r="9318" spans="1:2" ht="15" customHeight="1" x14ac:dyDescent="0.3">
      <c r="A9318" t="s">
        <v>5549</v>
      </c>
      <c r="B9318">
        <f>F2361</f>
        <v>35</v>
      </c>
    </row>
    <row r="9319" spans="1:2" ht="15" customHeight="1" x14ac:dyDescent="0.3">
      <c r="A9319" t="s">
        <v>5550</v>
      </c>
      <c r="B9319">
        <f>B9318</f>
        <v>35</v>
      </c>
    </row>
    <row r="9320" spans="1:2" ht="15" customHeight="1" x14ac:dyDescent="0.3">
      <c r="A9320" t="s">
        <v>5551</v>
      </c>
      <c r="B9320">
        <f>F2362</f>
        <v>35</v>
      </c>
    </row>
    <row r="9321" spans="1:2" ht="15" customHeight="1" x14ac:dyDescent="0.3">
      <c r="A9321" t="s">
        <v>5552</v>
      </c>
      <c r="B9321">
        <f>B9320</f>
        <v>35</v>
      </c>
    </row>
    <row r="9322" spans="1:2" ht="15" customHeight="1" x14ac:dyDescent="0.3">
      <c r="A9322" t="s">
        <v>5553</v>
      </c>
      <c r="B9322">
        <f>B9320</f>
        <v>35</v>
      </c>
    </row>
    <row r="9323" spans="1:2" ht="15" customHeight="1" x14ac:dyDescent="0.3">
      <c r="A9323" t="s">
        <v>5891</v>
      </c>
      <c r="B9323">
        <f>F2363</f>
        <v>35</v>
      </c>
    </row>
    <row r="9324" spans="1:2" ht="15" customHeight="1" x14ac:dyDescent="0.3">
      <c r="A9324" t="s">
        <v>5892</v>
      </c>
      <c r="B9324">
        <f>B9323</f>
        <v>35</v>
      </c>
    </row>
    <row r="9325" spans="1:2" ht="15" customHeight="1" x14ac:dyDescent="0.3">
      <c r="A9325" t="s">
        <v>6048</v>
      </c>
      <c r="B9325">
        <f>F2364</f>
        <v>35</v>
      </c>
    </row>
    <row r="9326" spans="1:2" ht="15" customHeight="1" x14ac:dyDescent="0.3">
      <c r="A9326" t="s">
        <v>6049</v>
      </c>
      <c r="B9326">
        <f>F2364</f>
        <v>35</v>
      </c>
    </row>
    <row r="9327" spans="1:2" ht="15" customHeight="1" x14ac:dyDescent="0.3">
      <c r="A9327" t="s">
        <v>5554</v>
      </c>
      <c r="B9327">
        <f>F2365</f>
        <v>35</v>
      </c>
    </row>
    <row r="9328" spans="1:2" ht="15" customHeight="1" x14ac:dyDescent="0.3">
      <c r="A9328" t="s">
        <v>5555</v>
      </c>
      <c r="B9328">
        <f>F2365</f>
        <v>35</v>
      </c>
    </row>
    <row r="9329" spans="1:2" ht="15" customHeight="1" x14ac:dyDescent="0.3">
      <c r="A9329" t="s">
        <v>5942</v>
      </c>
      <c r="B9329">
        <f>F2367</f>
        <v>35</v>
      </c>
    </row>
    <row r="9330" spans="1:2" ht="15" customHeight="1" x14ac:dyDescent="0.3">
      <c r="A9330" t="s">
        <v>5556</v>
      </c>
      <c r="B9330">
        <f t="shared" ref="B9330:B9345" si="1358">F2367</f>
        <v>35</v>
      </c>
    </row>
    <row r="9331" spans="1:2" ht="15" customHeight="1" x14ac:dyDescent="0.3">
      <c r="A9331" t="s">
        <v>5301</v>
      </c>
      <c r="B9331">
        <f t="shared" si="1358"/>
        <v>35</v>
      </c>
    </row>
    <row r="9332" spans="1:2" ht="15" customHeight="1" x14ac:dyDescent="0.3">
      <c r="A9332" t="s">
        <v>5943</v>
      </c>
      <c r="B9332">
        <f t="shared" si="1358"/>
        <v>35</v>
      </c>
    </row>
    <row r="9333" spans="1:2" ht="15" customHeight="1" x14ac:dyDescent="0.3">
      <c r="A9333" t="s">
        <v>5557</v>
      </c>
      <c r="B9333">
        <f t="shared" si="1358"/>
        <v>35</v>
      </c>
    </row>
    <row r="9334" spans="1:2" ht="15" customHeight="1" x14ac:dyDescent="0.3">
      <c r="A9334" t="s">
        <v>3685</v>
      </c>
      <c r="B9334">
        <f t="shared" si="1358"/>
        <v>35</v>
      </c>
    </row>
    <row r="9335" spans="1:2" ht="15" customHeight="1" x14ac:dyDescent="0.3">
      <c r="A9335" t="s">
        <v>6014</v>
      </c>
      <c r="B9335">
        <f t="shared" si="1358"/>
        <v>35</v>
      </c>
    </row>
    <row r="9336" spans="1:2" ht="15" customHeight="1" x14ac:dyDescent="0.3">
      <c r="A9336" t="s">
        <v>5558</v>
      </c>
      <c r="B9336">
        <f t="shared" si="1358"/>
        <v>35</v>
      </c>
    </row>
    <row r="9337" spans="1:2" ht="15" customHeight="1" x14ac:dyDescent="0.3">
      <c r="A9337" t="s">
        <v>5559</v>
      </c>
      <c r="B9337">
        <f t="shared" si="1358"/>
        <v>45</v>
      </c>
    </row>
    <row r="9338" spans="1:2" ht="15" customHeight="1" x14ac:dyDescent="0.3">
      <c r="A9338" t="s">
        <v>5302</v>
      </c>
      <c r="B9338">
        <f t="shared" si="1358"/>
        <v>35</v>
      </c>
    </row>
    <row r="9339" spans="1:2" ht="15" customHeight="1" x14ac:dyDescent="0.3">
      <c r="A9339" t="s">
        <v>6015</v>
      </c>
      <c r="B9339">
        <f t="shared" si="1358"/>
        <v>35</v>
      </c>
    </row>
    <row r="9340" spans="1:2" ht="15" customHeight="1" x14ac:dyDescent="0.3">
      <c r="A9340" t="s">
        <v>5560</v>
      </c>
      <c r="B9340">
        <f t="shared" si="1358"/>
        <v>35</v>
      </c>
    </row>
    <row r="9341" spans="1:2" ht="15" customHeight="1" x14ac:dyDescent="0.3">
      <c r="A9341" t="s">
        <v>6074</v>
      </c>
      <c r="B9341">
        <f t="shared" si="1358"/>
        <v>35</v>
      </c>
    </row>
    <row r="9342" spans="1:2" ht="15" customHeight="1" x14ac:dyDescent="0.3">
      <c r="A9342" t="s">
        <v>6060</v>
      </c>
      <c r="B9342">
        <f t="shared" si="1358"/>
        <v>40</v>
      </c>
    </row>
    <row r="9343" spans="1:2" ht="15" customHeight="1" x14ac:dyDescent="0.3">
      <c r="A9343" t="s">
        <v>5561</v>
      </c>
      <c r="B9343">
        <f t="shared" si="1358"/>
        <v>30</v>
      </c>
    </row>
    <row r="9344" spans="1:2" ht="15" customHeight="1" x14ac:dyDescent="0.3">
      <c r="A9344" t="s">
        <v>5893</v>
      </c>
      <c r="B9344">
        <f t="shared" si="1358"/>
        <v>35</v>
      </c>
    </row>
    <row r="9345" spans="1:2" ht="15" customHeight="1" x14ac:dyDescent="0.3">
      <c r="A9345" t="s">
        <v>5562</v>
      </c>
      <c r="B9345">
        <f t="shared" si="1358"/>
        <v>30</v>
      </c>
    </row>
    <row r="9346" spans="1:2" ht="15" customHeight="1" x14ac:dyDescent="0.3">
      <c r="A9346" t="s">
        <v>5563</v>
      </c>
      <c r="B9346">
        <f t="shared" ref="B9346:B9354" si="1359">F2384</f>
        <v>30</v>
      </c>
    </row>
    <row r="9347" spans="1:2" ht="15" customHeight="1" x14ac:dyDescent="0.3">
      <c r="A9347" t="s">
        <v>5564</v>
      </c>
      <c r="B9347">
        <f t="shared" si="1359"/>
        <v>35</v>
      </c>
    </row>
    <row r="9348" spans="1:2" ht="15" customHeight="1" x14ac:dyDescent="0.3">
      <c r="A9348" t="s">
        <v>10309</v>
      </c>
      <c r="B9348">
        <f t="shared" si="1359"/>
        <v>50</v>
      </c>
    </row>
    <row r="9349" spans="1:2" ht="15" customHeight="1" x14ac:dyDescent="0.3">
      <c r="A9349" t="s">
        <v>5565</v>
      </c>
      <c r="B9349">
        <f t="shared" si="1359"/>
        <v>40</v>
      </c>
    </row>
    <row r="9350" spans="1:2" ht="15" customHeight="1" x14ac:dyDescent="0.3">
      <c r="A9350" t="s">
        <v>5162</v>
      </c>
      <c r="B9350">
        <f t="shared" si="1359"/>
        <v>35</v>
      </c>
    </row>
    <row r="9351" spans="1:2" ht="15" customHeight="1" x14ac:dyDescent="0.3">
      <c r="A9351" t="s">
        <v>5566</v>
      </c>
      <c r="B9351">
        <f t="shared" si="1359"/>
        <v>35</v>
      </c>
    </row>
    <row r="9352" spans="1:2" ht="15" customHeight="1" x14ac:dyDescent="0.3">
      <c r="A9352" t="s">
        <v>5303</v>
      </c>
      <c r="B9352">
        <f t="shared" si="1359"/>
        <v>35</v>
      </c>
    </row>
    <row r="9353" spans="1:2" ht="15" customHeight="1" x14ac:dyDescent="0.3">
      <c r="A9353" t="s">
        <v>5567</v>
      </c>
      <c r="B9353">
        <f t="shared" si="1359"/>
        <v>30</v>
      </c>
    </row>
    <row r="9354" spans="1:2" ht="15" customHeight="1" x14ac:dyDescent="0.3">
      <c r="A9354" t="s">
        <v>5568</v>
      </c>
      <c r="B9354">
        <f t="shared" si="1359"/>
        <v>30</v>
      </c>
    </row>
    <row r="9355" spans="1:2" ht="15" customHeight="1" x14ac:dyDescent="0.3">
      <c r="A9355" t="s">
        <v>5944</v>
      </c>
      <c r="B9355">
        <f>F2398</f>
        <v>35</v>
      </c>
    </row>
    <row r="9356" spans="1:2" ht="15" customHeight="1" x14ac:dyDescent="0.3">
      <c r="A9356" t="s">
        <v>5569</v>
      </c>
      <c r="B9356">
        <f>F2398</f>
        <v>35</v>
      </c>
    </row>
    <row r="9357" spans="1:2" ht="15" customHeight="1" x14ac:dyDescent="0.3">
      <c r="A9357" t="s">
        <v>5570</v>
      </c>
      <c r="B9357">
        <f>F2394</f>
        <v>35</v>
      </c>
    </row>
    <row r="9358" spans="1:2" ht="15" customHeight="1" x14ac:dyDescent="0.3">
      <c r="A9358" t="s">
        <v>5163</v>
      </c>
      <c r="B9358">
        <f>F2395</f>
        <v>30</v>
      </c>
    </row>
    <row r="9359" spans="1:2" ht="15" customHeight="1" x14ac:dyDescent="0.3">
      <c r="A9359" t="s">
        <v>5164</v>
      </c>
      <c r="B9359">
        <f>F2396</f>
        <v>35</v>
      </c>
    </row>
    <row r="9360" spans="1:2" ht="15" customHeight="1" x14ac:dyDescent="0.3">
      <c r="A9360" t="s">
        <v>5165</v>
      </c>
      <c r="B9360">
        <f>F2396</f>
        <v>35</v>
      </c>
    </row>
    <row r="9361" spans="1:2" ht="15" customHeight="1" x14ac:dyDescent="0.3">
      <c r="A9361" t="s">
        <v>5571</v>
      </c>
      <c r="B9361">
        <f>F2351</f>
        <v>40</v>
      </c>
    </row>
    <row r="9362" spans="1:2" ht="15" customHeight="1" x14ac:dyDescent="0.3">
      <c r="A9362" t="s">
        <v>5304</v>
      </c>
      <c r="B9362">
        <f>F2352</f>
        <v>35</v>
      </c>
    </row>
    <row r="9363" spans="1:2" ht="15" customHeight="1" x14ac:dyDescent="0.3">
      <c r="A9363" t="s">
        <v>5894</v>
      </c>
      <c r="B9363">
        <f>F2353</f>
        <v>35</v>
      </c>
    </row>
    <row r="9364" spans="1:2" ht="15" customHeight="1" x14ac:dyDescent="0.3">
      <c r="A9364" t="s">
        <v>5572</v>
      </c>
      <c r="B9364">
        <f>F2354</f>
        <v>35</v>
      </c>
    </row>
    <row r="9365" spans="1:2" ht="15" customHeight="1" x14ac:dyDescent="0.3">
      <c r="A9365" t="s">
        <v>5945</v>
      </c>
      <c r="B9365">
        <f>F2355</f>
        <v>35</v>
      </c>
    </row>
    <row r="9366" spans="1:2" ht="15" customHeight="1" x14ac:dyDescent="0.3">
      <c r="A9366" t="s">
        <v>5166</v>
      </c>
      <c r="B9366">
        <f t="shared" ref="B9366:B9397" si="1360">B9174</f>
        <v>35</v>
      </c>
    </row>
    <row r="9367" spans="1:2" ht="15" customHeight="1" x14ac:dyDescent="0.3">
      <c r="A9367" t="s">
        <v>5167</v>
      </c>
      <c r="B9367">
        <f t="shared" si="1360"/>
        <v>40</v>
      </c>
    </row>
    <row r="9368" spans="1:2" ht="15" customHeight="1" x14ac:dyDescent="0.3">
      <c r="A9368" t="s">
        <v>5168</v>
      </c>
      <c r="B9368">
        <f t="shared" si="1360"/>
        <v>40</v>
      </c>
    </row>
    <row r="9369" spans="1:2" ht="15" customHeight="1" x14ac:dyDescent="0.3">
      <c r="A9369" t="s">
        <v>5169</v>
      </c>
      <c r="B9369">
        <f t="shared" si="1360"/>
        <v>40</v>
      </c>
    </row>
    <row r="9370" spans="1:2" ht="15" customHeight="1" x14ac:dyDescent="0.3">
      <c r="A9370" t="s">
        <v>5170</v>
      </c>
      <c r="B9370">
        <f t="shared" si="1360"/>
        <v>35</v>
      </c>
    </row>
    <row r="9371" spans="1:2" ht="15" customHeight="1" x14ac:dyDescent="0.3">
      <c r="A9371" t="s">
        <v>5895</v>
      </c>
      <c r="B9371">
        <f t="shared" si="1360"/>
        <v>45</v>
      </c>
    </row>
    <row r="9372" spans="1:2" ht="15" customHeight="1" x14ac:dyDescent="0.3">
      <c r="A9372" t="s">
        <v>5573</v>
      </c>
      <c r="B9372">
        <f t="shared" si="1360"/>
        <v>45</v>
      </c>
    </row>
    <row r="9373" spans="1:2" ht="15" customHeight="1" x14ac:dyDescent="0.3">
      <c r="A9373" t="s">
        <v>5171</v>
      </c>
      <c r="B9373">
        <f t="shared" si="1360"/>
        <v>40</v>
      </c>
    </row>
    <row r="9374" spans="1:2" ht="15" customHeight="1" x14ac:dyDescent="0.3">
      <c r="A9374" t="s">
        <v>5172</v>
      </c>
      <c r="B9374">
        <f t="shared" si="1360"/>
        <v>45</v>
      </c>
    </row>
    <row r="9375" spans="1:2" ht="15" customHeight="1" x14ac:dyDescent="0.3">
      <c r="A9375" t="s">
        <v>5173</v>
      </c>
      <c r="B9375">
        <f t="shared" si="1360"/>
        <v>50</v>
      </c>
    </row>
    <row r="9376" spans="1:2" ht="15" customHeight="1" x14ac:dyDescent="0.3">
      <c r="A9376" t="s">
        <v>5305</v>
      </c>
      <c r="B9376">
        <f t="shared" si="1360"/>
        <v>50</v>
      </c>
    </row>
    <row r="9377" spans="1:2" ht="15" customHeight="1" x14ac:dyDescent="0.3">
      <c r="A9377" t="s">
        <v>5574</v>
      </c>
      <c r="B9377">
        <f t="shared" si="1360"/>
        <v>55</v>
      </c>
    </row>
    <row r="9378" spans="1:2" ht="15" customHeight="1" x14ac:dyDescent="0.3">
      <c r="A9378" t="s">
        <v>5306</v>
      </c>
      <c r="B9378">
        <f t="shared" si="1360"/>
        <v>30</v>
      </c>
    </row>
    <row r="9379" spans="1:2" ht="15" customHeight="1" x14ac:dyDescent="0.3">
      <c r="A9379" t="s">
        <v>5307</v>
      </c>
      <c r="B9379">
        <f t="shared" si="1360"/>
        <v>35</v>
      </c>
    </row>
    <row r="9380" spans="1:2" ht="15" customHeight="1" x14ac:dyDescent="0.3">
      <c r="A9380" t="s">
        <v>5575</v>
      </c>
      <c r="B9380">
        <f t="shared" si="1360"/>
        <v>30</v>
      </c>
    </row>
    <row r="9381" spans="1:2" ht="15" customHeight="1" x14ac:dyDescent="0.3">
      <c r="A9381" t="s">
        <v>5308</v>
      </c>
      <c r="B9381">
        <f t="shared" si="1360"/>
        <v>35</v>
      </c>
    </row>
    <row r="9382" spans="1:2" ht="15" customHeight="1" x14ac:dyDescent="0.3">
      <c r="A9382" t="s">
        <v>5576</v>
      </c>
      <c r="B9382">
        <f t="shared" si="1360"/>
        <v>30</v>
      </c>
    </row>
    <row r="9383" spans="1:2" ht="15" customHeight="1" x14ac:dyDescent="0.3">
      <c r="A9383" t="s">
        <v>5577</v>
      </c>
      <c r="B9383">
        <f t="shared" si="1360"/>
        <v>30</v>
      </c>
    </row>
    <row r="9384" spans="1:2" ht="15" customHeight="1" x14ac:dyDescent="0.3">
      <c r="A9384" t="s">
        <v>5896</v>
      </c>
      <c r="B9384">
        <f t="shared" si="1360"/>
        <v>35</v>
      </c>
    </row>
    <row r="9385" spans="1:2" ht="15" customHeight="1" x14ac:dyDescent="0.3">
      <c r="A9385" t="s">
        <v>5578</v>
      </c>
      <c r="B9385">
        <f t="shared" si="1360"/>
        <v>35</v>
      </c>
    </row>
    <row r="9386" spans="1:2" ht="15" customHeight="1" x14ac:dyDescent="0.3">
      <c r="A9386" t="s">
        <v>5579</v>
      </c>
      <c r="B9386">
        <f t="shared" si="1360"/>
        <v>35</v>
      </c>
    </row>
    <row r="9387" spans="1:2" ht="15" customHeight="1" x14ac:dyDescent="0.3">
      <c r="A9387" t="s">
        <v>6016</v>
      </c>
      <c r="B9387">
        <f t="shared" si="1360"/>
        <v>35</v>
      </c>
    </row>
    <row r="9388" spans="1:2" ht="15" customHeight="1" x14ac:dyDescent="0.3">
      <c r="A9388" t="s">
        <v>5580</v>
      </c>
      <c r="B9388">
        <f t="shared" si="1360"/>
        <v>35</v>
      </c>
    </row>
    <row r="9389" spans="1:2" ht="15" customHeight="1" x14ac:dyDescent="0.3">
      <c r="A9389" t="s">
        <v>5583</v>
      </c>
      <c r="B9389">
        <f t="shared" si="1360"/>
        <v>35</v>
      </c>
    </row>
    <row r="9390" spans="1:2" ht="15" customHeight="1" x14ac:dyDescent="0.3">
      <c r="A9390" t="s">
        <v>5581</v>
      </c>
      <c r="B9390">
        <f t="shared" si="1360"/>
        <v>35</v>
      </c>
    </row>
    <row r="9391" spans="1:2" ht="15" customHeight="1" x14ac:dyDescent="0.3">
      <c r="A9391" t="s">
        <v>5582</v>
      </c>
      <c r="B9391">
        <f t="shared" si="1360"/>
        <v>35</v>
      </c>
    </row>
    <row r="9392" spans="1:2" ht="15" customHeight="1" x14ac:dyDescent="0.3">
      <c r="A9392" t="s">
        <v>5584</v>
      </c>
      <c r="B9392">
        <f t="shared" si="1360"/>
        <v>35</v>
      </c>
    </row>
    <row r="9393" spans="1:2" ht="15" customHeight="1" x14ac:dyDescent="0.3">
      <c r="A9393" t="s">
        <v>5585</v>
      </c>
      <c r="B9393">
        <f t="shared" si="1360"/>
        <v>35</v>
      </c>
    </row>
    <row r="9394" spans="1:2" ht="15" customHeight="1" x14ac:dyDescent="0.3">
      <c r="A9394" t="s">
        <v>5586</v>
      </c>
      <c r="B9394">
        <f t="shared" si="1360"/>
        <v>35</v>
      </c>
    </row>
    <row r="9395" spans="1:2" ht="15" customHeight="1" x14ac:dyDescent="0.3">
      <c r="A9395" t="s">
        <v>5587</v>
      </c>
      <c r="B9395">
        <f t="shared" si="1360"/>
        <v>35</v>
      </c>
    </row>
    <row r="9396" spans="1:2" ht="15" customHeight="1" x14ac:dyDescent="0.3">
      <c r="A9396" t="s">
        <v>5588</v>
      </c>
      <c r="B9396">
        <f t="shared" si="1360"/>
        <v>35</v>
      </c>
    </row>
    <row r="9397" spans="1:2" ht="15" customHeight="1" x14ac:dyDescent="0.3">
      <c r="A9397" t="s">
        <v>6017</v>
      </c>
      <c r="B9397">
        <f t="shared" si="1360"/>
        <v>80</v>
      </c>
    </row>
    <row r="9398" spans="1:2" ht="15" customHeight="1" x14ac:dyDescent="0.3">
      <c r="A9398" t="s">
        <v>5946</v>
      </c>
      <c r="B9398">
        <f t="shared" ref="B9398:B9425" si="1361">B9206</f>
        <v>35</v>
      </c>
    </row>
    <row r="9399" spans="1:2" ht="15" customHeight="1" x14ac:dyDescent="0.3">
      <c r="A9399" t="s">
        <v>5589</v>
      </c>
      <c r="B9399">
        <f t="shared" si="1361"/>
        <v>30</v>
      </c>
    </row>
    <row r="9400" spans="1:2" ht="15" customHeight="1" x14ac:dyDescent="0.3">
      <c r="A9400" t="s">
        <v>5947</v>
      </c>
      <c r="B9400">
        <f t="shared" si="1361"/>
        <v>35</v>
      </c>
    </row>
    <row r="9401" spans="1:2" ht="15" customHeight="1" x14ac:dyDescent="0.3">
      <c r="A9401" t="s">
        <v>6018</v>
      </c>
      <c r="B9401">
        <f t="shared" si="1361"/>
        <v>35</v>
      </c>
    </row>
    <row r="9402" spans="1:2" ht="15" customHeight="1" x14ac:dyDescent="0.3">
      <c r="A9402" t="s">
        <v>5590</v>
      </c>
      <c r="B9402">
        <f t="shared" si="1361"/>
        <v>35</v>
      </c>
    </row>
    <row r="9403" spans="1:2" ht="15" customHeight="1" x14ac:dyDescent="0.3">
      <c r="A9403" t="s">
        <v>5591</v>
      </c>
      <c r="B9403">
        <f t="shared" si="1361"/>
        <v>35</v>
      </c>
    </row>
    <row r="9404" spans="1:2" ht="15" customHeight="1" x14ac:dyDescent="0.3">
      <c r="A9404" t="s">
        <v>5592</v>
      </c>
      <c r="B9404">
        <f t="shared" si="1361"/>
        <v>30</v>
      </c>
    </row>
    <row r="9405" spans="1:2" ht="15" customHeight="1" x14ac:dyDescent="0.3">
      <c r="A9405" t="s">
        <v>5309</v>
      </c>
      <c r="B9405">
        <f t="shared" si="1361"/>
        <v>35</v>
      </c>
    </row>
    <row r="9406" spans="1:2" ht="15" customHeight="1" x14ac:dyDescent="0.3">
      <c r="A9406" t="s">
        <v>5948</v>
      </c>
      <c r="B9406">
        <f t="shared" si="1361"/>
        <v>35</v>
      </c>
    </row>
    <row r="9407" spans="1:2" ht="15" customHeight="1" x14ac:dyDescent="0.3">
      <c r="A9407" t="s">
        <v>5949</v>
      </c>
      <c r="B9407">
        <f t="shared" si="1361"/>
        <v>35</v>
      </c>
    </row>
    <row r="9408" spans="1:2" ht="15" customHeight="1" x14ac:dyDescent="0.3">
      <c r="A9408" t="s">
        <v>5174</v>
      </c>
      <c r="B9408">
        <f t="shared" si="1361"/>
        <v>35</v>
      </c>
    </row>
    <row r="9409" spans="1:2" ht="15" customHeight="1" x14ac:dyDescent="0.3">
      <c r="A9409" t="s">
        <v>5950</v>
      </c>
      <c r="B9409">
        <f t="shared" si="1361"/>
        <v>35</v>
      </c>
    </row>
    <row r="9410" spans="1:2" ht="15" customHeight="1" x14ac:dyDescent="0.3">
      <c r="A9410" t="s">
        <v>5310</v>
      </c>
      <c r="B9410">
        <f t="shared" si="1361"/>
        <v>35</v>
      </c>
    </row>
    <row r="9411" spans="1:2" ht="15" customHeight="1" x14ac:dyDescent="0.3">
      <c r="A9411" t="s">
        <v>5593</v>
      </c>
      <c r="B9411">
        <f t="shared" si="1361"/>
        <v>35</v>
      </c>
    </row>
    <row r="9412" spans="1:2" ht="15" customHeight="1" x14ac:dyDescent="0.3">
      <c r="A9412" t="s">
        <v>5951</v>
      </c>
      <c r="B9412">
        <f t="shared" si="1361"/>
        <v>35</v>
      </c>
    </row>
    <row r="9413" spans="1:2" ht="15" customHeight="1" x14ac:dyDescent="0.3">
      <c r="A9413" t="s">
        <v>5952</v>
      </c>
      <c r="B9413">
        <f t="shared" si="1361"/>
        <v>35</v>
      </c>
    </row>
    <row r="9414" spans="1:2" ht="15" customHeight="1" x14ac:dyDescent="0.3">
      <c r="A9414" t="s">
        <v>5953</v>
      </c>
      <c r="B9414">
        <f t="shared" si="1361"/>
        <v>35</v>
      </c>
    </row>
    <row r="9415" spans="1:2" ht="15" customHeight="1" x14ac:dyDescent="0.3">
      <c r="A9415" t="s">
        <v>5954</v>
      </c>
      <c r="B9415">
        <f t="shared" si="1361"/>
        <v>35</v>
      </c>
    </row>
    <row r="9416" spans="1:2" ht="15" customHeight="1" x14ac:dyDescent="0.3">
      <c r="A9416" t="s">
        <v>5175</v>
      </c>
      <c r="B9416">
        <f t="shared" si="1361"/>
        <v>35</v>
      </c>
    </row>
    <row r="9417" spans="1:2" ht="15" customHeight="1" x14ac:dyDescent="0.3">
      <c r="A9417" t="s">
        <v>5176</v>
      </c>
      <c r="B9417">
        <f t="shared" si="1361"/>
        <v>35</v>
      </c>
    </row>
    <row r="9418" spans="1:2" ht="15" customHeight="1" x14ac:dyDescent="0.3">
      <c r="A9418" t="s">
        <v>5177</v>
      </c>
      <c r="B9418">
        <f t="shared" si="1361"/>
        <v>35</v>
      </c>
    </row>
    <row r="9419" spans="1:2" ht="15" customHeight="1" x14ac:dyDescent="0.3">
      <c r="A9419" t="s">
        <v>5178</v>
      </c>
      <c r="B9419">
        <f t="shared" si="1361"/>
        <v>35</v>
      </c>
    </row>
    <row r="9420" spans="1:2" ht="15" customHeight="1" x14ac:dyDescent="0.3">
      <c r="A9420" t="s">
        <v>6019</v>
      </c>
      <c r="B9420">
        <f t="shared" si="1361"/>
        <v>35</v>
      </c>
    </row>
    <row r="9421" spans="1:2" ht="15" customHeight="1" x14ac:dyDescent="0.3">
      <c r="A9421" t="s">
        <v>5594</v>
      </c>
      <c r="B9421">
        <f t="shared" si="1361"/>
        <v>30</v>
      </c>
    </row>
    <row r="9422" spans="1:2" ht="15" customHeight="1" x14ac:dyDescent="0.3">
      <c r="A9422" t="s">
        <v>5179</v>
      </c>
      <c r="B9422">
        <f t="shared" si="1361"/>
        <v>40</v>
      </c>
    </row>
    <row r="9423" spans="1:2" ht="15" customHeight="1" x14ac:dyDescent="0.3">
      <c r="A9423" t="s">
        <v>5955</v>
      </c>
      <c r="B9423">
        <f t="shared" si="1361"/>
        <v>35</v>
      </c>
    </row>
    <row r="9424" spans="1:2" ht="15" customHeight="1" x14ac:dyDescent="0.3">
      <c r="A9424" t="s">
        <v>5595</v>
      </c>
      <c r="B9424">
        <f t="shared" si="1361"/>
        <v>35</v>
      </c>
    </row>
    <row r="9425" spans="1:2" ht="15" customHeight="1" x14ac:dyDescent="0.3">
      <c r="A9425" t="s">
        <v>5596</v>
      </c>
      <c r="B9425">
        <f t="shared" si="1361"/>
        <v>35</v>
      </c>
    </row>
    <row r="9426" spans="1:2" ht="15" customHeight="1" x14ac:dyDescent="0.3">
      <c r="A9426" t="s">
        <v>5956</v>
      </c>
      <c r="B9426">
        <f>F2286</f>
        <v>35</v>
      </c>
    </row>
    <row r="9427" spans="1:2" ht="15" customHeight="1" x14ac:dyDescent="0.3">
      <c r="A9427" t="s">
        <v>5597</v>
      </c>
      <c r="B9427">
        <f t="shared" ref="B9427:B9458" si="1362">B9235</f>
        <v>35</v>
      </c>
    </row>
    <row r="9428" spans="1:2" ht="15" customHeight="1" x14ac:dyDescent="0.3">
      <c r="A9428" t="s">
        <v>6073</v>
      </c>
      <c r="B9428">
        <f t="shared" si="1362"/>
        <v>35</v>
      </c>
    </row>
    <row r="9429" spans="1:2" ht="15" customHeight="1" x14ac:dyDescent="0.3">
      <c r="A9429" t="s">
        <v>5598</v>
      </c>
      <c r="B9429">
        <f t="shared" si="1362"/>
        <v>40</v>
      </c>
    </row>
    <row r="9430" spans="1:2" ht="15" customHeight="1" x14ac:dyDescent="0.3">
      <c r="A9430" t="s">
        <v>5599</v>
      </c>
      <c r="B9430">
        <f t="shared" si="1362"/>
        <v>30</v>
      </c>
    </row>
    <row r="9431" spans="1:2" ht="15" customHeight="1" x14ac:dyDescent="0.3">
      <c r="A9431" t="s">
        <v>5600</v>
      </c>
      <c r="B9431">
        <f t="shared" si="1362"/>
        <v>35</v>
      </c>
    </row>
    <row r="9432" spans="1:2" ht="15" customHeight="1" x14ac:dyDescent="0.3">
      <c r="A9432" t="s">
        <v>5957</v>
      </c>
      <c r="B9432">
        <f t="shared" si="1362"/>
        <v>35</v>
      </c>
    </row>
    <row r="9433" spans="1:2" ht="15" customHeight="1" x14ac:dyDescent="0.3">
      <c r="A9433" t="s">
        <v>6061</v>
      </c>
      <c r="B9433">
        <f t="shared" si="1362"/>
        <v>35</v>
      </c>
    </row>
    <row r="9434" spans="1:2" ht="15" customHeight="1" x14ac:dyDescent="0.3">
      <c r="A9434" t="s">
        <v>5180</v>
      </c>
      <c r="B9434">
        <f t="shared" si="1362"/>
        <v>35</v>
      </c>
    </row>
    <row r="9435" spans="1:2" ht="15" customHeight="1" x14ac:dyDescent="0.3">
      <c r="A9435" t="s">
        <v>5601</v>
      </c>
      <c r="B9435">
        <f t="shared" si="1362"/>
        <v>30</v>
      </c>
    </row>
    <row r="9436" spans="1:2" ht="15" customHeight="1" x14ac:dyDescent="0.3">
      <c r="A9436" t="s">
        <v>5602</v>
      </c>
      <c r="B9436">
        <f t="shared" si="1362"/>
        <v>30</v>
      </c>
    </row>
    <row r="9437" spans="1:2" ht="15" customHeight="1" x14ac:dyDescent="0.3">
      <c r="A9437" t="s">
        <v>5311</v>
      </c>
      <c r="B9437">
        <f t="shared" si="1362"/>
        <v>35</v>
      </c>
    </row>
    <row r="9438" spans="1:2" ht="15" customHeight="1" x14ac:dyDescent="0.3">
      <c r="A9438" t="s">
        <v>5603</v>
      </c>
      <c r="B9438">
        <f t="shared" si="1362"/>
        <v>35</v>
      </c>
    </row>
    <row r="9439" spans="1:2" ht="15" customHeight="1" x14ac:dyDescent="0.3">
      <c r="A9439" t="s">
        <v>5181</v>
      </c>
      <c r="B9439">
        <f t="shared" si="1362"/>
        <v>35</v>
      </c>
    </row>
    <row r="9440" spans="1:2" ht="15" customHeight="1" x14ac:dyDescent="0.3">
      <c r="A9440" t="s">
        <v>5897</v>
      </c>
      <c r="B9440">
        <f t="shared" si="1362"/>
        <v>35</v>
      </c>
    </row>
    <row r="9441" spans="1:2" ht="15" customHeight="1" x14ac:dyDescent="0.3">
      <c r="A9441" t="s">
        <v>5312</v>
      </c>
      <c r="B9441">
        <f t="shared" si="1362"/>
        <v>35</v>
      </c>
    </row>
    <row r="9442" spans="1:2" ht="15" customHeight="1" x14ac:dyDescent="0.3">
      <c r="A9442" t="s">
        <v>5313</v>
      </c>
      <c r="B9442">
        <f t="shared" si="1362"/>
        <v>35</v>
      </c>
    </row>
    <row r="9443" spans="1:2" ht="15" customHeight="1" x14ac:dyDescent="0.3">
      <c r="A9443" t="s">
        <v>5604</v>
      </c>
      <c r="B9443">
        <f t="shared" si="1362"/>
        <v>35</v>
      </c>
    </row>
    <row r="9444" spans="1:2" ht="15" customHeight="1" x14ac:dyDescent="0.3">
      <c r="A9444" t="s">
        <v>10310</v>
      </c>
      <c r="B9444">
        <f t="shared" si="1362"/>
        <v>35</v>
      </c>
    </row>
    <row r="9445" spans="1:2" ht="15" customHeight="1" x14ac:dyDescent="0.3">
      <c r="A9445" t="s">
        <v>5182</v>
      </c>
      <c r="B9445">
        <f t="shared" si="1362"/>
        <v>35</v>
      </c>
    </row>
    <row r="9446" spans="1:2" ht="15" customHeight="1" x14ac:dyDescent="0.3">
      <c r="A9446" t="s">
        <v>6050</v>
      </c>
      <c r="B9446">
        <f t="shared" si="1362"/>
        <v>40</v>
      </c>
    </row>
    <row r="9447" spans="1:2" ht="15" customHeight="1" x14ac:dyDescent="0.3">
      <c r="A9447" t="s">
        <v>5605</v>
      </c>
      <c r="B9447">
        <f t="shared" si="1362"/>
        <v>35</v>
      </c>
    </row>
    <row r="9448" spans="1:2" ht="15" customHeight="1" x14ac:dyDescent="0.3">
      <c r="A9448" t="s">
        <v>5606</v>
      </c>
      <c r="B9448">
        <f t="shared" si="1362"/>
        <v>35</v>
      </c>
    </row>
    <row r="9449" spans="1:2" ht="15" customHeight="1" x14ac:dyDescent="0.3">
      <c r="A9449" t="s">
        <v>5183</v>
      </c>
      <c r="B9449">
        <f t="shared" si="1362"/>
        <v>35</v>
      </c>
    </row>
    <row r="9450" spans="1:2" ht="15" customHeight="1" x14ac:dyDescent="0.3">
      <c r="A9450" t="s">
        <v>5314</v>
      </c>
      <c r="B9450">
        <f t="shared" si="1362"/>
        <v>40</v>
      </c>
    </row>
    <row r="9451" spans="1:2" ht="15" customHeight="1" x14ac:dyDescent="0.3">
      <c r="A9451" t="s">
        <v>6069</v>
      </c>
      <c r="B9451">
        <f t="shared" si="1362"/>
        <v>35</v>
      </c>
    </row>
    <row r="9452" spans="1:2" ht="15" customHeight="1" x14ac:dyDescent="0.3">
      <c r="A9452" t="s">
        <v>5958</v>
      </c>
      <c r="B9452">
        <f t="shared" si="1362"/>
        <v>35</v>
      </c>
    </row>
    <row r="9453" spans="1:2" ht="15" customHeight="1" x14ac:dyDescent="0.3">
      <c r="A9453" t="s">
        <v>6020</v>
      </c>
      <c r="B9453">
        <f t="shared" si="1362"/>
        <v>40</v>
      </c>
    </row>
    <row r="9454" spans="1:2" ht="15" customHeight="1" x14ac:dyDescent="0.3">
      <c r="A9454" t="s">
        <v>5959</v>
      </c>
      <c r="B9454">
        <f t="shared" si="1362"/>
        <v>35</v>
      </c>
    </row>
    <row r="9455" spans="1:2" ht="15" customHeight="1" x14ac:dyDescent="0.3">
      <c r="A9455" t="s">
        <v>5184</v>
      </c>
      <c r="B9455">
        <f t="shared" si="1362"/>
        <v>35</v>
      </c>
    </row>
    <row r="9456" spans="1:2" ht="15" customHeight="1" x14ac:dyDescent="0.3">
      <c r="A9456" t="s">
        <v>5185</v>
      </c>
      <c r="B9456">
        <f t="shared" si="1362"/>
        <v>35</v>
      </c>
    </row>
    <row r="9457" spans="1:2" ht="15" customHeight="1" x14ac:dyDescent="0.3">
      <c r="A9457" t="s">
        <v>5315</v>
      </c>
      <c r="B9457">
        <f t="shared" si="1362"/>
        <v>30</v>
      </c>
    </row>
    <row r="9458" spans="1:2" ht="15" customHeight="1" x14ac:dyDescent="0.3">
      <c r="A9458" t="s">
        <v>5316</v>
      </c>
      <c r="B9458">
        <f t="shared" si="1362"/>
        <v>30</v>
      </c>
    </row>
    <row r="9459" spans="1:2" ht="15" customHeight="1" x14ac:dyDescent="0.3">
      <c r="A9459" t="s">
        <v>5317</v>
      </c>
      <c r="B9459">
        <f t="shared" ref="B9459:B9490" si="1363">B9267</f>
        <v>35</v>
      </c>
    </row>
    <row r="9460" spans="1:2" ht="15" customHeight="1" x14ac:dyDescent="0.3">
      <c r="A9460" t="s">
        <v>5318</v>
      </c>
      <c r="B9460">
        <f t="shared" si="1363"/>
        <v>30</v>
      </c>
    </row>
    <row r="9461" spans="1:2" ht="15" customHeight="1" x14ac:dyDescent="0.3">
      <c r="A9461" t="s">
        <v>5319</v>
      </c>
      <c r="B9461">
        <f t="shared" si="1363"/>
        <v>35</v>
      </c>
    </row>
    <row r="9462" spans="1:2" ht="15" customHeight="1" x14ac:dyDescent="0.3">
      <c r="A9462" t="s">
        <v>5320</v>
      </c>
      <c r="B9462">
        <f t="shared" si="1363"/>
        <v>30</v>
      </c>
    </row>
    <row r="9463" spans="1:2" ht="15" customHeight="1" x14ac:dyDescent="0.3">
      <c r="A9463" t="s">
        <v>5321</v>
      </c>
      <c r="B9463">
        <f t="shared" si="1363"/>
        <v>30</v>
      </c>
    </row>
    <row r="9464" spans="1:2" ht="15" customHeight="1" x14ac:dyDescent="0.3">
      <c r="A9464" t="s">
        <v>5186</v>
      </c>
      <c r="B9464">
        <f t="shared" si="1363"/>
        <v>30</v>
      </c>
    </row>
    <row r="9465" spans="1:2" ht="15" customHeight="1" x14ac:dyDescent="0.3">
      <c r="A9465" t="s">
        <v>5322</v>
      </c>
      <c r="B9465">
        <f t="shared" si="1363"/>
        <v>35</v>
      </c>
    </row>
    <row r="9466" spans="1:2" ht="15" customHeight="1" x14ac:dyDescent="0.3">
      <c r="A9466" t="s">
        <v>5323</v>
      </c>
      <c r="B9466">
        <f t="shared" si="1363"/>
        <v>35</v>
      </c>
    </row>
    <row r="9467" spans="1:2" ht="15" customHeight="1" x14ac:dyDescent="0.3">
      <c r="A9467" t="s">
        <v>5324</v>
      </c>
      <c r="B9467">
        <f t="shared" si="1363"/>
        <v>35</v>
      </c>
    </row>
    <row r="9468" spans="1:2" ht="15" customHeight="1" x14ac:dyDescent="0.3">
      <c r="A9468" t="s">
        <v>5325</v>
      </c>
      <c r="B9468">
        <f t="shared" si="1363"/>
        <v>30</v>
      </c>
    </row>
    <row r="9469" spans="1:2" ht="15" customHeight="1" x14ac:dyDescent="0.3">
      <c r="A9469" t="s">
        <v>5187</v>
      </c>
      <c r="B9469">
        <f t="shared" si="1363"/>
        <v>35</v>
      </c>
    </row>
    <row r="9470" spans="1:2" ht="15" customHeight="1" x14ac:dyDescent="0.3">
      <c r="A9470" t="s">
        <v>5326</v>
      </c>
      <c r="B9470">
        <f t="shared" si="1363"/>
        <v>35</v>
      </c>
    </row>
    <row r="9471" spans="1:2" ht="15" customHeight="1" x14ac:dyDescent="0.3">
      <c r="A9471" t="s">
        <v>5327</v>
      </c>
      <c r="B9471">
        <f t="shared" si="1363"/>
        <v>35</v>
      </c>
    </row>
    <row r="9472" spans="1:2" ht="15" customHeight="1" x14ac:dyDescent="0.3">
      <c r="A9472" t="s">
        <v>5607</v>
      </c>
      <c r="B9472">
        <f t="shared" si="1363"/>
        <v>35</v>
      </c>
    </row>
    <row r="9473" spans="1:2" ht="15" customHeight="1" x14ac:dyDescent="0.3">
      <c r="A9473" t="s">
        <v>5328</v>
      </c>
      <c r="B9473">
        <f t="shared" si="1363"/>
        <v>35</v>
      </c>
    </row>
    <row r="9474" spans="1:2" ht="15" customHeight="1" x14ac:dyDescent="0.3">
      <c r="A9474" t="s">
        <v>5188</v>
      </c>
      <c r="B9474">
        <f t="shared" si="1363"/>
        <v>30</v>
      </c>
    </row>
    <row r="9475" spans="1:2" ht="15" customHeight="1" x14ac:dyDescent="0.3">
      <c r="A9475" t="s">
        <v>5608</v>
      </c>
      <c r="B9475">
        <f t="shared" si="1363"/>
        <v>35</v>
      </c>
    </row>
    <row r="9476" spans="1:2" ht="15" customHeight="1" x14ac:dyDescent="0.3">
      <c r="A9476" t="s">
        <v>5609</v>
      </c>
      <c r="B9476">
        <f t="shared" si="1363"/>
        <v>35</v>
      </c>
    </row>
    <row r="9477" spans="1:2" ht="15" customHeight="1" x14ac:dyDescent="0.3">
      <c r="A9477" t="s">
        <v>5329</v>
      </c>
      <c r="B9477">
        <f t="shared" si="1363"/>
        <v>35</v>
      </c>
    </row>
    <row r="9478" spans="1:2" ht="15" customHeight="1" x14ac:dyDescent="0.3">
      <c r="A9478" t="s">
        <v>5898</v>
      </c>
      <c r="B9478">
        <f t="shared" si="1363"/>
        <v>35</v>
      </c>
    </row>
    <row r="9479" spans="1:2" ht="15" customHeight="1" x14ac:dyDescent="0.3">
      <c r="A9479" t="s">
        <v>5610</v>
      </c>
      <c r="B9479">
        <f t="shared" si="1363"/>
        <v>35</v>
      </c>
    </row>
    <row r="9480" spans="1:2" ht="15" customHeight="1" x14ac:dyDescent="0.3">
      <c r="A9480" t="s">
        <v>5611</v>
      </c>
      <c r="B9480">
        <f t="shared" si="1363"/>
        <v>35</v>
      </c>
    </row>
    <row r="9481" spans="1:2" ht="15" customHeight="1" x14ac:dyDescent="0.3">
      <c r="A9481" t="s">
        <v>5612</v>
      </c>
      <c r="B9481">
        <f t="shared" si="1363"/>
        <v>35</v>
      </c>
    </row>
    <row r="9482" spans="1:2" ht="15" customHeight="1" x14ac:dyDescent="0.3">
      <c r="A9482" t="s">
        <v>5613</v>
      </c>
      <c r="B9482">
        <f t="shared" si="1363"/>
        <v>35</v>
      </c>
    </row>
    <row r="9483" spans="1:2" ht="15" customHeight="1" x14ac:dyDescent="0.3">
      <c r="A9483" t="s">
        <v>5614</v>
      </c>
      <c r="B9483">
        <f t="shared" si="1363"/>
        <v>35</v>
      </c>
    </row>
    <row r="9484" spans="1:2" ht="15" customHeight="1" x14ac:dyDescent="0.3">
      <c r="A9484" t="s">
        <v>5189</v>
      </c>
      <c r="B9484">
        <f t="shared" si="1363"/>
        <v>35</v>
      </c>
    </row>
    <row r="9485" spans="1:2" ht="15" customHeight="1" x14ac:dyDescent="0.3">
      <c r="A9485" t="s">
        <v>5615</v>
      </c>
      <c r="B9485">
        <f t="shared" si="1363"/>
        <v>40</v>
      </c>
    </row>
    <row r="9486" spans="1:2" ht="15" customHeight="1" x14ac:dyDescent="0.3">
      <c r="A9486" t="s">
        <v>5616</v>
      </c>
      <c r="B9486">
        <f t="shared" si="1363"/>
        <v>30</v>
      </c>
    </row>
    <row r="9487" spans="1:2" ht="15" customHeight="1" x14ac:dyDescent="0.3">
      <c r="A9487" t="s">
        <v>5617</v>
      </c>
      <c r="B9487">
        <f t="shared" si="1363"/>
        <v>30</v>
      </c>
    </row>
    <row r="9488" spans="1:2" ht="15" customHeight="1" x14ac:dyDescent="0.3">
      <c r="A9488" t="s">
        <v>5618</v>
      </c>
      <c r="B9488">
        <f t="shared" si="1363"/>
        <v>35</v>
      </c>
    </row>
    <row r="9489" spans="1:2" ht="15" customHeight="1" x14ac:dyDescent="0.3">
      <c r="A9489" t="s">
        <v>5619</v>
      </c>
      <c r="B9489">
        <f t="shared" si="1363"/>
        <v>35</v>
      </c>
    </row>
    <row r="9490" spans="1:2" ht="15" customHeight="1" x14ac:dyDescent="0.3">
      <c r="A9490" t="s">
        <v>5620</v>
      </c>
      <c r="B9490">
        <f t="shared" si="1363"/>
        <v>35</v>
      </c>
    </row>
    <row r="9491" spans="1:2" ht="15" customHeight="1" x14ac:dyDescent="0.3">
      <c r="A9491" t="s">
        <v>5621</v>
      </c>
      <c r="B9491">
        <f t="shared" ref="B9491:B9501" si="1364">B9299</f>
        <v>35</v>
      </c>
    </row>
    <row r="9492" spans="1:2" ht="15" customHeight="1" x14ac:dyDescent="0.3">
      <c r="A9492" t="s">
        <v>5622</v>
      </c>
      <c r="B9492">
        <f t="shared" si="1364"/>
        <v>35</v>
      </c>
    </row>
    <row r="9493" spans="1:2" ht="15" customHeight="1" x14ac:dyDescent="0.3">
      <c r="A9493" t="s">
        <v>5623</v>
      </c>
      <c r="B9493">
        <f t="shared" si="1364"/>
        <v>35</v>
      </c>
    </row>
    <row r="9494" spans="1:2" ht="15" customHeight="1" x14ac:dyDescent="0.3">
      <c r="A9494" t="s">
        <v>6021</v>
      </c>
      <c r="B9494">
        <f t="shared" si="1364"/>
        <v>40</v>
      </c>
    </row>
    <row r="9495" spans="1:2" ht="15" customHeight="1" x14ac:dyDescent="0.3">
      <c r="A9495" t="s">
        <v>5624</v>
      </c>
      <c r="B9495">
        <f t="shared" si="1364"/>
        <v>35</v>
      </c>
    </row>
    <row r="9496" spans="1:2" ht="15" customHeight="1" x14ac:dyDescent="0.3">
      <c r="A9496" t="s">
        <v>5625</v>
      </c>
      <c r="B9496">
        <f t="shared" si="1364"/>
        <v>35</v>
      </c>
    </row>
    <row r="9497" spans="1:2" ht="15" customHeight="1" x14ac:dyDescent="0.3">
      <c r="A9497" t="s">
        <v>5626</v>
      </c>
      <c r="B9497">
        <f t="shared" si="1364"/>
        <v>35</v>
      </c>
    </row>
    <row r="9498" spans="1:2" ht="15" customHeight="1" x14ac:dyDescent="0.3">
      <c r="A9498" t="s">
        <v>5627</v>
      </c>
      <c r="B9498">
        <f t="shared" si="1364"/>
        <v>35</v>
      </c>
    </row>
    <row r="9499" spans="1:2" ht="15" customHeight="1" x14ac:dyDescent="0.3">
      <c r="A9499" t="s">
        <v>5628</v>
      </c>
      <c r="B9499">
        <f t="shared" si="1364"/>
        <v>35</v>
      </c>
    </row>
    <row r="9500" spans="1:2" ht="15" customHeight="1" x14ac:dyDescent="0.3">
      <c r="A9500" t="s">
        <v>5629</v>
      </c>
      <c r="B9500">
        <f t="shared" si="1364"/>
        <v>35</v>
      </c>
    </row>
    <row r="9501" spans="1:2" ht="15" customHeight="1" x14ac:dyDescent="0.3">
      <c r="A9501" t="s">
        <v>3690</v>
      </c>
      <c r="B9501">
        <f t="shared" si="1364"/>
        <v>40</v>
      </c>
    </row>
    <row r="9502" spans="1:2" ht="15" customHeight="1" x14ac:dyDescent="0.3">
      <c r="A9502" t="s">
        <v>5630</v>
      </c>
      <c r="B9502">
        <f>F2357</f>
        <v>35</v>
      </c>
    </row>
    <row r="9503" spans="1:2" ht="15" customHeight="1" x14ac:dyDescent="0.3">
      <c r="A9503" t="s">
        <v>5631</v>
      </c>
      <c r="B9503">
        <f>B9502</f>
        <v>35</v>
      </c>
    </row>
    <row r="9504" spans="1:2" ht="15" customHeight="1" x14ac:dyDescent="0.3">
      <c r="A9504" t="s">
        <v>5632</v>
      </c>
      <c r="B9504">
        <f t="shared" ref="B9504:B9509" si="1365">B9312</f>
        <v>35</v>
      </c>
    </row>
    <row r="9505" spans="1:2" ht="15" customHeight="1" x14ac:dyDescent="0.3">
      <c r="A9505" t="s">
        <v>5633</v>
      </c>
      <c r="B9505">
        <f t="shared" si="1365"/>
        <v>35</v>
      </c>
    </row>
    <row r="9506" spans="1:2" ht="15" customHeight="1" x14ac:dyDescent="0.3">
      <c r="A9506" t="s">
        <v>5634</v>
      </c>
      <c r="B9506">
        <f t="shared" si="1365"/>
        <v>35</v>
      </c>
    </row>
    <row r="9507" spans="1:2" ht="15" customHeight="1" x14ac:dyDescent="0.3">
      <c r="A9507" t="s">
        <v>5635</v>
      </c>
      <c r="B9507">
        <f t="shared" si="1365"/>
        <v>35</v>
      </c>
    </row>
    <row r="9508" spans="1:2" ht="15" customHeight="1" x14ac:dyDescent="0.3">
      <c r="A9508" t="s">
        <v>5636</v>
      </c>
      <c r="B9508">
        <f t="shared" si="1365"/>
        <v>35</v>
      </c>
    </row>
    <row r="9509" spans="1:2" ht="15" customHeight="1" x14ac:dyDescent="0.3">
      <c r="A9509" t="s">
        <v>5637</v>
      </c>
      <c r="B9509">
        <f t="shared" si="1365"/>
        <v>35</v>
      </c>
    </row>
    <row r="9510" spans="1:2" ht="15" customHeight="1" x14ac:dyDescent="0.3">
      <c r="A9510" t="s">
        <v>5638</v>
      </c>
      <c r="B9510">
        <f>F2361</f>
        <v>35</v>
      </c>
    </row>
    <row r="9511" spans="1:2" ht="15" customHeight="1" x14ac:dyDescent="0.3">
      <c r="A9511" t="s">
        <v>5639</v>
      </c>
      <c r="B9511">
        <f>B9510</f>
        <v>35</v>
      </c>
    </row>
    <row r="9512" spans="1:2" ht="15" customHeight="1" x14ac:dyDescent="0.3">
      <c r="A9512" t="s">
        <v>5640</v>
      </c>
      <c r="B9512">
        <f>F2362</f>
        <v>35</v>
      </c>
    </row>
    <row r="9513" spans="1:2" ht="15" customHeight="1" x14ac:dyDescent="0.3">
      <c r="A9513" t="s">
        <v>5641</v>
      </c>
      <c r="B9513">
        <f>B9512</f>
        <v>35</v>
      </c>
    </row>
    <row r="9514" spans="1:2" ht="15" customHeight="1" x14ac:dyDescent="0.3">
      <c r="A9514" t="s">
        <v>5642</v>
      </c>
      <c r="B9514">
        <f>B9512</f>
        <v>35</v>
      </c>
    </row>
    <row r="9515" spans="1:2" ht="15" customHeight="1" x14ac:dyDescent="0.3">
      <c r="A9515" t="s">
        <v>5899</v>
      </c>
      <c r="B9515">
        <f>F2363</f>
        <v>35</v>
      </c>
    </row>
    <row r="9516" spans="1:2" ht="15" customHeight="1" x14ac:dyDescent="0.3">
      <c r="A9516" t="s">
        <v>5900</v>
      </c>
      <c r="B9516">
        <f>B9515</f>
        <v>35</v>
      </c>
    </row>
    <row r="9517" spans="1:2" ht="15" customHeight="1" x14ac:dyDescent="0.3">
      <c r="A9517" t="s">
        <v>6051</v>
      </c>
      <c r="B9517">
        <f t="shared" ref="B9517:B9557" si="1366">B9325</f>
        <v>35</v>
      </c>
    </row>
    <row r="9518" spans="1:2" ht="15" customHeight="1" x14ac:dyDescent="0.3">
      <c r="A9518" t="s">
        <v>6052</v>
      </c>
      <c r="B9518">
        <f t="shared" si="1366"/>
        <v>35</v>
      </c>
    </row>
    <row r="9519" spans="1:2" ht="15" customHeight="1" x14ac:dyDescent="0.3">
      <c r="A9519" t="s">
        <v>5643</v>
      </c>
      <c r="B9519">
        <f t="shared" si="1366"/>
        <v>35</v>
      </c>
    </row>
    <row r="9520" spans="1:2" ht="15" customHeight="1" x14ac:dyDescent="0.3">
      <c r="A9520" t="s">
        <v>5644</v>
      </c>
      <c r="B9520">
        <f t="shared" si="1366"/>
        <v>35</v>
      </c>
    </row>
    <row r="9521" spans="1:2" ht="15" customHeight="1" x14ac:dyDescent="0.3">
      <c r="A9521" t="s">
        <v>5960</v>
      </c>
      <c r="B9521">
        <f t="shared" si="1366"/>
        <v>35</v>
      </c>
    </row>
    <row r="9522" spans="1:2" ht="15" customHeight="1" x14ac:dyDescent="0.3">
      <c r="A9522" t="s">
        <v>5645</v>
      </c>
      <c r="B9522">
        <f t="shared" si="1366"/>
        <v>35</v>
      </c>
    </row>
    <row r="9523" spans="1:2" ht="15" customHeight="1" x14ac:dyDescent="0.3">
      <c r="A9523" t="s">
        <v>5330</v>
      </c>
      <c r="B9523">
        <f t="shared" si="1366"/>
        <v>35</v>
      </c>
    </row>
    <row r="9524" spans="1:2" ht="15" customHeight="1" x14ac:dyDescent="0.3">
      <c r="A9524" t="s">
        <v>5961</v>
      </c>
      <c r="B9524">
        <f t="shared" si="1366"/>
        <v>35</v>
      </c>
    </row>
    <row r="9525" spans="1:2" ht="15" customHeight="1" x14ac:dyDescent="0.3">
      <c r="A9525" t="s">
        <v>5646</v>
      </c>
      <c r="B9525">
        <f t="shared" si="1366"/>
        <v>35</v>
      </c>
    </row>
    <row r="9526" spans="1:2" ht="15" customHeight="1" x14ac:dyDescent="0.3">
      <c r="A9526" t="s">
        <v>3691</v>
      </c>
      <c r="B9526">
        <f t="shared" si="1366"/>
        <v>35</v>
      </c>
    </row>
    <row r="9527" spans="1:2" ht="15" customHeight="1" x14ac:dyDescent="0.3">
      <c r="A9527" t="s">
        <v>6022</v>
      </c>
      <c r="B9527">
        <f t="shared" si="1366"/>
        <v>35</v>
      </c>
    </row>
    <row r="9528" spans="1:2" ht="15" customHeight="1" x14ac:dyDescent="0.3">
      <c r="A9528" t="s">
        <v>5647</v>
      </c>
      <c r="B9528">
        <f t="shared" si="1366"/>
        <v>35</v>
      </c>
    </row>
    <row r="9529" spans="1:2" ht="15" customHeight="1" x14ac:dyDescent="0.3">
      <c r="A9529" t="s">
        <v>5648</v>
      </c>
      <c r="B9529">
        <f t="shared" si="1366"/>
        <v>45</v>
      </c>
    </row>
    <row r="9530" spans="1:2" ht="15" customHeight="1" x14ac:dyDescent="0.3">
      <c r="A9530" t="s">
        <v>5331</v>
      </c>
      <c r="B9530">
        <f t="shared" si="1366"/>
        <v>35</v>
      </c>
    </row>
    <row r="9531" spans="1:2" ht="15" customHeight="1" x14ac:dyDescent="0.3">
      <c r="A9531" t="s">
        <v>6023</v>
      </c>
      <c r="B9531">
        <f t="shared" si="1366"/>
        <v>35</v>
      </c>
    </row>
    <row r="9532" spans="1:2" ht="15" customHeight="1" x14ac:dyDescent="0.3">
      <c r="A9532" t="s">
        <v>5649</v>
      </c>
      <c r="B9532">
        <f t="shared" si="1366"/>
        <v>35</v>
      </c>
    </row>
    <row r="9533" spans="1:2" ht="15" customHeight="1" x14ac:dyDescent="0.3">
      <c r="A9533" t="s">
        <v>10311</v>
      </c>
      <c r="B9533">
        <f t="shared" si="1366"/>
        <v>35</v>
      </c>
    </row>
    <row r="9534" spans="1:2" ht="15" customHeight="1" x14ac:dyDescent="0.3">
      <c r="A9534" t="s">
        <v>6062</v>
      </c>
      <c r="B9534">
        <f t="shared" si="1366"/>
        <v>40</v>
      </c>
    </row>
    <row r="9535" spans="1:2" ht="15" customHeight="1" x14ac:dyDescent="0.3">
      <c r="A9535" t="s">
        <v>5650</v>
      </c>
      <c r="B9535">
        <f t="shared" si="1366"/>
        <v>30</v>
      </c>
    </row>
    <row r="9536" spans="1:2" ht="15" customHeight="1" x14ac:dyDescent="0.3">
      <c r="A9536" t="s">
        <v>5901</v>
      </c>
      <c r="B9536">
        <f t="shared" si="1366"/>
        <v>35</v>
      </c>
    </row>
    <row r="9537" spans="1:2" ht="15" customHeight="1" x14ac:dyDescent="0.3">
      <c r="A9537" t="s">
        <v>5651</v>
      </c>
      <c r="B9537">
        <f t="shared" si="1366"/>
        <v>30</v>
      </c>
    </row>
    <row r="9538" spans="1:2" ht="15" customHeight="1" x14ac:dyDescent="0.3">
      <c r="A9538" t="s">
        <v>5652</v>
      </c>
      <c r="B9538">
        <f t="shared" si="1366"/>
        <v>30</v>
      </c>
    </row>
    <row r="9539" spans="1:2" ht="15" customHeight="1" x14ac:dyDescent="0.3">
      <c r="A9539" t="s">
        <v>5653</v>
      </c>
      <c r="B9539">
        <f t="shared" si="1366"/>
        <v>35</v>
      </c>
    </row>
    <row r="9540" spans="1:2" ht="15" customHeight="1" x14ac:dyDescent="0.3">
      <c r="A9540" t="s">
        <v>10312</v>
      </c>
      <c r="B9540">
        <f t="shared" si="1366"/>
        <v>50</v>
      </c>
    </row>
    <row r="9541" spans="1:2" ht="15" customHeight="1" x14ac:dyDescent="0.3">
      <c r="A9541" t="s">
        <v>5654</v>
      </c>
      <c r="B9541">
        <f t="shared" si="1366"/>
        <v>40</v>
      </c>
    </row>
    <row r="9542" spans="1:2" ht="15" customHeight="1" x14ac:dyDescent="0.3">
      <c r="A9542" t="s">
        <v>5190</v>
      </c>
      <c r="B9542">
        <f t="shared" si="1366"/>
        <v>35</v>
      </c>
    </row>
    <row r="9543" spans="1:2" ht="15" customHeight="1" x14ac:dyDescent="0.3">
      <c r="A9543" t="s">
        <v>5655</v>
      </c>
      <c r="B9543">
        <f t="shared" si="1366"/>
        <v>35</v>
      </c>
    </row>
    <row r="9544" spans="1:2" ht="15" customHeight="1" x14ac:dyDescent="0.3">
      <c r="A9544" t="s">
        <v>5332</v>
      </c>
      <c r="B9544">
        <f t="shared" si="1366"/>
        <v>35</v>
      </c>
    </row>
    <row r="9545" spans="1:2" ht="15" customHeight="1" x14ac:dyDescent="0.3">
      <c r="A9545" t="s">
        <v>5656</v>
      </c>
      <c r="B9545">
        <f t="shared" si="1366"/>
        <v>30</v>
      </c>
    </row>
    <row r="9546" spans="1:2" ht="15" customHeight="1" x14ac:dyDescent="0.3">
      <c r="A9546" t="s">
        <v>5657</v>
      </c>
      <c r="B9546">
        <f t="shared" si="1366"/>
        <v>30</v>
      </c>
    </row>
    <row r="9547" spans="1:2" ht="15" customHeight="1" x14ac:dyDescent="0.3">
      <c r="A9547" t="s">
        <v>5962</v>
      </c>
      <c r="B9547">
        <f t="shared" si="1366"/>
        <v>35</v>
      </c>
    </row>
    <row r="9548" spans="1:2" ht="15" customHeight="1" x14ac:dyDescent="0.3">
      <c r="A9548" t="s">
        <v>5658</v>
      </c>
      <c r="B9548">
        <f t="shared" si="1366"/>
        <v>35</v>
      </c>
    </row>
    <row r="9549" spans="1:2" ht="15" customHeight="1" x14ac:dyDescent="0.3">
      <c r="A9549" t="s">
        <v>5659</v>
      </c>
      <c r="B9549">
        <f t="shared" si="1366"/>
        <v>35</v>
      </c>
    </row>
    <row r="9550" spans="1:2" ht="15" customHeight="1" x14ac:dyDescent="0.3">
      <c r="A9550" t="s">
        <v>5191</v>
      </c>
      <c r="B9550">
        <f t="shared" si="1366"/>
        <v>30</v>
      </c>
    </row>
    <row r="9551" spans="1:2" ht="15" customHeight="1" x14ac:dyDescent="0.3">
      <c r="A9551" t="s">
        <v>5192</v>
      </c>
      <c r="B9551">
        <f t="shared" si="1366"/>
        <v>35</v>
      </c>
    </row>
    <row r="9552" spans="1:2" ht="15" customHeight="1" x14ac:dyDescent="0.3">
      <c r="A9552" t="s">
        <v>5193</v>
      </c>
      <c r="B9552">
        <f t="shared" si="1366"/>
        <v>35</v>
      </c>
    </row>
    <row r="9553" spans="1:2" ht="15" customHeight="1" x14ac:dyDescent="0.3">
      <c r="A9553" t="s">
        <v>5660</v>
      </c>
      <c r="B9553">
        <f t="shared" si="1366"/>
        <v>40</v>
      </c>
    </row>
    <row r="9554" spans="1:2" ht="15" customHeight="1" x14ac:dyDescent="0.3">
      <c r="A9554" t="s">
        <v>5333</v>
      </c>
      <c r="B9554">
        <f t="shared" si="1366"/>
        <v>35</v>
      </c>
    </row>
    <row r="9555" spans="1:2" ht="15" customHeight="1" x14ac:dyDescent="0.3">
      <c r="A9555" t="s">
        <v>5902</v>
      </c>
      <c r="B9555">
        <f t="shared" si="1366"/>
        <v>35</v>
      </c>
    </row>
    <row r="9556" spans="1:2" ht="15" customHeight="1" x14ac:dyDescent="0.3">
      <c r="A9556" t="s">
        <v>5661</v>
      </c>
      <c r="B9556">
        <f t="shared" si="1366"/>
        <v>35</v>
      </c>
    </row>
    <row r="9557" spans="1:2" ht="15" customHeight="1" x14ac:dyDescent="0.3">
      <c r="A9557" t="s">
        <v>5963</v>
      </c>
      <c r="B9557">
        <f t="shared" si="1366"/>
        <v>35</v>
      </c>
    </row>
    <row r="9558" spans="1:2" ht="15" customHeight="1" x14ac:dyDescent="0.3">
      <c r="A9558" t="s">
        <v>5194</v>
      </c>
      <c r="B9558">
        <f t="shared" ref="B9558:B9589" si="1367">B9174</f>
        <v>35</v>
      </c>
    </row>
    <row r="9559" spans="1:2" ht="15" customHeight="1" x14ac:dyDescent="0.3">
      <c r="A9559" t="s">
        <v>5195</v>
      </c>
      <c r="B9559">
        <f t="shared" si="1367"/>
        <v>40</v>
      </c>
    </row>
    <row r="9560" spans="1:2" ht="15" customHeight="1" x14ac:dyDescent="0.3">
      <c r="A9560" t="s">
        <v>5196</v>
      </c>
      <c r="B9560">
        <f t="shared" si="1367"/>
        <v>40</v>
      </c>
    </row>
    <row r="9561" spans="1:2" ht="15" customHeight="1" x14ac:dyDescent="0.3">
      <c r="A9561" t="s">
        <v>5197</v>
      </c>
      <c r="B9561">
        <f t="shared" si="1367"/>
        <v>40</v>
      </c>
    </row>
    <row r="9562" spans="1:2" ht="15" customHeight="1" x14ac:dyDescent="0.3">
      <c r="A9562" t="s">
        <v>5198</v>
      </c>
      <c r="B9562">
        <f t="shared" si="1367"/>
        <v>35</v>
      </c>
    </row>
    <row r="9563" spans="1:2" ht="15" customHeight="1" x14ac:dyDescent="0.3">
      <c r="A9563" t="s">
        <v>5903</v>
      </c>
      <c r="B9563">
        <f t="shared" si="1367"/>
        <v>45</v>
      </c>
    </row>
    <row r="9564" spans="1:2" ht="15" customHeight="1" x14ac:dyDescent="0.3">
      <c r="A9564" t="s">
        <v>5662</v>
      </c>
      <c r="B9564">
        <f t="shared" si="1367"/>
        <v>45</v>
      </c>
    </row>
    <row r="9565" spans="1:2" ht="15" customHeight="1" x14ac:dyDescent="0.3">
      <c r="A9565" t="s">
        <v>5199</v>
      </c>
      <c r="B9565">
        <f t="shared" si="1367"/>
        <v>40</v>
      </c>
    </row>
    <row r="9566" spans="1:2" ht="15" customHeight="1" x14ac:dyDescent="0.3">
      <c r="A9566" t="s">
        <v>5200</v>
      </c>
      <c r="B9566">
        <f t="shared" si="1367"/>
        <v>45</v>
      </c>
    </row>
    <row r="9567" spans="1:2" ht="15" customHeight="1" x14ac:dyDescent="0.3">
      <c r="A9567" t="s">
        <v>5201</v>
      </c>
      <c r="B9567">
        <f t="shared" si="1367"/>
        <v>50</v>
      </c>
    </row>
    <row r="9568" spans="1:2" ht="15" customHeight="1" x14ac:dyDescent="0.3">
      <c r="A9568" t="s">
        <v>5334</v>
      </c>
      <c r="B9568">
        <f t="shared" si="1367"/>
        <v>50</v>
      </c>
    </row>
    <row r="9569" spans="1:2" ht="15" customHeight="1" x14ac:dyDescent="0.3">
      <c r="A9569" t="s">
        <v>5663</v>
      </c>
      <c r="B9569">
        <f t="shared" si="1367"/>
        <v>55</v>
      </c>
    </row>
    <row r="9570" spans="1:2" ht="15" customHeight="1" x14ac:dyDescent="0.3">
      <c r="A9570" t="s">
        <v>5335</v>
      </c>
      <c r="B9570">
        <f t="shared" si="1367"/>
        <v>30</v>
      </c>
    </row>
    <row r="9571" spans="1:2" ht="15" customHeight="1" x14ac:dyDescent="0.3">
      <c r="A9571" t="s">
        <v>5336</v>
      </c>
      <c r="B9571">
        <f t="shared" si="1367"/>
        <v>35</v>
      </c>
    </row>
    <row r="9572" spans="1:2" ht="15" customHeight="1" x14ac:dyDescent="0.3">
      <c r="A9572" t="s">
        <v>5664</v>
      </c>
      <c r="B9572">
        <f t="shared" si="1367"/>
        <v>30</v>
      </c>
    </row>
    <row r="9573" spans="1:2" ht="15" customHeight="1" x14ac:dyDescent="0.3">
      <c r="A9573" t="s">
        <v>5337</v>
      </c>
      <c r="B9573">
        <f t="shared" si="1367"/>
        <v>35</v>
      </c>
    </row>
    <row r="9574" spans="1:2" ht="15" customHeight="1" x14ac:dyDescent="0.3">
      <c r="A9574" t="s">
        <v>5665</v>
      </c>
      <c r="B9574">
        <f t="shared" si="1367"/>
        <v>30</v>
      </c>
    </row>
    <row r="9575" spans="1:2" ht="15" customHeight="1" x14ac:dyDescent="0.3">
      <c r="A9575" t="s">
        <v>5666</v>
      </c>
      <c r="B9575">
        <f t="shared" si="1367"/>
        <v>30</v>
      </c>
    </row>
    <row r="9576" spans="1:2" ht="15" customHeight="1" x14ac:dyDescent="0.3">
      <c r="A9576" t="s">
        <v>5904</v>
      </c>
      <c r="B9576">
        <f t="shared" si="1367"/>
        <v>35</v>
      </c>
    </row>
    <row r="9577" spans="1:2" ht="15" customHeight="1" x14ac:dyDescent="0.3">
      <c r="A9577" t="s">
        <v>5667</v>
      </c>
      <c r="B9577">
        <f t="shared" si="1367"/>
        <v>35</v>
      </c>
    </row>
    <row r="9578" spans="1:2" ht="15" customHeight="1" x14ac:dyDescent="0.3">
      <c r="A9578" t="s">
        <v>5668</v>
      </c>
      <c r="B9578">
        <f t="shared" si="1367"/>
        <v>35</v>
      </c>
    </row>
    <row r="9579" spans="1:2" ht="15" customHeight="1" x14ac:dyDescent="0.3">
      <c r="A9579" t="s">
        <v>6024</v>
      </c>
      <c r="B9579">
        <f t="shared" si="1367"/>
        <v>35</v>
      </c>
    </row>
    <row r="9580" spans="1:2" ht="15" customHeight="1" x14ac:dyDescent="0.3">
      <c r="A9580" t="s">
        <v>5669</v>
      </c>
      <c r="B9580">
        <f t="shared" si="1367"/>
        <v>35</v>
      </c>
    </row>
    <row r="9581" spans="1:2" ht="15" customHeight="1" x14ac:dyDescent="0.3">
      <c r="A9581" t="s">
        <v>5672</v>
      </c>
      <c r="B9581">
        <f t="shared" si="1367"/>
        <v>35</v>
      </c>
    </row>
    <row r="9582" spans="1:2" ht="15" customHeight="1" x14ac:dyDescent="0.3">
      <c r="A9582" t="s">
        <v>5670</v>
      </c>
      <c r="B9582">
        <f t="shared" si="1367"/>
        <v>35</v>
      </c>
    </row>
    <row r="9583" spans="1:2" ht="15" customHeight="1" x14ac:dyDescent="0.3">
      <c r="A9583" t="s">
        <v>5671</v>
      </c>
      <c r="B9583">
        <f t="shared" si="1367"/>
        <v>35</v>
      </c>
    </row>
    <row r="9584" spans="1:2" ht="15" customHeight="1" x14ac:dyDescent="0.3">
      <c r="A9584" t="s">
        <v>5673</v>
      </c>
      <c r="B9584">
        <f t="shared" si="1367"/>
        <v>35</v>
      </c>
    </row>
    <row r="9585" spans="1:2" ht="15" customHeight="1" x14ac:dyDescent="0.3">
      <c r="A9585" t="s">
        <v>5674</v>
      </c>
      <c r="B9585">
        <f t="shared" si="1367"/>
        <v>35</v>
      </c>
    </row>
    <row r="9586" spans="1:2" ht="15" customHeight="1" x14ac:dyDescent="0.3">
      <c r="A9586" t="s">
        <v>5675</v>
      </c>
      <c r="B9586">
        <f t="shared" si="1367"/>
        <v>35</v>
      </c>
    </row>
    <row r="9587" spans="1:2" ht="15" customHeight="1" x14ac:dyDescent="0.3">
      <c r="A9587" t="s">
        <v>5676</v>
      </c>
      <c r="B9587">
        <f t="shared" si="1367"/>
        <v>35</v>
      </c>
    </row>
    <row r="9588" spans="1:2" ht="15" customHeight="1" x14ac:dyDescent="0.3">
      <c r="A9588" t="s">
        <v>5677</v>
      </c>
      <c r="B9588">
        <f t="shared" si="1367"/>
        <v>35</v>
      </c>
    </row>
    <row r="9589" spans="1:2" ht="15" customHeight="1" x14ac:dyDescent="0.3">
      <c r="A9589" t="s">
        <v>6025</v>
      </c>
      <c r="B9589">
        <f t="shared" si="1367"/>
        <v>80</v>
      </c>
    </row>
    <row r="9590" spans="1:2" ht="15" customHeight="1" x14ac:dyDescent="0.3">
      <c r="A9590" t="s">
        <v>5964</v>
      </c>
      <c r="B9590">
        <f t="shared" ref="B9590:B9621" si="1368">B9206</f>
        <v>35</v>
      </c>
    </row>
    <row r="9591" spans="1:2" ht="15" customHeight="1" x14ac:dyDescent="0.3">
      <c r="A9591" t="s">
        <v>5678</v>
      </c>
      <c r="B9591">
        <f t="shared" si="1368"/>
        <v>30</v>
      </c>
    </row>
    <row r="9592" spans="1:2" ht="15" customHeight="1" x14ac:dyDescent="0.3">
      <c r="A9592" t="s">
        <v>5965</v>
      </c>
      <c r="B9592">
        <f t="shared" si="1368"/>
        <v>35</v>
      </c>
    </row>
    <row r="9593" spans="1:2" ht="15" customHeight="1" x14ac:dyDescent="0.3">
      <c r="A9593" t="s">
        <v>6026</v>
      </c>
      <c r="B9593">
        <f t="shared" si="1368"/>
        <v>35</v>
      </c>
    </row>
    <row r="9594" spans="1:2" ht="15" customHeight="1" x14ac:dyDescent="0.3">
      <c r="A9594" t="s">
        <v>5679</v>
      </c>
      <c r="B9594">
        <f t="shared" si="1368"/>
        <v>35</v>
      </c>
    </row>
    <row r="9595" spans="1:2" ht="15" customHeight="1" x14ac:dyDescent="0.3">
      <c r="A9595" t="s">
        <v>5680</v>
      </c>
      <c r="B9595">
        <f t="shared" si="1368"/>
        <v>35</v>
      </c>
    </row>
    <row r="9596" spans="1:2" ht="15" customHeight="1" x14ac:dyDescent="0.3">
      <c r="A9596" t="s">
        <v>5681</v>
      </c>
      <c r="B9596">
        <f t="shared" si="1368"/>
        <v>30</v>
      </c>
    </row>
    <row r="9597" spans="1:2" ht="15" customHeight="1" x14ac:dyDescent="0.3">
      <c r="A9597" t="s">
        <v>5338</v>
      </c>
      <c r="B9597">
        <f t="shared" si="1368"/>
        <v>35</v>
      </c>
    </row>
    <row r="9598" spans="1:2" ht="15" customHeight="1" x14ac:dyDescent="0.3">
      <c r="A9598" t="s">
        <v>5966</v>
      </c>
      <c r="B9598">
        <f t="shared" si="1368"/>
        <v>35</v>
      </c>
    </row>
    <row r="9599" spans="1:2" ht="15" customHeight="1" x14ac:dyDescent="0.3">
      <c r="A9599" t="s">
        <v>5967</v>
      </c>
      <c r="B9599">
        <f t="shared" si="1368"/>
        <v>35</v>
      </c>
    </row>
    <row r="9600" spans="1:2" ht="15" customHeight="1" x14ac:dyDescent="0.3">
      <c r="A9600" t="s">
        <v>5202</v>
      </c>
      <c r="B9600">
        <f t="shared" si="1368"/>
        <v>35</v>
      </c>
    </row>
    <row r="9601" spans="1:2" ht="15" customHeight="1" x14ac:dyDescent="0.3">
      <c r="A9601" t="s">
        <v>5968</v>
      </c>
      <c r="B9601">
        <f t="shared" si="1368"/>
        <v>35</v>
      </c>
    </row>
    <row r="9602" spans="1:2" ht="15" customHeight="1" x14ac:dyDescent="0.3">
      <c r="A9602" t="s">
        <v>5339</v>
      </c>
      <c r="B9602">
        <f t="shared" si="1368"/>
        <v>35</v>
      </c>
    </row>
    <row r="9603" spans="1:2" ht="15" customHeight="1" x14ac:dyDescent="0.3">
      <c r="A9603" t="s">
        <v>5682</v>
      </c>
      <c r="B9603">
        <f t="shared" si="1368"/>
        <v>35</v>
      </c>
    </row>
    <row r="9604" spans="1:2" ht="15" customHeight="1" x14ac:dyDescent="0.3">
      <c r="A9604" t="s">
        <v>5969</v>
      </c>
      <c r="B9604">
        <f t="shared" si="1368"/>
        <v>35</v>
      </c>
    </row>
    <row r="9605" spans="1:2" ht="15" customHeight="1" x14ac:dyDescent="0.3">
      <c r="A9605" t="s">
        <v>5970</v>
      </c>
      <c r="B9605">
        <f t="shared" si="1368"/>
        <v>35</v>
      </c>
    </row>
    <row r="9606" spans="1:2" ht="15" customHeight="1" x14ac:dyDescent="0.3">
      <c r="A9606" t="s">
        <v>5971</v>
      </c>
      <c r="B9606">
        <f t="shared" si="1368"/>
        <v>35</v>
      </c>
    </row>
    <row r="9607" spans="1:2" ht="15" customHeight="1" x14ac:dyDescent="0.3">
      <c r="A9607" t="s">
        <v>5972</v>
      </c>
      <c r="B9607">
        <f t="shared" si="1368"/>
        <v>35</v>
      </c>
    </row>
    <row r="9608" spans="1:2" ht="15" customHeight="1" x14ac:dyDescent="0.3">
      <c r="A9608" t="s">
        <v>5203</v>
      </c>
      <c r="B9608">
        <f t="shared" si="1368"/>
        <v>35</v>
      </c>
    </row>
    <row r="9609" spans="1:2" ht="15" customHeight="1" x14ac:dyDescent="0.3">
      <c r="A9609" t="s">
        <v>5204</v>
      </c>
      <c r="B9609">
        <f t="shared" si="1368"/>
        <v>35</v>
      </c>
    </row>
    <row r="9610" spans="1:2" ht="15" customHeight="1" x14ac:dyDescent="0.3">
      <c r="A9610" t="s">
        <v>5205</v>
      </c>
      <c r="B9610">
        <f t="shared" si="1368"/>
        <v>35</v>
      </c>
    </row>
    <row r="9611" spans="1:2" ht="15" customHeight="1" x14ac:dyDescent="0.3">
      <c r="A9611" t="s">
        <v>5206</v>
      </c>
      <c r="B9611">
        <f t="shared" si="1368"/>
        <v>35</v>
      </c>
    </row>
    <row r="9612" spans="1:2" ht="15" customHeight="1" x14ac:dyDescent="0.3">
      <c r="A9612" t="s">
        <v>6027</v>
      </c>
      <c r="B9612">
        <f t="shared" si="1368"/>
        <v>35</v>
      </c>
    </row>
    <row r="9613" spans="1:2" ht="15" customHeight="1" x14ac:dyDescent="0.3">
      <c r="A9613" t="s">
        <v>5683</v>
      </c>
      <c r="B9613">
        <f t="shared" si="1368"/>
        <v>30</v>
      </c>
    </row>
    <row r="9614" spans="1:2" ht="15" customHeight="1" x14ac:dyDescent="0.3">
      <c r="A9614" t="s">
        <v>5207</v>
      </c>
      <c r="B9614">
        <f t="shared" si="1368"/>
        <v>40</v>
      </c>
    </row>
    <row r="9615" spans="1:2" ht="15" customHeight="1" x14ac:dyDescent="0.3">
      <c r="A9615" t="s">
        <v>5973</v>
      </c>
      <c r="B9615">
        <f t="shared" si="1368"/>
        <v>35</v>
      </c>
    </row>
    <row r="9616" spans="1:2" ht="15" customHeight="1" x14ac:dyDescent="0.3">
      <c r="A9616" t="s">
        <v>5684</v>
      </c>
      <c r="B9616">
        <f t="shared" si="1368"/>
        <v>35</v>
      </c>
    </row>
    <row r="9617" spans="1:2" ht="15" customHeight="1" x14ac:dyDescent="0.3">
      <c r="A9617" t="s">
        <v>5685</v>
      </c>
      <c r="B9617">
        <f t="shared" si="1368"/>
        <v>35</v>
      </c>
    </row>
    <row r="9618" spans="1:2" ht="15" customHeight="1" x14ac:dyDescent="0.3">
      <c r="A9618" t="s">
        <v>5974</v>
      </c>
      <c r="B9618">
        <f t="shared" si="1368"/>
        <v>35</v>
      </c>
    </row>
    <row r="9619" spans="1:2" ht="15" customHeight="1" x14ac:dyDescent="0.3">
      <c r="A9619" t="s">
        <v>5686</v>
      </c>
      <c r="B9619">
        <f t="shared" si="1368"/>
        <v>35</v>
      </c>
    </row>
    <row r="9620" spans="1:2" ht="15" customHeight="1" x14ac:dyDescent="0.3">
      <c r="A9620" t="s">
        <v>10313</v>
      </c>
      <c r="B9620">
        <f t="shared" si="1368"/>
        <v>35</v>
      </c>
    </row>
    <row r="9621" spans="1:2" ht="15" customHeight="1" x14ac:dyDescent="0.3">
      <c r="A9621" t="s">
        <v>5687</v>
      </c>
      <c r="B9621">
        <f t="shared" si="1368"/>
        <v>40</v>
      </c>
    </row>
    <row r="9622" spans="1:2" ht="15" customHeight="1" x14ac:dyDescent="0.3">
      <c r="A9622" t="s">
        <v>5688</v>
      </c>
      <c r="B9622">
        <f t="shared" ref="B9622:B9628" si="1369">B9238</f>
        <v>30</v>
      </c>
    </row>
    <row r="9623" spans="1:2" ht="15" customHeight="1" x14ac:dyDescent="0.3">
      <c r="A9623" t="s">
        <v>5689</v>
      </c>
      <c r="B9623">
        <f t="shared" si="1369"/>
        <v>35</v>
      </c>
    </row>
    <row r="9624" spans="1:2" ht="15" customHeight="1" x14ac:dyDescent="0.3">
      <c r="A9624" t="s">
        <v>5975</v>
      </c>
      <c r="B9624">
        <f t="shared" si="1369"/>
        <v>35</v>
      </c>
    </row>
    <row r="9625" spans="1:2" ht="15" customHeight="1" x14ac:dyDescent="0.3">
      <c r="A9625" t="s">
        <v>6063</v>
      </c>
      <c r="B9625">
        <f t="shared" si="1369"/>
        <v>35</v>
      </c>
    </row>
    <row r="9626" spans="1:2" ht="15" customHeight="1" x14ac:dyDescent="0.3">
      <c r="A9626" t="s">
        <v>5208</v>
      </c>
      <c r="B9626">
        <f t="shared" si="1369"/>
        <v>35</v>
      </c>
    </row>
    <row r="9627" spans="1:2" ht="15" customHeight="1" x14ac:dyDescent="0.3">
      <c r="A9627" t="s">
        <v>5690</v>
      </c>
      <c r="B9627">
        <f t="shared" si="1369"/>
        <v>30</v>
      </c>
    </row>
    <row r="9628" spans="1:2" ht="15" customHeight="1" x14ac:dyDescent="0.3">
      <c r="A9628" t="s">
        <v>5691</v>
      </c>
      <c r="B9628">
        <f t="shared" si="1369"/>
        <v>30</v>
      </c>
    </row>
    <row r="9629" spans="1:2" ht="15" customHeight="1" x14ac:dyDescent="0.3">
      <c r="A9629" t="s">
        <v>5340</v>
      </c>
      <c r="B9629">
        <f>B9437</f>
        <v>35</v>
      </c>
    </row>
    <row r="9630" spans="1:2" ht="15" customHeight="1" x14ac:dyDescent="0.3">
      <c r="A9630" t="s">
        <v>5692</v>
      </c>
      <c r="B9630">
        <f t="shared" ref="B9630:B9646" si="1370">B9246</f>
        <v>35</v>
      </c>
    </row>
    <row r="9631" spans="1:2" ht="15" customHeight="1" x14ac:dyDescent="0.3">
      <c r="A9631" t="s">
        <v>5209</v>
      </c>
      <c r="B9631">
        <f t="shared" si="1370"/>
        <v>35</v>
      </c>
    </row>
    <row r="9632" spans="1:2" ht="15" customHeight="1" x14ac:dyDescent="0.3">
      <c r="A9632" t="s">
        <v>5905</v>
      </c>
      <c r="B9632">
        <f t="shared" si="1370"/>
        <v>35</v>
      </c>
    </row>
    <row r="9633" spans="1:2" ht="15" customHeight="1" x14ac:dyDescent="0.3">
      <c r="A9633" t="s">
        <v>5341</v>
      </c>
      <c r="B9633">
        <f t="shared" si="1370"/>
        <v>35</v>
      </c>
    </row>
    <row r="9634" spans="1:2" ht="15" customHeight="1" x14ac:dyDescent="0.3">
      <c r="A9634" t="s">
        <v>5342</v>
      </c>
      <c r="B9634">
        <f t="shared" si="1370"/>
        <v>35</v>
      </c>
    </row>
    <row r="9635" spans="1:2" ht="15" customHeight="1" x14ac:dyDescent="0.3">
      <c r="A9635" t="s">
        <v>5693</v>
      </c>
      <c r="B9635">
        <f t="shared" si="1370"/>
        <v>35</v>
      </c>
    </row>
    <row r="9636" spans="1:2" ht="15" customHeight="1" x14ac:dyDescent="0.3">
      <c r="A9636" t="s">
        <v>10314</v>
      </c>
      <c r="B9636">
        <f t="shared" si="1370"/>
        <v>35</v>
      </c>
    </row>
    <row r="9637" spans="1:2" ht="15" customHeight="1" x14ac:dyDescent="0.3">
      <c r="A9637" t="s">
        <v>5210</v>
      </c>
      <c r="B9637">
        <f t="shared" si="1370"/>
        <v>35</v>
      </c>
    </row>
    <row r="9638" spans="1:2" ht="15" customHeight="1" x14ac:dyDescent="0.3">
      <c r="A9638" t="s">
        <v>6053</v>
      </c>
      <c r="B9638">
        <f t="shared" si="1370"/>
        <v>40</v>
      </c>
    </row>
    <row r="9639" spans="1:2" ht="15" customHeight="1" x14ac:dyDescent="0.3">
      <c r="A9639" t="s">
        <v>5694</v>
      </c>
      <c r="B9639">
        <f t="shared" si="1370"/>
        <v>35</v>
      </c>
    </row>
    <row r="9640" spans="1:2" ht="15" customHeight="1" x14ac:dyDescent="0.3">
      <c r="A9640" t="s">
        <v>5695</v>
      </c>
      <c r="B9640">
        <f t="shared" si="1370"/>
        <v>35</v>
      </c>
    </row>
    <row r="9641" spans="1:2" ht="15" customHeight="1" x14ac:dyDescent="0.3">
      <c r="A9641" t="s">
        <v>5211</v>
      </c>
      <c r="B9641">
        <f t="shared" si="1370"/>
        <v>35</v>
      </c>
    </row>
    <row r="9642" spans="1:2" ht="15" customHeight="1" x14ac:dyDescent="0.3">
      <c r="A9642" t="s">
        <v>5343</v>
      </c>
      <c r="B9642">
        <f t="shared" si="1370"/>
        <v>40</v>
      </c>
    </row>
    <row r="9643" spans="1:2" ht="15" customHeight="1" x14ac:dyDescent="0.3">
      <c r="A9643" t="s">
        <v>6070</v>
      </c>
      <c r="B9643">
        <f t="shared" si="1370"/>
        <v>35</v>
      </c>
    </row>
    <row r="9644" spans="1:2" ht="15" customHeight="1" x14ac:dyDescent="0.3">
      <c r="A9644" t="s">
        <v>5976</v>
      </c>
      <c r="B9644">
        <f t="shared" si="1370"/>
        <v>35</v>
      </c>
    </row>
    <row r="9645" spans="1:2" ht="15" customHeight="1" x14ac:dyDescent="0.3">
      <c r="A9645" t="s">
        <v>6028</v>
      </c>
      <c r="B9645">
        <f t="shared" si="1370"/>
        <v>40</v>
      </c>
    </row>
    <row r="9646" spans="1:2" ht="15" customHeight="1" x14ac:dyDescent="0.3">
      <c r="A9646" t="s">
        <v>5977</v>
      </c>
      <c r="B9646">
        <f t="shared" si="1370"/>
        <v>35</v>
      </c>
    </row>
    <row r="9647" spans="1:2" ht="15" customHeight="1" x14ac:dyDescent="0.3">
      <c r="A9647" t="s">
        <v>5344</v>
      </c>
      <c r="B9647">
        <f t="shared" ref="B9647:B9678" si="1371">B9267</f>
        <v>35</v>
      </c>
    </row>
    <row r="9648" spans="1:2" ht="15" customHeight="1" x14ac:dyDescent="0.3">
      <c r="A9648" t="s">
        <v>5345</v>
      </c>
      <c r="B9648">
        <f t="shared" si="1371"/>
        <v>30</v>
      </c>
    </row>
    <row r="9649" spans="1:2" ht="15" customHeight="1" x14ac:dyDescent="0.3">
      <c r="A9649" t="s">
        <v>5346</v>
      </c>
      <c r="B9649">
        <f t="shared" si="1371"/>
        <v>35</v>
      </c>
    </row>
    <row r="9650" spans="1:2" ht="15" customHeight="1" x14ac:dyDescent="0.3">
      <c r="A9650" t="s">
        <v>5347</v>
      </c>
      <c r="B9650">
        <f t="shared" si="1371"/>
        <v>30</v>
      </c>
    </row>
    <row r="9651" spans="1:2" ht="15" customHeight="1" x14ac:dyDescent="0.3">
      <c r="A9651" t="s">
        <v>5348</v>
      </c>
      <c r="B9651">
        <f t="shared" si="1371"/>
        <v>30</v>
      </c>
    </row>
    <row r="9652" spans="1:2" ht="15" customHeight="1" x14ac:dyDescent="0.3">
      <c r="A9652" t="s">
        <v>5212</v>
      </c>
      <c r="B9652">
        <f t="shared" si="1371"/>
        <v>30</v>
      </c>
    </row>
    <row r="9653" spans="1:2" ht="15" customHeight="1" x14ac:dyDescent="0.3">
      <c r="A9653" t="s">
        <v>5349</v>
      </c>
      <c r="B9653">
        <f t="shared" si="1371"/>
        <v>35</v>
      </c>
    </row>
    <row r="9654" spans="1:2" ht="15" customHeight="1" x14ac:dyDescent="0.3">
      <c r="A9654" t="s">
        <v>5350</v>
      </c>
      <c r="B9654">
        <f t="shared" si="1371"/>
        <v>35</v>
      </c>
    </row>
    <row r="9655" spans="1:2" ht="15" customHeight="1" x14ac:dyDescent="0.3">
      <c r="A9655" t="s">
        <v>5351</v>
      </c>
      <c r="B9655">
        <f t="shared" si="1371"/>
        <v>35</v>
      </c>
    </row>
    <row r="9656" spans="1:2" ht="15" customHeight="1" x14ac:dyDescent="0.3">
      <c r="A9656" t="s">
        <v>5352</v>
      </c>
      <c r="B9656">
        <f t="shared" si="1371"/>
        <v>30</v>
      </c>
    </row>
    <row r="9657" spans="1:2" ht="15" customHeight="1" x14ac:dyDescent="0.3">
      <c r="A9657" t="s">
        <v>5213</v>
      </c>
      <c r="B9657">
        <f t="shared" si="1371"/>
        <v>35</v>
      </c>
    </row>
    <row r="9658" spans="1:2" ht="15" customHeight="1" x14ac:dyDescent="0.3">
      <c r="A9658" t="s">
        <v>5353</v>
      </c>
      <c r="B9658">
        <f t="shared" si="1371"/>
        <v>35</v>
      </c>
    </row>
    <row r="9659" spans="1:2" ht="15" customHeight="1" x14ac:dyDescent="0.3">
      <c r="A9659" t="s">
        <v>5354</v>
      </c>
      <c r="B9659">
        <f t="shared" si="1371"/>
        <v>35</v>
      </c>
    </row>
    <row r="9660" spans="1:2" ht="15" customHeight="1" x14ac:dyDescent="0.3">
      <c r="A9660" t="s">
        <v>5696</v>
      </c>
      <c r="B9660">
        <f t="shared" si="1371"/>
        <v>35</v>
      </c>
    </row>
    <row r="9661" spans="1:2" ht="15" customHeight="1" x14ac:dyDescent="0.3">
      <c r="A9661" t="s">
        <v>5355</v>
      </c>
      <c r="B9661">
        <f t="shared" si="1371"/>
        <v>35</v>
      </c>
    </row>
    <row r="9662" spans="1:2" ht="15" customHeight="1" x14ac:dyDescent="0.3">
      <c r="A9662" t="s">
        <v>5214</v>
      </c>
      <c r="B9662">
        <f t="shared" si="1371"/>
        <v>30</v>
      </c>
    </row>
    <row r="9663" spans="1:2" ht="15" customHeight="1" x14ac:dyDescent="0.3">
      <c r="A9663" t="s">
        <v>5697</v>
      </c>
      <c r="B9663">
        <f t="shared" si="1371"/>
        <v>35</v>
      </c>
    </row>
    <row r="9664" spans="1:2" ht="15" customHeight="1" x14ac:dyDescent="0.3">
      <c r="A9664" t="s">
        <v>5698</v>
      </c>
      <c r="B9664">
        <f t="shared" si="1371"/>
        <v>35</v>
      </c>
    </row>
    <row r="9665" spans="1:2" ht="15" customHeight="1" x14ac:dyDescent="0.3">
      <c r="A9665" t="s">
        <v>5356</v>
      </c>
      <c r="B9665">
        <f t="shared" si="1371"/>
        <v>35</v>
      </c>
    </row>
    <row r="9666" spans="1:2" ht="15" customHeight="1" x14ac:dyDescent="0.3">
      <c r="A9666" t="s">
        <v>5906</v>
      </c>
      <c r="B9666">
        <f t="shared" si="1371"/>
        <v>35</v>
      </c>
    </row>
    <row r="9667" spans="1:2" ht="15" customHeight="1" x14ac:dyDescent="0.3">
      <c r="A9667" t="s">
        <v>5699</v>
      </c>
      <c r="B9667">
        <f t="shared" si="1371"/>
        <v>35</v>
      </c>
    </row>
    <row r="9668" spans="1:2" ht="15" customHeight="1" x14ac:dyDescent="0.3">
      <c r="A9668" t="s">
        <v>5700</v>
      </c>
      <c r="B9668">
        <f t="shared" si="1371"/>
        <v>35</v>
      </c>
    </row>
    <row r="9669" spans="1:2" ht="15" customHeight="1" x14ac:dyDescent="0.3">
      <c r="A9669" t="s">
        <v>5701</v>
      </c>
      <c r="B9669">
        <f t="shared" si="1371"/>
        <v>35</v>
      </c>
    </row>
    <row r="9670" spans="1:2" ht="15" customHeight="1" x14ac:dyDescent="0.3">
      <c r="A9670" t="s">
        <v>5702</v>
      </c>
      <c r="B9670">
        <f t="shared" si="1371"/>
        <v>35</v>
      </c>
    </row>
    <row r="9671" spans="1:2" ht="15" customHeight="1" x14ac:dyDescent="0.3">
      <c r="A9671" t="s">
        <v>5703</v>
      </c>
      <c r="B9671">
        <f t="shared" si="1371"/>
        <v>35</v>
      </c>
    </row>
    <row r="9672" spans="1:2" ht="15" customHeight="1" x14ac:dyDescent="0.3">
      <c r="A9672" t="s">
        <v>5215</v>
      </c>
      <c r="B9672">
        <f t="shared" si="1371"/>
        <v>35</v>
      </c>
    </row>
    <row r="9673" spans="1:2" ht="15" customHeight="1" x14ac:dyDescent="0.3">
      <c r="A9673" t="s">
        <v>5704</v>
      </c>
      <c r="B9673">
        <f t="shared" si="1371"/>
        <v>40</v>
      </c>
    </row>
    <row r="9674" spans="1:2" ht="15" customHeight="1" x14ac:dyDescent="0.3">
      <c r="A9674" t="s">
        <v>5705</v>
      </c>
      <c r="B9674">
        <f t="shared" si="1371"/>
        <v>30</v>
      </c>
    </row>
    <row r="9675" spans="1:2" ht="15" customHeight="1" x14ac:dyDescent="0.3">
      <c r="A9675" t="s">
        <v>5706</v>
      </c>
      <c r="B9675">
        <f t="shared" si="1371"/>
        <v>30</v>
      </c>
    </row>
    <row r="9676" spans="1:2" ht="15" customHeight="1" x14ac:dyDescent="0.3">
      <c r="A9676" t="s">
        <v>5707</v>
      </c>
      <c r="B9676">
        <f t="shared" si="1371"/>
        <v>35</v>
      </c>
    </row>
    <row r="9677" spans="1:2" ht="15" customHeight="1" x14ac:dyDescent="0.3">
      <c r="A9677" t="s">
        <v>5708</v>
      </c>
      <c r="B9677">
        <f t="shared" si="1371"/>
        <v>35</v>
      </c>
    </row>
    <row r="9678" spans="1:2" ht="15" customHeight="1" x14ac:dyDescent="0.3">
      <c r="A9678" t="s">
        <v>5709</v>
      </c>
      <c r="B9678">
        <f t="shared" si="1371"/>
        <v>35</v>
      </c>
    </row>
    <row r="9679" spans="1:2" ht="15" customHeight="1" x14ac:dyDescent="0.3">
      <c r="A9679" t="s">
        <v>5710</v>
      </c>
      <c r="B9679">
        <f t="shared" ref="B9679:B9710" si="1372">B9299</f>
        <v>35</v>
      </c>
    </row>
    <row r="9680" spans="1:2" ht="15" customHeight="1" x14ac:dyDescent="0.3">
      <c r="A9680" t="s">
        <v>5711</v>
      </c>
      <c r="B9680">
        <f t="shared" si="1372"/>
        <v>35</v>
      </c>
    </row>
    <row r="9681" spans="1:2" ht="15" customHeight="1" x14ac:dyDescent="0.3">
      <c r="A9681" t="s">
        <v>5712</v>
      </c>
      <c r="B9681">
        <f t="shared" si="1372"/>
        <v>35</v>
      </c>
    </row>
    <row r="9682" spans="1:2" ht="15" customHeight="1" x14ac:dyDescent="0.3">
      <c r="A9682" t="s">
        <v>10315</v>
      </c>
      <c r="B9682">
        <f t="shared" si="1372"/>
        <v>40</v>
      </c>
    </row>
    <row r="9683" spans="1:2" ht="15" customHeight="1" x14ac:dyDescent="0.3">
      <c r="A9683" t="s">
        <v>5713</v>
      </c>
      <c r="B9683">
        <f t="shared" si="1372"/>
        <v>35</v>
      </c>
    </row>
    <row r="9684" spans="1:2" ht="15" customHeight="1" x14ac:dyDescent="0.3">
      <c r="A9684" t="s">
        <v>5714</v>
      </c>
      <c r="B9684">
        <f t="shared" si="1372"/>
        <v>35</v>
      </c>
    </row>
    <row r="9685" spans="1:2" ht="15" customHeight="1" x14ac:dyDescent="0.3">
      <c r="A9685" t="s">
        <v>5715</v>
      </c>
      <c r="B9685">
        <f t="shared" si="1372"/>
        <v>35</v>
      </c>
    </row>
    <row r="9686" spans="1:2" ht="15" customHeight="1" x14ac:dyDescent="0.3">
      <c r="A9686" t="s">
        <v>5716</v>
      </c>
      <c r="B9686">
        <f t="shared" si="1372"/>
        <v>35</v>
      </c>
    </row>
    <row r="9687" spans="1:2" ht="15" customHeight="1" x14ac:dyDescent="0.3">
      <c r="A9687" t="s">
        <v>5717</v>
      </c>
      <c r="B9687">
        <f t="shared" si="1372"/>
        <v>35</v>
      </c>
    </row>
    <row r="9688" spans="1:2" ht="15" customHeight="1" x14ac:dyDescent="0.3">
      <c r="A9688" t="s">
        <v>5718</v>
      </c>
      <c r="B9688">
        <f t="shared" si="1372"/>
        <v>35</v>
      </c>
    </row>
    <row r="9689" spans="1:2" ht="15" customHeight="1" x14ac:dyDescent="0.3">
      <c r="A9689" t="s">
        <v>3686</v>
      </c>
      <c r="B9689">
        <f t="shared" si="1372"/>
        <v>40</v>
      </c>
    </row>
    <row r="9690" spans="1:2" ht="15" customHeight="1" x14ac:dyDescent="0.3">
      <c r="A9690" t="s">
        <v>5719</v>
      </c>
      <c r="B9690">
        <f t="shared" si="1372"/>
        <v>35</v>
      </c>
    </row>
    <row r="9691" spans="1:2" ht="15" customHeight="1" x14ac:dyDescent="0.3">
      <c r="A9691" t="s">
        <v>5720</v>
      </c>
      <c r="B9691">
        <f t="shared" si="1372"/>
        <v>35</v>
      </c>
    </row>
    <row r="9692" spans="1:2" ht="15" customHeight="1" x14ac:dyDescent="0.3">
      <c r="A9692" t="s">
        <v>5721</v>
      </c>
      <c r="B9692">
        <f t="shared" si="1372"/>
        <v>35</v>
      </c>
    </row>
    <row r="9693" spans="1:2" ht="15" customHeight="1" x14ac:dyDescent="0.3">
      <c r="A9693" t="s">
        <v>5722</v>
      </c>
      <c r="B9693">
        <f t="shared" si="1372"/>
        <v>35</v>
      </c>
    </row>
    <row r="9694" spans="1:2" ht="15" customHeight="1" x14ac:dyDescent="0.3">
      <c r="A9694" t="s">
        <v>5723</v>
      </c>
      <c r="B9694">
        <f t="shared" si="1372"/>
        <v>35</v>
      </c>
    </row>
    <row r="9695" spans="1:2" ht="15" customHeight="1" x14ac:dyDescent="0.3">
      <c r="A9695" t="s">
        <v>5724</v>
      </c>
      <c r="B9695">
        <f t="shared" si="1372"/>
        <v>35</v>
      </c>
    </row>
    <row r="9696" spans="1:2" ht="15" customHeight="1" x14ac:dyDescent="0.3">
      <c r="A9696" t="s">
        <v>5725</v>
      </c>
      <c r="B9696">
        <f t="shared" si="1372"/>
        <v>35</v>
      </c>
    </row>
    <row r="9697" spans="1:2" ht="15" customHeight="1" x14ac:dyDescent="0.3">
      <c r="A9697" t="s">
        <v>5726</v>
      </c>
      <c r="B9697">
        <f t="shared" si="1372"/>
        <v>35</v>
      </c>
    </row>
    <row r="9698" spans="1:2" ht="15" customHeight="1" x14ac:dyDescent="0.3">
      <c r="A9698" t="s">
        <v>5727</v>
      </c>
      <c r="B9698">
        <f t="shared" si="1372"/>
        <v>35</v>
      </c>
    </row>
    <row r="9699" spans="1:2" ht="15" customHeight="1" x14ac:dyDescent="0.3">
      <c r="A9699" t="s">
        <v>5728</v>
      </c>
      <c r="B9699">
        <f t="shared" si="1372"/>
        <v>35</v>
      </c>
    </row>
    <row r="9700" spans="1:2" ht="15" customHeight="1" x14ac:dyDescent="0.3">
      <c r="A9700" t="s">
        <v>5729</v>
      </c>
      <c r="B9700">
        <f t="shared" si="1372"/>
        <v>35</v>
      </c>
    </row>
    <row r="9701" spans="1:2" ht="15" customHeight="1" x14ac:dyDescent="0.3">
      <c r="A9701" t="s">
        <v>5730</v>
      </c>
      <c r="B9701">
        <f t="shared" si="1372"/>
        <v>35</v>
      </c>
    </row>
    <row r="9702" spans="1:2" ht="15" customHeight="1" x14ac:dyDescent="0.3">
      <c r="A9702" t="s">
        <v>5731</v>
      </c>
      <c r="B9702">
        <f t="shared" si="1372"/>
        <v>35</v>
      </c>
    </row>
    <row r="9703" spans="1:2" ht="15" customHeight="1" x14ac:dyDescent="0.3">
      <c r="A9703" t="s">
        <v>5907</v>
      </c>
      <c r="B9703">
        <f t="shared" si="1372"/>
        <v>35</v>
      </c>
    </row>
    <row r="9704" spans="1:2" ht="15" customHeight="1" x14ac:dyDescent="0.3">
      <c r="A9704" t="s">
        <v>5908</v>
      </c>
      <c r="B9704">
        <f t="shared" si="1372"/>
        <v>35</v>
      </c>
    </row>
    <row r="9705" spans="1:2" ht="15" customHeight="1" x14ac:dyDescent="0.3">
      <c r="A9705" t="s">
        <v>6054</v>
      </c>
      <c r="B9705">
        <f t="shared" si="1372"/>
        <v>35</v>
      </c>
    </row>
    <row r="9706" spans="1:2" ht="15" customHeight="1" x14ac:dyDescent="0.3">
      <c r="A9706" t="s">
        <v>6055</v>
      </c>
      <c r="B9706">
        <f t="shared" si="1372"/>
        <v>35</v>
      </c>
    </row>
    <row r="9707" spans="1:2" ht="15" customHeight="1" x14ac:dyDescent="0.3">
      <c r="A9707" t="s">
        <v>5732</v>
      </c>
      <c r="B9707">
        <f t="shared" si="1372"/>
        <v>35</v>
      </c>
    </row>
    <row r="9708" spans="1:2" ht="15" customHeight="1" x14ac:dyDescent="0.3">
      <c r="A9708" t="s">
        <v>5733</v>
      </c>
      <c r="B9708">
        <f t="shared" si="1372"/>
        <v>35</v>
      </c>
    </row>
    <row r="9709" spans="1:2" ht="15" customHeight="1" x14ac:dyDescent="0.3">
      <c r="A9709" t="s">
        <v>5978</v>
      </c>
      <c r="B9709">
        <f t="shared" si="1372"/>
        <v>35</v>
      </c>
    </row>
    <row r="9710" spans="1:2" ht="15" customHeight="1" x14ac:dyDescent="0.3">
      <c r="A9710" t="s">
        <v>5734</v>
      </c>
      <c r="B9710">
        <f t="shared" si="1372"/>
        <v>35</v>
      </c>
    </row>
    <row r="9711" spans="1:2" ht="15" customHeight="1" x14ac:dyDescent="0.3">
      <c r="A9711" t="s">
        <v>5357</v>
      </c>
      <c r="B9711">
        <f t="shared" ref="B9711:B9717" si="1373">B9331</f>
        <v>35</v>
      </c>
    </row>
    <row r="9712" spans="1:2" ht="15" customHeight="1" x14ac:dyDescent="0.3">
      <c r="A9712" t="s">
        <v>5979</v>
      </c>
      <c r="B9712">
        <f t="shared" si="1373"/>
        <v>35</v>
      </c>
    </row>
    <row r="9713" spans="1:2" ht="15" customHeight="1" x14ac:dyDescent="0.3">
      <c r="A9713" t="s">
        <v>5735</v>
      </c>
      <c r="B9713">
        <f t="shared" si="1373"/>
        <v>35</v>
      </c>
    </row>
    <row r="9714" spans="1:2" ht="15" customHeight="1" x14ac:dyDescent="0.3">
      <c r="A9714" t="s">
        <v>3687</v>
      </c>
      <c r="B9714">
        <f t="shared" si="1373"/>
        <v>35</v>
      </c>
    </row>
    <row r="9715" spans="1:2" ht="15" customHeight="1" x14ac:dyDescent="0.3">
      <c r="A9715" t="s">
        <v>6029</v>
      </c>
      <c r="B9715">
        <f t="shared" si="1373"/>
        <v>35</v>
      </c>
    </row>
    <row r="9716" spans="1:2" ht="15" customHeight="1" x14ac:dyDescent="0.3">
      <c r="A9716" t="s">
        <v>5736</v>
      </c>
      <c r="B9716">
        <f t="shared" si="1373"/>
        <v>35</v>
      </c>
    </row>
    <row r="9717" spans="1:2" ht="15" customHeight="1" x14ac:dyDescent="0.3">
      <c r="A9717" t="s">
        <v>5737</v>
      </c>
      <c r="B9717">
        <f t="shared" si="1373"/>
        <v>45</v>
      </c>
    </row>
    <row r="9718" spans="1:2" ht="15" customHeight="1" x14ac:dyDescent="0.3">
      <c r="A9718" t="s">
        <v>5358</v>
      </c>
      <c r="B9718">
        <f>B9530</f>
        <v>35</v>
      </c>
    </row>
    <row r="9719" spans="1:2" ht="15" customHeight="1" x14ac:dyDescent="0.3">
      <c r="A9719" t="s">
        <v>6030</v>
      </c>
      <c r="B9719">
        <f t="shared" ref="B9719:B9745" si="1374">B9339</f>
        <v>35</v>
      </c>
    </row>
    <row r="9720" spans="1:2" ht="15" customHeight="1" x14ac:dyDescent="0.3">
      <c r="A9720" t="s">
        <v>5738</v>
      </c>
      <c r="B9720">
        <f t="shared" si="1374"/>
        <v>35</v>
      </c>
    </row>
    <row r="9721" spans="1:2" ht="15" customHeight="1" x14ac:dyDescent="0.3">
      <c r="A9721" t="s">
        <v>10316</v>
      </c>
      <c r="B9721">
        <f t="shared" si="1374"/>
        <v>35</v>
      </c>
    </row>
    <row r="9722" spans="1:2" ht="15" customHeight="1" x14ac:dyDescent="0.3">
      <c r="A9722" t="s">
        <v>6064</v>
      </c>
      <c r="B9722">
        <f t="shared" si="1374"/>
        <v>40</v>
      </c>
    </row>
    <row r="9723" spans="1:2" ht="15" customHeight="1" x14ac:dyDescent="0.3">
      <c r="A9723" t="s">
        <v>5739</v>
      </c>
      <c r="B9723">
        <f t="shared" si="1374"/>
        <v>30</v>
      </c>
    </row>
    <row r="9724" spans="1:2" ht="15" customHeight="1" x14ac:dyDescent="0.3">
      <c r="A9724" t="s">
        <v>5909</v>
      </c>
      <c r="B9724">
        <f t="shared" si="1374"/>
        <v>35</v>
      </c>
    </row>
    <row r="9725" spans="1:2" ht="15" customHeight="1" x14ac:dyDescent="0.3">
      <c r="A9725" t="s">
        <v>5740</v>
      </c>
      <c r="B9725">
        <f t="shared" si="1374"/>
        <v>30</v>
      </c>
    </row>
    <row r="9726" spans="1:2" ht="15" customHeight="1" x14ac:dyDescent="0.3">
      <c r="A9726" t="s">
        <v>5741</v>
      </c>
      <c r="B9726">
        <f t="shared" si="1374"/>
        <v>30</v>
      </c>
    </row>
    <row r="9727" spans="1:2" ht="15" customHeight="1" x14ac:dyDescent="0.3">
      <c r="A9727" t="s">
        <v>5742</v>
      </c>
      <c r="B9727">
        <f t="shared" si="1374"/>
        <v>35</v>
      </c>
    </row>
    <row r="9728" spans="1:2" ht="15" customHeight="1" x14ac:dyDescent="0.3">
      <c r="A9728" t="s">
        <v>10317</v>
      </c>
      <c r="B9728">
        <f t="shared" si="1374"/>
        <v>50</v>
      </c>
    </row>
    <row r="9729" spans="1:2" ht="15" customHeight="1" x14ac:dyDescent="0.3">
      <c r="A9729" t="s">
        <v>5743</v>
      </c>
      <c r="B9729">
        <f t="shared" si="1374"/>
        <v>40</v>
      </c>
    </row>
    <row r="9730" spans="1:2" ht="15" customHeight="1" x14ac:dyDescent="0.3">
      <c r="A9730" t="s">
        <v>5216</v>
      </c>
      <c r="B9730">
        <f t="shared" si="1374"/>
        <v>35</v>
      </c>
    </row>
    <row r="9731" spans="1:2" ht="15" customHeight="1" x14ac:dyDescent="0.3">
      <c r="A9731" t="s">
        <v>5744</v>
      </c>
      <c r="B9731">
        <f t="shared" si="1374"/>
        <v>35</v>
      </c>
    </row>
    <row r="9732" spans="1:2" ht="15" customHeight="1" x14ac:dyDescent="0.3">
      <c r="A9732" t="s">
        <v>5359</v>
      </c>
      <c r="B9732">
        <f t="shared" si="1374"/>
        <v>35</v>
      </c>
    </row>
    <row r="9733" spans="1:2" ht="15" customHeight="1" x14ac:dyDescent="0.3">
      <c r="A9733" t="s">
        <v>5745</v>
      </c>
      <c r="B9733">
        <f t="shared" si="1374"/>
        <v>30</v>
      </c>
    </row>
    <row r="9734" spans="1:2" ht="15" customHeight="1" x14ac:dyDescent="0.3">
      <c r="A9734" t="s">
        <v>5746</v>
      </c>
      <c r="B9734">
        <f t="shared" si="1374"/>
        <v>30</v>
      </c>
    </row>
    <row r="9735" spans="1:2" ht="15" customHeight="1" x14ac:dyDescent="0.3">
      <c r="A9735" t="s">
        <v>5980</v>
      </c>
      <c r="B9735">
        <f t="shared" si="1374"/>
        <v>35</v>
      </c>
    </row>
    <row r="9736" spans="1:2" ht="15" customHeight="1" x14ac:dyDescent="0.3">
      <c r="A9736" t="s">
        <v>5747</v>
      </c>
      <c r="B9736">
        <f t="shared" si="1374"/>
        <v>35</v>
      </c>
    </row>
    <row r="9737" spans="1:2" ht="15" customHeight="1" x14ac:dyDescent="0.3">
      <c r="A9737" t="s">
        <v>5748</v>
      </c>
      <c r="B9737">
        <f t="shared" si="1374"/>
        <v>35</v>
      </c>
    </row>
    <row r="9738" spans="1:2" ht="15" customHeight="1" x14ac:dyDescent="0.3">
      <c r="A9738" t="s">
        <v>5217</v>
      </c>
      <c r="B9738">
        <f t="shared" si="1374"/>
        <v>30</v>
      </c>
    </row>
    <row r="9739" spans="1:2" ht="15" customHeight="1" x14ac:dyDescent="0.3">
      <c r="A9739" t="s">
        <v>5218</v>
      </c>
      <c r="B9739">
        <f t="shared" si="1374"/>
        <v>35</v>
      </c>
    </row>
    <row r="9740" spans="1:2" ht="15" customHeight="1" x14ac:dyDescent="0.3">
      <c r="A9740" t="s">
        <v>5219</v>
      </c>
      <c r="B9740">
        <f t="shared" si="1374"/>
        <v>35</v>
      </c>
    </row>
    <row r="9741" spans="1:2" ht="15" customHeight="1" x14ac:dyDescent="0.3">
      <c r="A9741" t="s">
        <v>5749</v>
      </c>
      <c r="B9741">
        <f t="shared" si="1374"/>
        <v>40</v>
      </c>
    </row>
    <row r="9742" spans="1:2" ht="15" customHeight="1" x14ac:dyDescent="0.3">
      <c r="A9742" t="s">
        <v>5360</v>
      </c>
      <c r="B9742">
        <f t="shared" si="1374"/>
        <v>35</v>
      </c>
    </row>
    <row r="9743" spans="1:2" ht="15" customHeight="1" x14ac:dyDescent="0.3">
      <c r="A9743" t="s">
        <v>5910</v>
      </c>
      <c r="B9743">
        <f t="shared" si="1374"/>
        <v>35</v>
      </c>
    </row>
    <row r="9744" spans="1:2" ht="15" customHeight="1" x14ac:dyDescent="0.3">
      <c r="A9744" t="s">
        <v>5750</v>
      </c>
      <c r="B9744">
        <f t="shared" si="1374"/>
        <v>35</v>
      </c>
    </row>
    <row r="9745" spans="1:2" ht="15" customHeight="1" x14ac:dyDescent="0.3">
      <c r="A9745" t="s">
        <v>5981</v>
      </c>
      <c r="B9745">
        <f t="shared" si="1374"/>
        <v>35</v>
      </c>
    </row>
    <row r="9746" spans="1:2" ht="15" customHeight="1" x14ac:dyDescent="0.3">
      <c r="A9746" t="s">
        <v>5220</v>
      </c>
      <c r="B9746">
        <f t="shared" ref="B9746:B9777" si="1375">B9174</f>
        <v>35</v>
      </c>
    </row>
    <row r="9747" spans="1:2" ht="15" customHeight="1" x14ac:dyDescent="0.3">
      <c r="A9747" t="s">
        <v>5221</v>
      </c>
      <c r="B9747">
        <f t="shared" si="1375"/>
        <v>40</v>
      </c>
    </row>
    <row r="9748" spans="1:2" ht="15" customHeight="1" x14ac:dyDescent="0.3">
      <c r="A9748" t="s">
        <v>5222</v>
      </c>
      <c r="B9748">
        <f t="shared" si="1375"/>
        <v>40</v>
      </c>
    </row>
    <row r="9749" spans="1:2" ht="15" customHeight="1" x14ac:dyDescent="0.3">
      <c r="A9749" t="s">
        <v>5223</v>
      </c>
      <c r="B9749">
        <f t="shared" si="1375"/>
        <v>40</v>
      </c>
    </row>
    <row r="9750" spans="1:2" ht="15" customHeight="1" x14ac:dyDescent="0.3">
      <c r="A9750" t="s">
        <v>5224</v>
      </c>
      <c r="B9750">
        <f t="shared" si="1375"/>
        <v>35</v>
      </c>
    </row>
    <row r="9751" spans="1:2" ht="15" customHeight="1" x14ac:dyDescent="0.3">
      <c r="A9751" t="s">
        <v>5911</v>
      </c>
      <c r="B9751">
        <f t="shared" si="1375"/>
        <v>45</v>
      </c>
    </row>
    <row r="9752" spans="1:2" ht="15" customHeight="1" x14ac:dyDescent="0.3">
      <c r="A9752" t="s">
        <v>5751</v>
      </c>
      <c r="B9752">
        <f t="shared" si="1375"/>
        <v>45</v>
      </c>
    </row>
    <row r="9753" spans="1:2" ht="15" customHeight="1" x14ac:dyDescent="0.3">
      <c r="A9753" t="s">
        <v>5225</v>
      </c>
      <c r="B9753">
        <f t="shared" si="1375"/>
        <v>40</v>
      </c>
    </row>
    <row r="9754" spans="1:2" ht="15" customHeight="1" x14ac:dyDescent="0.3">
      <c r="A9754" t="s">
        <v>5226</v>
      </c>
      <c r="B9754">
        <f t="shared" si="1375"/>
        <v>45</v>
      </c>
    </row>
    <row r="9755" spans="1:2" ht="15" customHeight="1" x14ac:dyDescent="0.3">
      <c r="A9755" t="s">
        <v>5227</v>
      </c>
      <c r="B9755">
        <f t="shared" si="1375"/>
        <v>50</v>
      </c>
    </row>
    <row r="9756" spans="1:2" ht="15" customHeight="1" x14ac:dyDescent="0.3">
      <c r="A9756" t="s">
        <v>5361</v>
      </c>
      <c r="B9756">
        <f t="shared" si="1375"/>
        <v>50</v>
      </c>
    </row>
    <row r="9757" spans="1:2" ht="15" customHeight="1" x14ac:dyDescent="0.3">
      <c r="A9757" t="s">
        <v>5752</v>
      </c>
      <c r="B9757">
        <f t="shared" si="1375"/>
        <v>55</v>
      </c>
    </row>
    <row r="9758" spans="1:2" ht="15" customHeight="1" x14ac:dyDescent="0.3">
      <c r="A9758" t="s">
        <v>5362</v>
      </c>
      <c r="B9758">
        <f t="shared" si="1375"/>
        <v>30</v>
      </c>
    </row>
    <row r="9759" spans="1:2" ht="15" customHeight="1" x14ac:dyDescent="0.3">
      <c r="A9759" t="s">
        <v>5363</v>
      </c>
      <c r="B9759">
        <f t="shared" si="1375"/>
        <v>35</v>
      </c>
    </row>
    <row r="9760" spans="1:2" ht="15" customHeight="1" x14ac:dyDescent="0.3">
      <c r="A9760" t="s">
        <v>5753</v>
      </c>
      <c r="B9760">
        <f t="shared" si="1375"/>
        <v>30</v>
      </c>
    </row>
    <row r="9761" spans="1:2" ht="15" customHeight="1" x14ac:dyDescent="0.3">
      <c r="A9761" t="s">
        <v>5364</v>
      </c>
      <c r="B9761">
        <f t="shared" si="1375"/>
        <v>35</v>
      </c>
    </row>
    <row r="9762" spans="1:2" ht="15" customHeight="1" x14ac:dyDescent="0.3">
      <c r="A9762" t="s">
        <v>5754</v>
      </c>
      <c r="B9762">
        <f t="shared" si="1375"/>
        <v>30</v>
      </c>
    </row>
    <row r="9763" spans="1:2" ht="15" customHeight="1" x14ac:dyDescent="0.3">
      <c r="A9763" t="s">
        <v>5755</v>
      </c>
      <c r="B9763">
        <f t="shared" si="1375"/>
        <v>30</v>
      </c>
    </row>
    <row r="9764" spans="1:2" ht="15" customHeight="1" x14ac:dyDescent="0.3">
      <c r="A9764" t="s">
        <v>5912</v>
      </c>
      <c r="B9764">
        <f t="shared" si="1375"/>
        <v>35</v>
      </c>
    </row>
    <row r="9765" spans="1:2" ht="15" customHeight="1" x14ac:dyDescent="0.3">
      <c r="A9765" t="s">
        <v>5756</v>
      </c>
      <c r="B9765">
        <f t="shared" si="1375"/>
        <v>35</v>
      </c>
    </row>
    <row r="9766" spans="1:2" ht="15" customHeight="1" x14ac:dyDescent="0.3">
      <c r="A9766" t="s">
        <v>5757</v>
      </c>
      <c r="B9766">
        <f t="shared" si="1375"/>
        <v>35</v>
      </c>
    </row>
    <row r="9767" spans="1:2" ht="15" customHeight="1" x14ac:dyDescent="0.3">
      <c r="A9767" t="s">
        <v>6031</v>
      </c>
      <c r="B9767">
        <f t="shared" si="1375"/>
        <v>35</v>
      </c>
    </row>
    <row r="9768" spans="1:2" ht="15" customHeight="1" x14ac:dyDescent="0.3">
      <c r="A9768" t="s">
        <v>5758</v>
      </c>
      <c r="B9768">
        <f t="shared" si="1375"/>
        <v>35</v>
      </c>
    </row>
    <row r="9769" spans="1:2" ht="15" customHeight="1" x14ac:dyDescent="0.3">
      <c r="A9769" t="s">
        <v>5761</v>
      </c>
      <c r="B9769">
        <f t="shared" si="1375"/>
        <v>35</v>
      </c>
    </row>
    <row r="9770" spans="1:2" ht="15" customHeight="1" x14ac:dyDescent="0.3">
      <c r="A9770" t="s">
        <v>5759</v>
      </c>
      <c r="B9770">
        <f t="shared" si="1375"/>
        <v>35</v>
      </c>
    </row>
    <row r="9771" spans="1:2" ht="15" customHeight="1" x14ac:dyDescent="0.3">
      <c r="A9771" t="s">
        <v>5760</v>
      </c>
      <c r="B9771">
        <f t="shared" si="1375"/>
        <v>35</v>
      </c>
    </row>
    <row r="9772" spans="1:2" ht="15" customHeight="1" x14ac:dyDescent="0.3">
      <c r="A9772" t="s">
        <v>5762</v>
      </c>
      <c r="B9772">
        <f t="shared" si="1375"/>
        <v>35</v>
      </c>
    </row>
    <row r="9773" spans="1:2" ht="15" customHeight="1" x14ac:dyDescent="0.3">
      <c r="A9773" t="s">
        <v>5763</v>
      </c>
      <c r="B9773">
        <f t="shared" si="1375"/>
        <v>35</v>
      </c>
    </row>
    <row r="9774" spans="1:2" ht="15" customHeight="1" x14ac:dyDescent="0.3">
      <c r="A9774" t="s">
        <v>5764</v>
      </c>
      <c r="B9774">
        <f t="shared" si="1375"/>
        <v>35</v>
      </c>
    </row>
    <row r="9775" spans="1:2" ht="15" customHeight="1" x14ac:dyDescent="0.3">
      <c r="A9775" t="s">
        <v>5765</v>
      </c>
      <c r="B9775">
        <f t="shared" si="1375"/>
        <v>35</v>
      </c>
    </row>
    <row r="9776" spans="1:2" ht="15" customHeight="1" x14ac:dyDescent="0.3">
      <c r="A9776" t="s">
        <v>5766</v>
      </c>
      <c r="B9776">
        <f t="shared" si="1375"/>
        <v>35</v>
      </c>
    </row>
    <row r="9777" spans="1:2" ht="15" customHeight="1" x14ac:dyDescent="0.3">
      <c r="A9777" t="s">
        <v>6032</v>
      </c>
      <c r="B9777">
        <f t="shared" si="1375"/>
        <v>80</v>
      </c>
    </row>
    <row r="9778" spans="1:2" ht="15" customHeight="1" x14ac:dyDescent="0.3">
      <c r="A9778" t="s">
        <v>5982</v>
      </c>
      <c r="B9778">
        <f t="shared" ref="B9778:B9809" si="1376">B9206</f>
        <v>35</v>
      </c>
    </row>
    <row r="9779" spans="1:2" ht="15" customHeight="1" x14ac:dyDescent="0.3">
      <c r="A9779" t="s">
        <v>5767</v>
      </c>
      <c r="B9779">
        <f t="shared" si="1376"/>
        <v>30</v>
      </c>
    </row>
    <row r="9780" spans="1:2" ht="15" customHeight="1" x14ac:dyDescent="0.3">
      <c r="A9780" t="s">
        <v>5983</v>
      </c>
      <c r="B9780">
        <f t="shared" si="1376"/>
        <v>35</v>
      </c>
    </row>
    <row r="9781" spans="1:2" ht="15" customHeight="1" x14ac:dyDescent="0.3">
      <c r="A9781" t="s">
        <v>6033</v>
      </c>
      <c r="B9781">
        <f t="shared" si="1376"/>
        <v>35</v>
      </c>
    </row>
    <row r="9782" spans="1:2" ht="15" customHeight="1" x14ac:dyDescent="0.3">
      <c r="A9782" t="s">
        <v>5768</v>
      </c>
      <c r="B9782">
        <f t="shared" si="1376"/>
        <v>35</v>
      </c>
    </row>
    <row r="9783" spans="1:2" ht="15" customHeight="1" x14ac:dyDescent="0.3">
      <c r="A9783" t="s">
        <v>5769</v>
      </c>
      <c r="B9783">
        <f t="shared" si="1376"/>
        <v>35</v>
      </c>
    </row>
    <row r="9784" spans="1:2" ht="15" customHeight="1" x14ac:dyDescent="0.3">
      <c r="A9784" t="s">
        <v>5770</v>
      </c>
      <c r="B9784">
        <f t="shared" si="1376"/>
        <v>30</v>
      </c>
    </row>
    <row r="9785" spans="1:2" ht="15" customHeight="1" x14ac:dyDescent="0.3">
      <c r="A9785" t="s">
        <v>5365</v>
      </c>
      <c r="B9785">
        <f t="shared" si="1376"/>
        <v>35</v>
      </c>
    </row>
    <row r="9786" spans="1:2" ht="15" customHeight="1" x14ac:dyDescent="0.3">
      <c r="A9786" t="s">
        <v>5984</v>
      </c>
      <c r="B9786">
        <f t="shared" si="1376"/>
        <v>35</v>
      </c>
    </row>
    <row r="9787" spans="1:2" ht="15" customHeight="1" x14ac:dyDescent="0.3">
      <c r="A9787" t="s">
        <v>5985</v>
      </c>
      <c r="B9787">
        <f t="shared" si="1376"/>
        <v>35</v>
      </c>
    </row>
    <row r="9788" spans="1:2" ht="15" customHeight="1" x14ac:dyDescent="0.3">
      <c r="A9788" t="s">
        <v>5228</v>
      </c>
      <c r="B9788">
        <f t="shared" si="1376"/>
        <v>35</v>
      </c>
    </row>
    <row r="9789" spans="1:2" ht="15" customHeight="1" x14ac:dyDescent="0.3">
      <c r="A9789" t="s">
        <v>5986</v>
      </c>
      <c r="B9789">
        <f t="shared" si="1376"/>
        <v>35</v>
      </c>
    </row>
    <row r="9790" spans="1:2" ht="15" customHeight="1" x14ac:dyDescent="0.3">
      <c r="A9790" t="s">
        <v>5366</v>
      </c>
      <c r="B9790">
        <f t="shared" si="1376"/>
        <v>35</v>
      </c>
    </row>
    <row r="9791" spans="1:2" ht="15" customHeight="1" x14ac:dyDescent="0.3">
      <c r="A9791" t="s">
        <v>5771</v>
      </c>
      <c r="B9791">
        <f t="shared" si="1376"/>
        <v>35</v>
      </c>
    </row>
    <row r="9792" spans="1:2" ht="15" customHeight="1" x14ac:dyDescent="0.3">
      <c r="A9792" t="s">
        <v>5987</v>
      </c>
      <c r="B9792">
        <f t="shared" si="1376"/>
        <v>35</v>
      </c>
    </row>
    <row r="9793" spans="1:2" ht="15" customHeight="1" x14ac:dyDescent="0.3">
      <c r="A9793" t="s">
        <v>5988</v>
      </c>
      <c r="B9793">
        <f t="shared" si="1376"/>
        <v>35</v>
      </c>
    </row>
    <row r="9794" spans="1:2" ht="15" customHeight="1" x14ac:dyDescent="0.3">
      <c r="A9794" t="s">
        <v>5989</v>
      </c>
      <c r="B9794">
        <f t="shared" si="1376"/>
        <v>35</v>
      </c>
    </row>
    <row r="9795" spans="1:2" ht="15" customHeight="1" x14ac:dyDescent="0.3">
      <c r="A9795" t="s">
        <v>5990</v>
      </c>
      <c r="B9795">
        <f t="shared" si="1376"/>
        <v>35</v>
      </c>
    </row>
    <row r="9796" spans="1:2" ht="15" customHeight="1" x14ac:dyDescent="0.3">
      <c r="A9796" t="s">
        <v>5229</v>
      </c>
      <c r="B9796">
        <f t="shared" si="1376"/>
        <v>35</v>
      </c>
    </row>
    <row r="9797" spans="1:2" ht="15" customHeight="1" x14ac:dyDescent="0.3">
      <c r="A9797" t="s">
        <v>5230</v>
      </c>
      <c r="B9797">
        <f t="shared" si="1376"/>
        <v>35</v>
      </c>
    </row>
    <row r="9798" spans="1:2" ht="15" customHeight="1" x14ac:dyDescent="0.3">
      <c r="A9798" t="s">
        <v>5231</v>
      </c>
      <c r="B9798">
        <f t="shared" si="1376"/>
        <v>35</v>
      </c>
    </row>
    <row r="9799" spans="1:2" ht="15" customHeight="1" x14ac:dyDescent="0.3">
      <c r="A9799" t="s">
        <v>5232</v>
      </c>
      <c r="B9799">
        <f t="shared" si="1376"/>
        <v>35</v>
      </c>
    </row>
    <row r="9800" spans="1:2" ht="15" customHeight="1" x14ac:dyDescent="0.3">
      <c r="A9800" t="s">
        <v>6034</v>
      </c>
      <c r="B9800">
        <f t="shared" si="1376"/>
        <v>35</v>
      </c>
    </row>
    <row r="9801" spans="1:2" ht="15" customHeight="1" x14ac:dyDescent="0.3">
      <c r="A9801" t="s">
        <v>5772</v>
      </c>
      <c r="B9801">
        <f t="shared" si="1376"/>
        <v>30</v>
      </c>
    </row>
    <row r="9802" spans="1:2" ht="15" customHeight="1" x14ac:dyDescent="0.3">
      <c r="A9802" t="s">
        <v>5233</v>
      </c>
      <c r="B9802">
        <f t="shared" si="1376"/>
        <v>40</v>
      </c>
    </row>
    <row r="9803" spans="1:2" ht="15" customHeight="1" x14ac:dyDescent="0.3">
      <c r="A9803" t="s">
        <v>5991</v>
      </c>
      <c r="B9803">
        <f t="shared" si="1376"/>
        <v>35</v>
      </c>
    </row>
    <row r="9804" spans="1:2" ht="15" customHeight="1" x14ac:dyDescent="0.3">
      <c r="A9804" t="s">
        <v>5773</v>
      </c>
      <c r="B9804">
        <f t="shared" si="1376"/>
        <v>35</v>
      </c>
    </row>
    <row r="9805" spans="1:2" ht="15" customHeight="1" x14ac:dyDescent="0.3">
      <c r="A9805" t="s">
        <v>5774</v>
      </c>
      <c r="B9805">
        <f t="shared" si="1376"/>
        <v>35</v>
      </c>
    </row>
    <row r="9806" spans="1:2" ht="15" customHeight="1" x14ac:dyDescent="0.3">
      <c r="A9806" t="s">
        <v>5992</v>
      </c>
      <c r="B9806">
        <f t="shared" si="1376"/>
        <v>35</v>
      </c>
    </row>
    <row r="9807" spans="1:2" ht="15" customHeight="1" x14ac:dyDescent="0.3">
      <c r="A9807" t="s">
        <v>5775</v>
      </c>
      <c r="B9807">
        <f t="shared" si="1376"/>
        <v>35</v>
      </c>
    </row>
    <row r="9808" spans="1:2" ht="15" customHeight="1" x14ac:dyDescent="0.3">
      <c r="A9808" t="s">
        <v>10318</v>
      </c>
      <c r="B9808">
        <f t="shared" si="1376"/>
        <v>35</v>
      </c>
    </row>
    <row r="9809" spans="1:2" ht="15" customHeight="1" x14ac:dyDescent="0.3">
      <c r="A9809" t="s">
        <v>5776</v>
      </c>
      <c r="B9809">
        <f t="shared" si="1376"/>
        <v>40</v>
      </c>
    </row>
    <row r="9810" spans="1:2" ht="15" customHeight="1" x14ac:dyDescent="0.3">
      <c r="A9810" t="s">
        <v>5777</v>
      </c>
      <c r="B9810">
        <f t="shared" ref="B9810:B9813" si="1377">B9238</f>
        <v>30</v>
      </c>
    </row>
    <row r="9811" spans="1:2" ht="15" customHeight="1" x14ac:dyDescent="0.3">
      <c r="A9811" t="s">
        <v>5778</v>
      </c>
      <c r="B9811">
        <f t="shared" si="1377"/>
        <v>35</v>
      </c>
    </row>
    <row r="9812" spans="1:2" ht="15" customHeight="1" x14ac:dyDescent="0.3">
      <c r="A9812" t="s">
        <v>5993</v>
      </c>
      <c r="B9812">
        <f t="shared" si="1377"/>
        <v>35</v>
      </c>
    </row>
    <row r="9813" spans="1:2" ht="15" customHeight="1" x14ac:dyDescent="0.3">
      <c r="A9813" t="s">
        <v>6065</v>
      </c>
      <c r="B9813">
        <f t="shared" si="1377"/>
        <v>35</v>
      </c>
    </row>
    <row r="9814" spans="1:2" ht="15" customHeight="1" x14ac:dyDescent="0.3">
      <c r="A9814" t="s">
        <v>5234</v>
      </c>
      <c r="B9814">
        <f>B9626</f>
        <v>35</v>
      </c>
    </row>
    <row r="9815" spans="1:2" ht="15" customHeight="1" x14ac:dyDescent="0.3">
      <c r="A9815" t="s">
        <v>5779</v>
      </c>
      <c r="B9815">
        <f>B9243</f>
        <v>30</v>
      </c>
    </row>
    <row r="9816" spans="1:2" ht="15" customHeight="1" x14ac:dyDescent="0.3">
      <c r="A9816" t="s">
        <v>5780</v>
      </c>
      <c r="B9816">
        <f>B9244</f>
        <v>30</v>
      </c>
    </row>
    <row r="9817" spans="1:2" ht="15" customHeight="1" x14ac:dyDescent="0.3">
      <c r="A9817" t="s">
        <v>5367</v>
      </c>
      <c r="B9817">
        <f>B9437</f>
        <v>35</v>
      </c>
    </row>
    <row r="9818" spans="1:2" ht="15" customHeight="1" x14ac:dyDescent="0.3">
      <c r="A9818" t="s">
        <v>5781</v>
      </c>
      <c r="B9818">
        <f t="shared" ref="B9818:B9834" si="1378">B9246</f>
        <v>35</v>
      </c>
    </row>
    <row r="9819" spans="1:2" ht="15" customHeight="1" x14ac:dyDescent="0.3">
      <c r="A9819" t="s">
        <v>5235</v>
      </c>
      <c r="B9819">
        <f t="shared" si="1378"/>
        <v>35</v>
      </c>
    </row>
    <row r="9820" spans="1:2" ht="15" customHeight="1" x14ac:dyDescent="0.3">
      <c r="A9820" t="s">
        <v>5913</v>
      </c>
      <c r="B9820">
        <f t="shared" si="1378"/>
        <v>35</v>
      </c>
    </row>
    <row r="9821" spans="1:2" ht="15" customHeight="1" x14ac:dyDescent="0.3">
      <c r="A9821" t="s">
        <v>5368</v>
      </c>
      <c r="B9821">
        <f t="shared" si="1378"/>
        <v>35</v>
      </c>
    </row>
    <row r="9822" spans="1:2" ht="15" customHeight="1" x14ac:dyDescent="0.3">
      <c r="A9822" t="s">
        <v>5369</v>
      </c>
      <c r="B9822">
        <f t="shared" si="1378"/>
        <v>35</v>
      </c>
    </row>
    <row r="9823" spans="1:2" ht="15" customHeight="1" x14ac:dyDescent="0.3">
      <c r="A9823" t="s">
        <v>5782</v>
      </c>
      <c r="B9823">
        <f t="shared" si="1378"/>
        <v>35</v>
      </c>
    </row>
    <row r="9824" spans="1:2" ht="15" customHeight="1" x14ac:dyDescent="0.3">
      <c r="A9824" t="s">
        <v>10319</v>
      </c>
      <c r="B9824">
        <f t="shared" si="1378"/>
        <v>35</v>
      </c>
    </row>
    <row r="9825" spans="1:2" ht="15" customHeight="1" x14ac:dyDescent="0.3">
      <c r="A9825" t="s">
        <v>5236</v>
      </c>
      <c r="B9825">
        <f t="shared" si="1378"/>
        <v>35</v>
      </c>
    </row>
    <row r="9826" spans="1:2" ht="15" customHeight="1" x14ac:dyDescent="0.3">
      <c r="A9826" t="s">
        <v>6056</v>
      </c>
      <c r="B9826">
        <f t="shared" si="1378"/>
        <v>40</v>
      </c>
    </row>
    <row r="9827" spans="1:2" ht="15" customHeight="1" x14ac:dyDescent="0.3">
      <c r="A9827" t="s">
        <v>5783</v>
      </c>
      <c r="B9827">
        <f t="shared" si="1378"/>
        <v>35</v>
      </c>
    </row>
    <row r="9828" spans="1:2" ht="15" customHeight="1" x14ac:dyDescent="0.3">
      <c r="A9828" t="s">
        <v>5784</v>
      </c>
      <c r="B9828">
        <f t="shared" si="1378"/>
        <v>35</v>
      </c>
    </row>
    <row r="9829" spans="1:2" ht="15" customHeight="1" x14ac:dyDescent="0.3">
      <c r="A9829" t="s">
        <v>5237</v>
      </c>
      <c r="B9829">
        <f t="shared" si="1378"/>
        <v>35</v>
      </c>
    </row>
    <row r="9830" spans="1:2" ht="15" customHeight="1" x14ac:dyDescent="0.3">
      <c r="A9830" t="s">
        <v>5370</v>
      </c>
      <c r="B9830">
        <f t="shared" si="1378"/>
        <v>40</v>
      </c>
    </row>
    <row r="9831" spans="1:2" ht="15" customHeight="1" x14ac:dyDescent="0.3">
      <c r="A9831" t="s">
        <v>6071</v>
      </c>
      <c r="B9831">
        <f t="shared" si="1378"/>
        <v>35</v>
      </c>
    </row>
    <row r="9832" spans="1:2" ht="15" customHeight="1" x14ac:dyDescent="0.3">
      <c r="A9832" t="s">
        <v>5994</v>
      </c>
      <c r="B9832">
        <f t="shared" si="1378"/>
        <v>35</v>
      </c>
    </row>
    <row r="9833" spans="1:2" ht="15" customHeight="1" x14ac:dyDescent="0.3">
      <c r="A9833" t="s">
        <v>6035</v>
      </c>
      <c r="B9833">
        <f t="shared" si="1378"/>
        <v>40</v>
      </c>
    </row>
    <row r="9834" spans="1:2" ht="15" customHeight="1" x14ac:dyDescent="0.3">
      <c r="A9834" t="s">
        <v>5995</v>
      </c>
      <c r="B9834">
        <f t="shared" si="1378"/>
        <v>35</v>
      </c>
    </row>
    <row r="9835" spans="1:2" ht="15" customHeight="1" x14ac:dyDescent="0.3">
      <c r="A9835" t="s">
        <v>5371</v>
      </c>
      <c r="B9835">
        <f t="shared" ref="B9835:B9866" si="1379">B9267</f>
        <v>35</v>
      </c>
    </row>
    <row r="9836" spans="1:2" ht="15" customHeight="1" x14ac:dyDescent="0.3">
      <c r="A9836" t="s">
        <v>5372</v>
      </c>
      <c r="B9836">
        <f t="shared" si="1379"/>
        <v>30</v>
      </c>
    </row>
    <row r="9837" spans="1:2" ht="15" customHeight="1" x14ac:dyDescent="0.3">
      <c r="A9837" t="s">
        <v>5373</v>
      </c>
      <c r="B9837">
        <f t="shared" si="1379"/>
        <v>35</v>
      </c>
    </row>
    <row r="9838" spans="1:2" ht="15" customHeight="1" x14ac:dyDescent="0.3">
      <c r="A9838" t="s">
        <v>5374</v>
      </c>
      <c r="B9838">
        <f t="shared" si="1379"/>
        <v>30</v>
      </c>
    </row>
    <row r="9839" spans="1:2" ht="15" customHeight="1" x14ac:dyDescent="0.3">
      <c r="A9839" t="s">
        <v>5375</v>
      </c>
      <c r="B9839">
        <f t="shared" si="1379"/>
        <v>30</v>
      </c>
    </row>
    <row r="9840" spans="1:2" ht="15" customHeight="1" x14ac:dyDescent="0.3">
      <c r="A9840" t="s">
        <v>5238</v>
      </c>
      <c r="B9840">
        <f t="shared" si="1379"/>
        <v>30</v>
      </c>
    </row>
    <row r="9841" spans="1:2" ht="15" customHeight="1" x14ac:dyDescent="0.3">
      <c r="A9841" t="s">
        <v>5376</v>
      </c>
      <c r="B9841">
        <f t="shared" si="1379"/>
        <v>35</v>
      </c>
    </row>
    <row r="9842" spans="1:2" ht="15" customHeight="1" x14ac:dyDescent="0.3">
      <c r="A9842" t="s">
        <v>5377</v>
      </c>
      <c r="B9842">
        <f t="shared" si="1379"/>
        <v>35</v>
      </c>
    </row>
    <row r="9843" spans="1:2" ht="15" customHeight="1" x14ac:dyDescent="0.3">
      <c r="A9843" t="s">
        <v>5378</v>
      </c>
      <c r="B9843">
        <f t="shared" si="1379"/>
        <v>35</v>
      </c>
    </row>
    <row r="9844" spans="1:2" ht="15" customHeight="1" x14ac:dyDescent="0.3">
      <c r="A9844" t="s">
        <v>5379</v>
      </c>
      <c r="B9844">
        <f t="shared" si="1379"/>
        <v>30</v>
      </c>
    </row>
    <row r="9845" spans="1:2" ht="15" customHeight="1" x14ac:dyDescent="0.3">
      <c r="A9845" t="s">
        <v>5239</v>
      </c>
      <c r="B9845">
        <f t="shared" si="1379"/>
        <v>35</v>
      </c>
    </row>
    <row r="9846" spans="1:2" ht="15" customHeight="1" x14ac:dyDescent="0.3">
      <c r="A9846" t="s">
        <v>5380</v>
      </c>
      <c r="B9846">
        <f t="shared" si="1379"/>
        <v>35</v>
      </c>
    </row>
    <row r="9847" spans="1:2" ht="15" customHeight="1" x14ac:dyDescent="0.3">
      <c r="A9847" t="s">
        <v>5381</v>
      </c>
      <c r="B9847">
        <f t="shared" si="1379"/>
        <v>35</v>
      </c>
    </row>
    <row r="9848" spans="1:2" ht="15" customHeight="1" x14ac:dyDescent="0.3">
      <c r="A9848" t="s">
        <v>5785</v>
      </c>
      <c r="B9848">
        <f t="shared" si="1379"/>
        <v>35</v>
      </c>
    </row>
    <row r="9849" spans="1:2" ht="15" customHeight="1" x14ac:dyDescent="0.3">
      <c r="A9849" t="s">
        <v>5382</v>
      </c>
      <c r="B9849">
        <f t="shared" si="1379"/>
        <v>35</v>
      </c>
    </row>
    <row r="9850" spans="1:2" ht="15" customHeight="1" x14ac:dyDescent="0.3">
      <c r="A9850" t="s">
        <v>5240</v>
      </c>
      <c r="B9850">
        <f t="shared" si="1379"/>
        <v>30</v>
      </c>
    </row>
    <row r="9851" spans="1:2" ht="15" customHeight="1" x14ac:dyDescent="0.3">
      <c r="A9851" t="s">
        <v>5786</v>
      </c>
      <c r="B9851">
        <f t="shared" si="1379"/>
        <v>35</v>
      </c>
    </row>
    <row r="9852" spans="1:2" ht="15" customHeight="1" x14ac:dyDescent="0.3">
      <c r="A9852" t="s">
        <v>5787</v>
      </c>
      <c r="B9852">
        <f t="shared" si="1379"/>
        <v>35</v>
      </c>
    </row>
    <row r="9853" spans="1:2" ht="15" customHeight="1" x14ac:dyDescent="0.3">
      <c r="A9853" t="s">
        <v>5383</v>
      </c>
      <c r="B9853">
        <f t="shared" si="1379"/>
        <v>35</v>
      </c>
    </row>
    <row r="9854" spans="1:2" ht="15" customHeight="1" x14ac:dyDescent="0.3">
      <c r="A9854" t="s">
        <v>5914</v>
      </c>
      <c r="B9854">
        <f t="shared" si="1379"/>
        <v>35</v>
      </c>
    </row>
    <row r="9855" spans="1:2" ht="15" customHeight="1" x14ac:dyDescent="0.3">
      <c r="A9855" t="s">
        <v>5788</v>
      </c>
      <c r="B9855">
        <f t="shared" si="1379"/>
        <v>35</v>
      </c>
    </row>
    <row r="9856" spans="1:2" ht="15" customHeight="1" x14ac:dyDescent="0.3">
      <c r="A9856" t="s">
        <v>5789</v>
      </c>
      <c r="B9856">
        <f t="shared" si="1379"/>
        <v>35</v>
      </c>
    </row>
    <row r="9857" spans="1:2" ht="15" customHeight="1" x14ac:dyDescent="0.3">
      <c r="A9857" t="s">
        <v>5790</v>
      </c>
      <c r="B9857">
        <f t="shared" si="1379"/>
        <v>35</v>
      </c>
    </row>
    <row r="9858" spans="1:2" ht="15" customHeight="1" x14ac:dyDescent="0.3">
      <c r="A9858" t="s">
        <v>5791</v>
      </c>
      <c r="B9858">
        <f t="shared" si="1379"/>
        <v>35</v>
      </c>
    </row>
    <row r="9859" spans="1:2" ht="15" customHeight="1" x14ac:dyDescent="0.3">
      <c r="A9859" t="s">
        <v>5792</v>
      </c>
      <c r="B9859">
        <f t="shared" si="1379"/>
        <v>35</v>
      </c>
    </row>
    <row r="9860" spans="1:2" ht="15" customHeight="1" x14ac:dyDescent="0.3">
      <c r="A9860" t="s">
        <v>5241</v>
      </c>
      <c r="B9860">
        <f t="shared" si="1379"/>
        <v>35</v>
      </c>
    </row>
    <row r="9861" spans="1:2" ht="15" customHeight="1" x14ac:dyDescent="0.3">
      <c r="A9861" t="s">
        <v>5793</v>
      </c>
      <c r="B9861">
        <f t="shared" si="1379"/>
        <v>40</v>
      </c>
    </row>
    <row r="9862" spans="1:2" ht="15" customHeight="1" x14ac:dyDescent="0.3">
      <c r="A9862" t="s">
        <v>5794</v>
      </c>
      <c r="B9862">
        <f t="shared" si="1379"/>
        <v>30</v>
      </c>
    </row>
    <row r="9863" spans="1:2" ht="15" customHeight="1" x14ac:dyDescent="0.3">
      <c r="A9863" t="s">
        <v>5795</v>
      </c>
      <c r="B9863">
        <f t="shared" si="1379"/>
        <v>30</v>
      </c>
    </row>
    <row r="9864" spans="1:2" ht="15" customHeight="1" x14ac:dyDescent="0.3">
      <c r="A9864" t="s">
        <v>5796</v>
      </c>
      <c r="B9864">
        <f t="shared" si="1379"/>
        <v>35</v>
      </c>
    </row>
    <row r="9865" spans="1:2" ht="15" customHeight="1" x14ac:dyDescent="0.3">
      <c r="A9865" t="s">
        <v>5797</v>
      </c>
      <c r="B9865">
        <f t="shared" si="1379"/>
        <v>35</v>
      </c>
    </row>
    <row r="9866" spans="1:2" ht="15" customHeight="1" x14ac:dyDescent="0.3">
      <c r="A9866" t="s">
        <v>5798</v>
      </c>
      <c r="B9866">
        <f t="shared" si="1379"/>
        <v>35</v>
      </c>
    </row>
    <row r="9867" spans="1:2" ht="15" customHeight="1" x14ac:dyDescent="0.3">
      <c r="A9867" t="s">
        <v>5799</v>
      </c>
      <c r="B9867">
        <f t="shared" ref="B9867:B9898" si="1380">B9299</f>
        <v>35</v>
      </c>
    </row>
    <row r="9868" spans="1:2" ht="15" customHeight="1" x14ac:dyDescent="0.3">
      <c r="A9868" t="s">
        <v>5800</v>
      </c>
      <c r="B9868">
        <f t="shared" si="1380"/>
        <v>35</v>
      </c>
    </row>
    <row r="9869" spans="1:2" ht="15" customHeight="1" x14ac:dyDescent="0.3">
      <c r="A9869" t="s">
        <v>5801</v>
      </c>
      <c r="B9869">
        <f t="shared" si="1380"/>
        <v>35</v>
      </c>
    </row>
    <row r="9870" spans="1:2" ht="15" customHeight="1" x14ac:dyDescent="0.3">
      <c r="A9870" t="s">
        <v>6072</v>
      </c>
      <c r="B9870">
        <f t="shared" si="1380"/>
        <v>40</v>
      </c>
    </row>
    <row r="9871" spans="1:2" ht="15" customHeight="1" x14ac:dyDescent="0.3">
      <c r="A9871" t="s">
        <v>5802</v>
      </c>
      <c r="B9871">
        <f t="shared" si="1380"/>
        <v>35</v>
      </c>
    </row>
    <row r="9872" spans="1:2" ht="15" customHeight="1" x14ac:dyDescent="0.3">
      <c r="A9872" t="s">
        <v>5803</v>
      </c>
      <c r="B9872">
        <f t="shared" si="1380"/>
        <v>35</v>
      </c>
    </row>
    <row r="9873" spans="1:2" ht="15" customHeight="1" x14ac:dyDescent="0.3">
      <c r="A9873" t="s">
        <v>5804</v>
      </c>
      <c r="B9873">
        <f t="shared" si="1380"/>
        <v>35</v>
      </c>
    </row>
    <row r="9874" spans="1:2" ht="15" customHeight="1" x14ac:dyDescent="0.3">
      <c r="A9874" t="s">
        <v>5805</v>
      </c>
      <c r="B9874">
        <f t="shared" si="1380"/>
        <v>35</v>
      </c>
    </row>
    <row r="9875" spans="1:2" ht="15" customHeight="1" x14ac:dyDescent="0.3">
      <c r="A9875" t="s">
        <v>5806</v>
      </c>
      <c r="B9875">
        <f t="shared" si="1380"/>
        <v>35</v>
      </c>
    </row>
    <row r="9876" spans="1:2" ht="15" customHeight="1" x14ac:dyDescent="0.3">
      <c r="A9876" t="s">
        <v>5807</v>
      </c>
      <c r="B9876">
        <f t="shared" si="1380"/>
        <v>35</v>
      </c>
    </row>
    <row r="9877" spans="1:2" ht="15" customHeight="1" x14ac:dyDescent="0.3">
      <c r="A9877" t="s">
        <v>3688</v>
      </c>
      <c r="B9877">
        <f t="shared" si="1380"/>
        <v>40</v>
      </c>
    </row>
    <row r="9878" spans="1:2" ht="15" customHeight="1" x14ac:dyDescent="0.3">
      <c r="A9878" t="s">
        <v>5808</v>
      </c>
      <c r="B9878">
        <f t="shared" si="1380"/>
        <v>35</v>
      </c>
    </row>
    <row r="9879" spans="1:2" ht="15" customHeight="1" x14ac:dyDescent="0.3">
      <c r="A9879" t="s">
        <v>5809</v>
      </c>
      <c r="B9879">
        <f t="shared" si="1380"/>
        <v>35</v>
      </c>
    </row>
    <row r="9880" spans="1:2" ht="15" customHeight="1" x14ac:dyDescent="0.3">
      <c r="A9880" t="s">
        <v>5810</v>
      </c>
      <c r="B9880">
        <f t="shared" si="1380"/>
        <v>35</v>
      </c>
    </row>
    <row r="9881" spans="1:2" ht="15" customHeight="1" x14ac:dyDescent="0.3">
      <c r="A9881" t="s">
        <v>5811</v>
      </c>
      <c r="B9881">
        <f t="shared" si="1380"/>
        <v>35</v>
      </c>
    </row>
    <row r="9882" spans="1:2" ht="15" customHeight="1" x14ac:dyDescent="0.3">
      <c r="A9882" t="s">
        <v>5812</v>
      </c>
      <c r="B9882">
        <f t="shared" si="1380"/>
        <v>35</v>
      </c>
    </row>
    <row r="9883" spans="1:2" ht="15" customHeight="1" x14ac:dyDescent="0.3">
      <c r="A9883" t="s">
        <v>5813</v>
      </c>
      <c r="B9883">
        <f t="shared" si="1380"/>
        <v>35</v>
      </c>
    </row>
    <row r="9884" spans="1:2" ht="15" customHeight="1" x14ac:dyDescent="0.3">
      <c r="A9884" t="s">
        <v>5814</v>
      </c>
      <c r="B9884">
        <f t="shared" si="1380"/>
        <v>35</v>
      </c>
    </row>
    <row r="9885" spans="1:2" ht="15" customHeight="1" x14ac:dyDescent="0.3">
      <c r="A9885" t="s">
        <v>5815</v>
      </c>
      <c r="B9885">
        <f t="shared" si="1380"/>
        <v>35</v>
      </c>
    </row>
    <row r="9886" spans="1:2" ht="15" customHeight="1" x14ac:dyDescent="0.3">
      <c r="A9886" t="s">
        <v>5816</v>
      </c>
      <c r="B9886">
        <f t="shared" si="1380"/>
        <v>35</v>
      </c>
    </row>
    <row r="9887" spans="1:2" ht="15" customHeight="1" x14ac:dyDescent="0.3">
      <c r="A9887" t="s">
        <v>5817</v>
      </c>
      <c r="B9887">
        <f t="shared" si="1380"/>
        <v>35</v>
      </c>
    </row>
    <row r="9888" spans="1:2" ht="15" customHeight="1" x14ac:dyDescent="0.3">
      <c r="A9888" t="s">
        <v>5818</v>
      </c>
      <c r="B9888">
        <f t="shared" si="1380"/>
        <v>35</v>
      </c>
    </row>
    <row r="9889" spans="1:2" ht="15" customHeight="1" x14ac:dyDescent="0.3">
      <c r="A9889" t="s">
        <v>5819</v>
      </c>
      <c r="B9889">
        <f t="shared" si="1380"/>
        <v>35</v>
      </c>
    </row>
    <row r="9890" spans="1:2" ht="15" customHeight="1" x14ac:dyDescent="0.3">
      <c r="A9890" t="s">
        <v>5820</v>
      </c>
      <c r="B9890">
        <f t="shared" si="1380"/>
        <v>35</v>
      </c>
    </row>
    <row r="9891" spans="1:2" ht="15" customHeight="1" x14ac:dyDescent="0.3">
      <c r="A9891" t="s">
        <v>5915</v>
      </c>
      <c r="B9891">
        <f t="shared" si="1380"/>
        <v>35</v>
      </c>
    </row>
    <row r="9892" spans="1:2" ht="15" customHeight="1" x14ac:dyDescent="0.3">
      <c r="A9892" t="s">
        <v>5916</v>
      </c>
      <c r="B9892">
        <f t="shared" si="1380"/>
        <v>35</v>
      </c>
    </row>
    <row r="9893" spans="1:2" ht="15" customHeight="1" x14ac:dyDescent="0.3">
      <c r="A9893" t="s">
        <v>6046</v>
      </c>
      <c r="B9893">
        <f t="shared" si="1380"/>
        <v>35</v>
      </c>
    </row>
    <row r="9894" spans="1:2" ht="15" customHeight="1" x14ac:dyDescent="0.3">
      <c r="A9894" t="s">
        <v>6045</v>
      </c>
      <c r="B9894">
        <f t="shared" si="1380"/>
        <v>35</v>
      </c>
    </row>
    <row r="9895" spans="1:2" ht="15" customHeight="1" x14ac:dyDescent="0.3">
      <c r="A9895" t="s">
        <v>5821</v>
      </c>
      <c r="B9895">
        <f t="shared" si="1380"/>
        <v>35</v>
      </c>
    </row>
    <row r="9896" spans="1:2" ht="15" customHeight="1" x14ac:dyDescent="0.3">
      <c r="A9896" t="s">
        <v>5822</v>
      </c>
      <c r="B9896">
        <f t="shared" si="1380"/>
        <v>35</v>
      </c>
    </row>
    <row r="9897" spans="1:2" ht="15" customHeight="1" x14ac:dyDescent="0.3">
      <c r="A9897" t="s">
        <v>5996</v>
      </c>
      <c r="B9897">
        <f t="shared" si="1380"/>
        <v>35</v>
      </c>
    </row>
    <row r="9898" spans="1:2" ht="15" customHeight="1" x14ac:dyDescent="0.3">
      <c r="A9898" t="s">
        <v>5823</v>
      </c>
      <c r="B9898">
        <f t="shared" si="1380"/>
        <v>35</v>
      </c>
    </row>
    <row r="9899" spans="1:2" ht="15" customHeight="1" x14ac:dyDescent="0.3">
      <c r="A9899" t="s">
        <v>5384</v>
      </c>
      <c r="B9899">
        <f t="shared" ref="B9899:B9913" si="1381">B9331</f>
        <v>35</v>
      </c>
    </row>
    <row r="9900" spans="1:2" ht="15" customHeight="1" x14ac:dyDescent="0.3">
      <c r="A9900" t="s">
        <v>5997</v>
      </c>
      <c r="B9900">
        <f t="shared" si="1381"/>
        <v>35</v>
      </c>
    </row>
    <row r="9901" spans="1:2" ht="15" customHeight="1" x14ac:dyDescent="0.3">
      <c r="A9901" t="s">
        <v>5824</v>
      </c>
      <c r="B9901">
        <f t="shared" si="1381"/>
        <v>35</v>
      </c>
    </row>
    <row r="9902" spans="1:2" ht="15" customHeight="1" x14ac:dyDescent="0.3">
      <c r="A9902" t="s">
        <v>3689</v>
      </c>
      <c r="B9902">
        <f t="shared" si="1381"/>
        <v>35</v>
      </c>
    </row>
    <row r="9903" spans="1:2" ht="15" customHeight="1" x14ac:dyDescent="0.3">
      <c r="A9903" t="s">
        <v>6036</v>
      </c>
      <c r="B9903">
        <f t="shared" si="1381"/>
        <v>35</v>
      </c>
    </row>
    <row r="9904" spans="1:2" ht="15" customHeight="1" x14ac:dyDescent="0.3">
      <c r="A9904" t="s">
        <v>5825</v>
      </c>
      <c r="B9904">
        <f t="shared" si="1381"/>
        <v>35</v>
      </c>
    </row>
    <row r="9905" spans="1:2" ht="15" customHeight="1" x14ac:dyDescent="0.3">
      <c r="A9905" t="s">
        <v>5826</v>
      </c>
      <c r="B9905">
        <f t="shared" si="1381"/>
        <v>45</v>
      </c>
    </row>
    <row r="9906" spans="1:2" ht="15" customHeight="1" x14ac:dyDescent="0.3">
      <c r="A9906" t="s">
        <v>5385</v>
      </c>
      <c r="B9906">
        <f t="shared" si="1381"/>
        <v>35</v>
      </c>
    </row>
    <row r="9907" spans="1:2" ht="15" customHeight="1" x14ac:dyDescent="0.3">
      <c r="A9907" t="s">
        <v>6037</v>
      </c>
      <c r="B9907">
        <f t="shared" si="1381"/>
        <v>35</v>
      </c>
    </row>
    <row r="9908" spans="1:2" ht="15" customHeight="1" x14ac:dyDescent="0.3">
      <c r="A9908" t="s">
        <v>5827</v>
      </c>
      <c r="B9908">
        <f t="shared" si="1381"/>
        <v>35</v>
      </c>
    </row>
    <row r="9909" spans="1:2" ht="15" customHeight="1" x14ac:dyDescent="0.3">
      <c r="A9909" t="s">
        <v>10320</v>
      </c>
      <c r="B9909">
        <f t="shared" si="1381"/>
        <v>35</v>
      </c>
    </row>
    <row r="9910" spans="1:2" ht="15" customHeight="1" x14ac:dyDescent="0.3">
      <c r="A9910" t="s">
        <v>6044</v>
      </c>
      <c r="B9910">
        <f t="shared" si="1381"/>
        <v>40</v>
      </c>
    </row>
    <row r="9911" spans="1:2" ht="15" customHeight="1" x14ac:dyDescent="0.3">
      <c r="A9911" t="s">
        <v>5828</v>
      </c>
      <c r="B9911">
        <f t="shared" si="1381"/>
        <v>30</v>
      </c>
    </row>
    <row r="9912" spans="1:2" ht="15" customHeight="1" x14ac:dyDescent="0.3">
      <c r="A9912" t="s">
        <v>5917</v>
      </c>
      <c r="B9912">
        <f t="shared" si="1381"/>
        <v>35</v>
      </c>
    </row>
    <row r="9913" spans="1:2" ht="15" customHeight="1" x14ac:dyDescent="0.3">
      <c r="A9913" t="s">
        <v>5829</v>
      </c>
      <c r="B9913">
        <f t="shared" si="1381"/>
        <v>30</v>
      </c>
    </row>
    <row r="9914" spans="1:2" ht="15" customHeight="1" x14ac:dyDescent="0.3">
      <c r="A9914" s="76" t="s">
        <v>12739</v>
      </c>
      <c r="B9914">
        <f>F2383</f>
        <v>35</v>
      </c>
    </row>
    <row r="9915" spans="1:2" ht="15" customHeight="1" x14ac:dyDescent="0.3">
      <c r="A9915" s="76" t="s">
        <v>12738</v>
      </c>
      <c r="B9915">
        <f>B9914</f>
        <v>35</v>
      </c>
    </row>
    <row r="9916" spans="1:2" ht="15" customHeight="1" x14ac:dyDescent="0.3">
      <c r="A9916" s="76" t="s">
        <v>12740</v>
      </c>
      <c r="B9916">
        <f>B9914</f>
        <v>35</v>
      </c>
    </row>
    <row r="9917" spans="1:2" ht="15" customHeight="1" x14ac:dyDescent="0.3">
      <c r="A9917" t="s">
        <v>5830</v>
      </c>
      <c r="B9917">
        <f>B9346</f>
        <v>30</v>
      </c>
    </row>
    <row r="9918" spans="1:2" ht="15" customHeight="1" x14ac:dyDescent="0.3">
      <c r="A9918" t="s">
        <v>5831</v>
      </c>
      <c r="B9918">
        <f>B9727</f>
        <v>35</v>
      </c>
    </row>
    <row r="9919" spans="1:2" ht="15" customHeight="1" x14ac:dyDescent="0.3">
      <c r="A9919" t="s">
        <v>6043</v>
      </c>
      <c r="B9919">
        <f t="shared" ref="B9919:B9927" si="1382">B9348</f>
        <v>50</v>
      </c>
    </row>
    <row r="9920" spans="1:2" ht="15" customHeight="1" x14ac:dyDescent="0.3">
      <c r="A9920" t="s">
        <v>5832</v>
      </c>
      <c r="B9920">
        <f t="shared" si="1382"/>
        <v>40</v>
      </c>
    </row>
    <row r="9921" spans="1:2" ht="15" customHeight="1" x14ac:dyDescent="0.3">
      <c r="A9921" t="s">
        <v>5242</v>
      </c>
      <c r="B9921">
        <f t="shared" si="1382"/>
        <v>35</v>
      </c>
    </row>
    <row r="9922" spans="1:2" ht="15" customHeight="1" x14ac:dyDescent="0.3">
      <c r="A9922" t="s">
        <v>5833</v>
      </c>
      <c r="B9922">
        <f t="shared" si="1382"/>
        <v>35</v>
      </c>
    </row>
    <row r="9923" spans="1:2" ht="15" customHeight="1" x14ac:dyDescent="0.3">
      <c r="A9923" t="s">
        <v>5386</v>
      </c>
      <c r="B9923">
        <f t="shared" si="1382"/>
        <v>35</v>
      </c>
    </row>
    <row r="9924" spans="1:2" ht="15" customHeight="1" x14ac:dyDescent="0.3">
      <c r="A9924" t="s">
        <v>5834</v>
      </c>
      <c r="B9924">
        <f t="shared" si="1382"/>
        <v>30</v>
      </c>
    </row>
    <row r="9925" spans="1:2" ht="15" customHeight="1" x14ac:dyDescent="0.3">
      <c r="A9925" t="s">
        <v>5835</v>
      </c>
      <c r="B9925">
        <f t="shared" si="1382"/>
        <v>30</v>
      </c>
    </row>
    <row r="9926" spans="1:2" ht="15" customHeight="1" x14ac:dyDescent="0.3">
      <c r="A9926" t="s">
        <v>5998</v>
      </c>
      <c r="B9926">
        <f t="shared" si="1382"/>
        <v>35</v>
      </c>
    </row>
    <row r="9927" spans="1:2" ht="15" customHeight="1" x14ac:dyDescent="0.3">
      <c r="A9927" t="s">
        <v>5836</v>
      </c>
      <c r="B9927">
        <f t="shared" si="1382"/>
        <v>35</v>
      </c>
    </row>
    <row r="9928" spans="1:2" ht="15" customHeight="1" x14ac:dyDescent="0.3">
      <c r="A9928" t="s">
        <v>5837</v>
      </c>
      <c r="B9928">
        <f>B9737</f>
        <v>35</v>
      </c>
    </row>
    <row r="9929" spans="1:2" ht="15" customHeight="1" x14ac:dyDescent="0.3">
      <c r="A9929" t="s">
        <v>5243</v>
      </c>
      <c r="B9929">
        <f>B9738</f>
        <v>30</v>
      </c>
    </row>
    <row r="9930" spans="1:2" ht="15" customHeight="1" x14ac:dyDescent="0.3">
      <c r="A9930" t="s">
        <v>5244</v>
      </c>
      <c r="B9930">
        <f t="shared" ref="B9930:B9936" si="1383">B9359</f>
        <v>35</v>
      </c>
    </row>
    <row r="9931" spans="1:2" ht="15" customHeight="1" x14ac:dyDescent="0.3">
      <c r="A9931" t="s">
        <v>5245</v>
      </c>
      <c r="B9931">
        <f t="shared" si="1383"/>
        <v>35</v>
      </c>
    </row>
    <row r="9932" spans="1:2" ht="15" customHeight="1" x14ac:dyDescent="0.3">
      <c r="A9932" t="s">
        <v>5838</v>
      </c>
      <c r="B9932">
        <f t="shared" si="1383"/>
        <v>40</v>
      </c>
    </row>
    <row r="9933" spans="1:2" ht="15" customHeight="1" x14ac:dyDescent="0.3">
      <c r="A9933" t="s">
        <v>5387</v>
      </c>
      <c r="B9933">
        <f t="shared" si="1383"/>
        <v>35</v>
      </c>
    </row>
    <row r="9934" spans="1:2" ht="15" customHeight="1" x14ac:dyDescent="0.3">
      <c r="A9934" t="s">
        <v>5918</v>
      </c>
      <c r="B9934">
        <f t="shared" si="1383"/>
        <v>35</v>
      </c>
    </row>
    <row r="9935" spans="1:2" ht="15" customHeight="1" x14ac:dyDescent="0.3">
      <c r="A9935" t="s">
        <v>5839</v>
      </c>
      <c r="B9935">
        <f t="shared" si="1383"/>
        <v>35</v>
      </c>
    </row>
    <row r="9936" spans="1:2" ht="15" customHeight="1" x14ac:dyDescent="0.3">
      <c r="A9936" t="s">
        <v>5999</v>
      </c>
      <c r="B9936">
        <f t="shared" si="1383"/>
        <v>35</v>
      </c>
    </row>
    <row r="9937" spans="1:2" ht="15" customHeight="1" x14ac:dyDescent="0.3">
      <c r="A9937" t="s">
        <v>9991</v>
      </c>
      <c r="B9937">
        <f t="shared" ref="B9937:B9968" si="1384">B7479</f>
        <v>20</v>
      </c>
    </row>
    <row r="9938" spans="1:2" ht="15" customHeight="1" x14ac:dyDescent="0.3">
      <c r="A9938" t="s">
        <v>9992</v>
      </c>
      <c r="B9938">
        <f t="shared" si="1384"/>
        <v>15</v>
      </c>
    </row>
    <row r="9939" spans="1:2" ht="15" customHeight="1" x14ac:dyDescent="0.3">
      <c r="A9939" t="s">
        <v>9993</v>
      </c>
      <c r="B9939">
        <f t="shared" si="1384"/>
        <v>15</v>
      </c>
    </row>
    <row r="9940" spans="1:2" ht="15" customHeight="1" x14ac:dyDescent="0.3">
      <c r="A9940" t="s">
        <v>9994</v>
      </c>
      <c r="B9940">
        <f t="shared" si="1384"/>
        <v>15</v>
      </c>
    </row>
    <row r="9941" spans="1:2" ht="15" customHeight="1" x14ac:dyDescent="0.3">
      <c r="A9941" s="33" t="s">
        <v>9995</v>
      </c>
      <c r="B9941">
        <f t="shared" si="1384"/>
        <v>12</v>
      </c>
    </row>
    <row r="9942" spans="1:2" ht="15" customHeight="1" x14ac:dyDescent="0.3">
      <c r="A9942" s="33" t="s">
        <v>9996</v>
      </c>
      <c r="B9942">
        <f t="shared" si="1384"/>
        <v>12</v>
      </c>
    </row>
    <row r="9943" spans="1:2" ht="15" customHeight="1" x14ac:dyDescent="0.3">
      <c r="A9943" t="s">
        <v>9997</v>
      </c>
      <c r="B9943">
        <f t="shared" si="1384"/>
        <v>15</v>
      </c>
    </row>
    <row r="9944" spans="1:2" ht="15" customHeight="1" x14ac:dyDescent="0.3">
      <c r="A9944" t="s">
        <v>9998</v>
      </c>
      <c r="B9944">
        <f t="shared" si="1384"/>
        <v>15</v>
      </c>
    </row>
    <row r="9945" spans="1:2" ht="15" customHeight="1" x14ac:dyDescent="0.3">
      <c r="A9945" s="33" t="s">
        <v>9999</v>
      </c>
      <c r="B9945">
        <f t="shared" si="1384"/>
        <v>15</v>
      </c>
    </row>
    <row r="9946" spans="1:2" ht="15" customHeight="1" x14ac:dyDescent="0.3">
      <c r="A9946" s="33" t="s">
        <v>10000</v>
      </c>
      <c r="B9946">
        <f t="shared" si="1384"/>
        <v>15</v>
      </c>
    </row>
    <row r="9947" spans="1:2" ht="15" customHeight="1" x14ac:dyDescent="0.3">
      <c r="A9947" t="s">
        <v>10001</v>
      </c>
      <c r="B9947">
        <f t="shared" si="1384"/>
        <v>0</v>
      </c>
    </row>
    <row r="9948" spans="1:2" ht="15" customHeight="1" x14ac:dyDescent="0.3">
      <c r="A9948" t="s">
        <v>10002</v>
      </c>
      <c r="B9948">
        <f t="shared" si="1384"/>
        <v>15</v>
      </c>
    </row>
    <row r="9949" spans="1:2" ht="15" customHeight="1" x14ac:dyDescent="0.3">
      <c r="A9949" t="s">
        <v>10003</v>
      </c>
      <c r="B9949">
        <f t="shared" si="1384"/>
        <v>15</v>
      </c>
    </row>
    <row r="9950" spans="1:2" ht="15" customHeight="1" x14ac:dyDescent="0.3">
      <c r="A9950" t="s">
        <v>10004</v>
      </c>
      <c r="B9950">
        <f t="shared" si="1384"/>
        <v>15</v>
      </c>
    </row>
    <row r="9951" spans="1:2" ht="15" customHeight="1" x14ac:dyDescent="0.3">
      <c r="A9951" t="s">
        <v>10005</v>
      </c>
      <c r="B9951">
        <f t="shared" si="1384"/>
        <v>15</v>
      </c>
    </row>
    <row r="9952" spans="1:2" ht="15" customHeight="1" x14ac:dyDescent="0.3">
      <c r="A9952" t="s">
        <v>10006</v>
      </c>
      <c r="B9952">
        <f t="shared" si="1384"/>
        <v>15</v>
      </c>
    </row>
    <row r="9953" spans="1:2" ht="15" customHeight="1" x14ac:dyDescent="0.3">
      <c r="A9953" t="s">
        <v>10007</v>
      </c>
      <c r="B9953">
        <f t="shared" si="1384"/>
        <v>15</v>
      </c>
    </row>
    <row r="9954" spans="1:2" ht="15" customHeight="1" x14ac:dyDescent="0.3">
      <c r="A9954" t="s">
        <v>10008</v>
      </c>
      <c r="B9954">
        <f t="shared" si="1384"/>
        <v>15</v>
      </c>
    </row>
    <row r="9955" spans="1:2" ht="15" customHeight="1" x14ac:dyDescent="0.3">
      <c r="A9955" t="s">
        <v>10009</v>
      </c>
      <c r="B9955">
        <f t="shared" si="1384"/>
        <v>12</v>
      </c>
    </row>
    <row r="9956" spans="1:2" ht="15" customHeight="1" x14ac:dyDescent="0.3">
      <c r="A9956" t="s">
        <v>10010</v>
      </c>
      <c r="B9956">
        <f t="shared" si="1384"/>
        <v>12</v>
      </c>
    </row>
    <row r="9957" spans="1:2" ht="15" customHeight="1" x14ac:dyDescent="0.3">
      <c r="A9957" t="s">
        <v>10011</v>
      </c>
      <c r="B9957">
        <f t="shared" si="1384"/>
        <v>12</v>
      </c>
    </row>
    <row r="9958" spans="1:2" ht="15" customHeight="1" x14ac:dyDescent="0.3">
      <c r="A9958" s="33" t="s">
        <v>10012</v>
      </c>
      <c r="B9958">
        <f t="shared" si="1384"/>
        <v>15</v>
      </c>
    </row>
    <row r="9959" spans="1:2" ht="15" customHeight="1" x14ac:dyDescent="0.3">
      <c r="A9959" s="33" t="s">
        <v>10013</v>
      </c>
      <c r="B9959">
        <f t="shared" si="1384"/>
        <v>15</v>
      </c>
    </row>
    <row r="9960" spans="1:2" ht="15" customHeight="1" x14ac:dyDescent="0.3">
      <c r="A9960" s="33" t="s">
        <v>10014</v>
      </c>
      <c r="B9960">
        <f t="shared" si="1384"/>
        <v>15</v>
      </c>
    </row>
    <row r="9961" spans="1:2" ht="15" customHeight="1" x14ac:dyDescent="0.3">
      <c r="A9961" s="33" t="s">
        <v>10015</v>
      </c>
      <c r="B9961">
        <f t="shared" si="1384"/>
        <v>15</v>
      </c>
    </row>
    <row r="9962" spans="1:2" ht="15" customHeight="1" x14ac:dyDescent="0.3">
      <c r="A9962" s="33" t="s">
        <v>10016</v>
      </c>
      <c r="B9962">
        <f t="shared" si="1384"/>
        <v>15</v>
      </c>
    </row>
    <row r="9963" spans="1:2" ht="15" customHeight="1" x14ac:dyDescent="0.3">
      <c r="A9963" t="s">
        <v>10017</v>
      </c>
      <c r="B9963">
        <f t="shared" si="1384"/>
        <v>12</v>
      </c>
    </row>
    <row r="9964" spans="1:2" ht="15" customHeight="1" x14ac:dyDescent="0.3">
      <c r="A9964" t="s">
        <v>10018</v>
      </c>
      <c r="B9964">
        <f t="shared" si="1384"/>
        <v>15</v>
      </c>
    </row>
    <row r="9965" spans="1:2" ht="15" customHeight="1" x14ac:dyDescent="0.3">
      <c r="A9965" t="s">
        <v>10019</v>
      </c>
      <c r="B9965">
        <f t="shared" si="1384"/>
        <v>15</v>
      </c>
    </row>
    <row r="9966" spans="1:2" ht="15" customHeight="1" x14ac:dyDescent="0.3">
      <c r="A9966" s="33" t="s">
        <v>10020</v>
      </c>
      <c r="B9966">
        <f t="shared" si="1384"/>
        <v>15</v>
      </c>
    </row>
    <row r="9967" spans="1:2" ht="15" customHeight="1" x14ac:dyDescent="0.3">
      <c r="A9967" s="33" t="s">
        <v>10021</v>
      </c>
      <c r="B9967">
        <f t="shared" si="1384"/>
        <v>15</v>
      </c>
    </row>
    <row r="9968" spans="1:2" ht="15" customHeight="1" x14ac:dyDescent="0.3">
      <c r="A9968" s="33" t="s">
        <v>10022</v>
      </c>
      <c r="B9968">
        <f t="shared" si="1384"/>
        <v>15</v>
      </c>
    </row>
    <row r="9969" spans="1:2" ht="15" customHeight="1" x14ac:dyDescent="0.3">
      <c r="A9969" t="s">
        <v>10023</v>
      </c>
      <c r="B9969">
        <f t="shared" ref="B9969:B10000" si="1385">B7511</f>
        <v>12</v>
      </c>
    </row>
    <row r="9970" spans="1:2" ht="15" customHeight="1" x14ac:dyDescent="0.3">
      <c r="A9970" t="s">
        <v>10024</v>
      </c>
      <c r="B9970">
        <f t="shared" si="1385"/>
        <v>15</v>
      </c>
    </row>
    <row r="9971" spans="1:2" ht="15" customHeight="1" x14ac:dyDescent="0.3">
      <c r="A9971" t="s">
        <v>10025</v>
      </c>
      <c r="B9971">
        <f t="shared" si="1385"/>
        <v>15</v>
      </c>
    </row>
    <row r="9972" spans="1:2" ht="15" customHeight="1" x14ac:dyDescent="0.3">
      <c r="A9972" t="s">
        <v>10026</v>
      </c>
      <c r="B9972">
        <f t="shared" si="1385"/>
        <v>15</v>
      </c>
    </row>
    <row r="9973" spans="1:2" ht="15" customHeight="1" x14ac:dyDescent="0.3">
      <c r="A9973" s="33" t="s">
        <v>10027</v>
      </c>
      <c r="B9973">
        <f t="shared" si="1385"/>
        <v>12</v>
      </c>
    </row>
    <row r="9974" spans="1:2" ht="15" customHeight="1" x14ac:dyDescent="0.3">
      <c r="A9974" t="s">
        <v>10028</v>
      </c>
      <c r="B9974">
        <f t="shared" si="1385"/>
        <v>12</v>
      </c>
    </row>
    <row r="9975" spans="1:2" ht="15" customHeight="1" x14ac:dyDescent="0.3">
      <c r="A9975" t="s">
        <v>10029</v>
      </c>
      <c r="B9975">
        <f t="shared" si="1385"/>
        <v>15</v>
      </c>
    </row>
    <row r="9976" spans="1:2" ht="15" customHeight="1" x14ac:dyDescent="0.3">
      <c r="A9976" s="33" t="s">
        <v>10030</v>
      </c>
      <c r="B9976">
        <f t="shared" si="1385"/>
        <v>15</v>
      </c>
    </row>
    <row r="9977" spans="1:2" ht="15" customHeight="1" x14ac:dyDescent="0.3">
      <c r="A9977" t="s">
        <v>10031</v>
      </c>
      <c r="B9977">
        <f t="shared" si="1385"/>
        <v>15</v>
      </c>
    </row>
    <row r="9978" spans="1:2" ht="15" customHeight="1" x14ac:dyDescent="0.3">
      <c r="A9978" s="33" t="s">
        <v>10032</v>
      </c>
      <c r="B9978">
        <f t="shared" si="1385"/>
        <v>15</v>
      </c>
    </row>
    <row r="9979" spans="1:2" ht="15" customHeight="1" x14ac:dyDescent="0.3">
      <c r="A9979" t="s">
        <v>10033</v>
      </c>
      <c r="B9979">
        <f t="shared" si="1385"/>
        <v>12</v>
      </c>
    </row>
    <row r="9980" spans="1:2" ht="15" customHeight="1" x14ac:dyDescent="0.3">
      <c r="A9980" t="s">
        <v>10034</v>
      </c>
      <c r="B9980">
        <f t="shared" si="1385"/>
        <v>15</v>
      </c>
    </row>
    <row r="9981" spans="1:2" ht="15" customHeight="1" x14ac:dyDescent="0.3">
      <c r="A9981" s="33" t="s">
        <v>10035</v>
      </c>
      <c r="B9981">
        <f t="shared" si="1385"/>
        <v>15</v>
      </c>
    </row>
    <row r="9982" spans="1:2" ht="15" customHeight="1" x14ac:dyDescent="0.3">
      <c r="A9982" s="34" t="s">
        <v>10036</v>
      </c>
      <c r="B9982">
        <f t="shared" si="1385"/>
        <v>12</v>
      </c>
    </row>
    <row r="9983" spans="1:2" ht="15" customHeight="1" x14ac:dyDescent="0.3">
      <c r="A9983" s="34" t="s">
        <v>10037</v>
      </c>
      <c r="B9983">
        <f t="shared" si="1385"/>
        <v>12</v>
      </c>
    </row>
    <row r="9984" spans="1:2" ht="15" customHeight="1" x14ac:dyDescent="0.3">
      <c r="A9984" t="s">
        <v>10038</v>
      </c>
      <c r="B9984">
        <f t="shared" si="1385"/>
        <v>15</v>
      </c>
    </row>
    <row r="9985" spans="1:2" ht="15" customHeight="1" x14ac:dyDescent="0.3">
      <c r="A9985" s="33" t="s">
        <v>10039</v>
      </c>
      <c r="B9985">
        <f t="shared" si="1385"/>
        <v>15</v>
      </c>
    </row>
    <row r="9986" spans="1:2" ht="15" customHeight="1" x14ac:dyDescent="0.3">
      <c r="A9986" s="33" t="s">
        <v>10040</v>
      </c>
      <c r="B9986">
        <f t="shared" si="1385"/>
        <v>15</v>
      </c>
    </row>
    <row r="9987" spans="1:2" ht="15" customHeight="1" x14ac:dyDescent="0.3">
      <c r="A9987" s="33" t="s">
        <v>10041</v>
      </c>
      <c r="B9987">
        <f t="shared" si="1385"/>
        <v>15</v>
      </c>
    </row>
    <row r="9988" spans="1:2" ht="15" customHeight="1" x14ac:dyDescent="0.3">
      <c r="A9988" t="s">
        <v>10042</v>
      </c>
      <c r="B9988">
        <f t="shared" si="1385"/>
        <v>15</v>
      </c>
    </row>
    <row r="9989" spans="1:2" ht="15" customHeight="1" x14ac:dyDescent="0.3">
      <c r="A9989" t="s">
        <v>10043</v>
      </c>
      <c r="B9989">
        <f t="shared" si="1385"/>
        <v>12</v>
      </c>
    </row>
    <row r="9990" spans="1:2" ht="15" customHeight="1" x14ac:dyDescent="0.3">
      <c r="A9990" t="s">
        <v>10044</v>
      </c>
      <c r="B9990">
        <f t="shared" si="1385"/>
        <v>15</v>
      </c>
    </row>
    <row r="9991" spans="1:2" ht="15" customHeight="1" x14ac:dyDescent="0.3">
      <c r="A9991" s="33" t="s">
        <v>10045</v>
      </c>
      <c r="B9991">
        <f t="shared" si="1385"/>
        <v>12</v>
      </c>
    </row>
    <row r="9992" spans="1:2" ht="15" customHeight="1" x14ac:dyDescent="0.3">
      <c r="A9992" s="33" t="s">
        <v>10046</v>
      </c>
      <c r="B9992">
        <f t="shared" si="1385"/>
        <v>15</v>
      </c>
    </row>
    <row r="9993" spans="1:2" ht="15" customHeight="1" x14ac:dyDescent="0.3">
      <c r="A9993" t="s">
        <v>10047</v>
      </c>
      <c r="B9993" t="e">
        <f t="shared" si="1385"/>
        <v>#REF!</v>
      </c>
    </row>
    <row r="9994" spans="1:2" ht="15" customHeight="1" x14ac:dyDescent="0.3">
      <c r="A9994" s="34" t="s">
        <v>10048</v>
      </c>
      <c r="B9994">
        <f t="shared" si="1385"/>
        <v>15</v>
      </c>
    </row>
    <row r="9995" spans="1:2" ht="15" customHeight="1" x14ac:dyDescent="0.3">
      <c r="A9995" s="34" t="s">
        <v>10049</v>
      </c>
      <c r="B9995">
        <f t="shared" si="1385"/>
        <v>15</v>
      </c>
    </row>
    <row r="9996" spans="1:2" ht="15" customHeight="1" x14ac:dyDescent="0.3">
      <c r="A9996" t="s">
        <v>10050</v>
      </c>
      <c r="B9996">
        <f t="shared" si="1385"/>
        <v>12</v>
      </c>
    </row>
    <row r="9997" spans="1:2" ht="15" customHeight="1" x14ac:dyDescent="0.3">
      <c r="A9997" t="s">
        <v>10051</v>
      </c>
      <c r="B9997">
        <f t="shared" si="1385"/>
        <v>12</v>
      </c>
    </row>
    <row r="9998" spans="1:2" ht="15" customHeight="1" x14ac:dyDescent="0.3">
      <c r="A9998" t="s">
        <v>10052</v>
      </c>
      <c r="B9998">
        <f t="shared" si="1385"/>
        <v>12</v>
      </c>
    </row>
    <row r="9999" spans="1:2" ht="15" customHeight="1" x14ac:dyDescent="0.3">
      <c r="A9999" t="s">
        <v>10053</v>
      </c>
      <c r="B9999">
        <f t="shared" si="1385"/>
        <v>15</v>
      </c>
    </row>
    <row r="10000" spans="1:2" ht="15" customHeight="1" x14ac:dyDescent="0.3">
      <c r="A10000" t="s">
        <v>10054</v>
      </c>
      <c r="B10000">
        <f t="shared" si="1385"/>
        <v>15</v>
      </c>
    </row>
    <row r="10001" spans="1:2" ht="15" customHeight="1" x14ac:dyDescent="0.3">
      <c r="A10001" t="s">
        <v>10055</v>
      </c>
      <c r="B10001">
        <f t="shared" ref="B10001:B10019" si="1386">B7543</f>
        <v>15</v>
      </c>
    </row>
    <row r="10002" spans="1:2" ht="15" customHeight="1" x14ac:dyDescent="0.3">
      <c r="A10002" t="s">
        <v>10056</v>
      </c>
      <c r="B10002">
        <f t="shared" si="1386"/>
        <v>15</v>
      </c>
    </row>
    <row r="10003" spans="1:2" ht="15" customHeight="1" x14ac:dyDescent="0.3">
      <c r="A10003" t="s">
        <v>10057</v>
      </c>
      <c r="B10003">
        <f t="shared" si="1386"/>
        <v>15</v>
      </c>
    </row>
    <row r="10004" spans="1:2" ht="15" customHeight="1" x14ac:dyDescent="0.3">
      <c r="A10004" t="s">
        <v>10058</v>
      </c>
      <c r="B10004">
        <f t="shared" si="1386"/>
        <v>12</v>
      </c>
    </row>
    <row r="10005" spans="1:2" ht="15" customHeight="1" x14ac:dyDescent="0.3">
      <c r="A10005" t="s">
        <v>10059</v>
      </c>
      <c r="B10005">
        <f t="shared" si="1386"/>
        <v>15</v>
      </c>
    </row>
    <row r="10006" spans="1:2" ht="15" customHeight="1" x14ac:dyDescent="0.3">
      <c r="A10006" s="33" t="s">
        <v>10060</v>
      </c>
      <c r="B10006">
        <f t="shared" si="1386"/>
        <v>15</v>
      </c>
    </row>
    <row r="10007" spans="1:2" ht="15" customHeight="1" x14ac:dyDescent="0.3">
      <c r="A10007" s="33" t="s">
        <v>10061</v>
      </c>
      <c r="B10007">
        <f t="shared" si="1386"/>
        <v>15</v>
      </c>
    </row>
    <row r="10008" spans="1:2" ht="15" customHeight="1" x14ac:dyDescent="0.3">
      <c r="A10008" s="33" t="s">
        <v>10062</v>
      </c>
      <c r="B10008">
        <f t="shared" si="1386"/>
        <v>15</v>
      </c>
    </row>
    <row r="10009" spans="1:2" ht="15" customHeight="1" x14ac:dyDescent="0.3">
      <c r="A10009" s="33" t="s">
        <v>10063</v>
      </c>
      <c r="B10009">
        <f t="shared" si="1386"/>
        <v>15</v>
      </c>
    </row>
    <row r="10010" spans="1:2" ht="15" customHeight="1" x14ac:dyDescent="0.3">
      <c r="A10010" s="33" t="s">
        <v>10064</v>
      </c>
      <c r="B10010">
        <f t="shared" si="1386"/>
        <v>15</v>
      </c>
    </row>
    <row r="10011" spans="1:2" ht="15" customHeight="1" x14ac:dyDescent="0.3">
      <c r="A10011" t="s">
        <v>10065</v>
      </c>
      <c r="B10011">
        <f t="shared" si="1386"/>
        <v>12</v>
      </c>
    </row>
    <row r="10012" spans="1:2" ht="15" customHeight="1" x14ac:dyDescent="0.3">
      <c r="A10012" t="s">
        <v>10066</v>
      </c>
      <c r="B10012">
        <f t="shared" si="1386"/>
        <v>12</v>
      </c>
    </row>
    <row r="10013" spans="1:2" ht="15" customHeight="1" x14ac:dyDescent="0.3">
      <c r="A10013" s="33" t="s">
        <v>10067</v>
      </c>
      <c r="B10013">
        <f t="shared" si="1386"/>
        <v>12</v>
      </c>
    </row>
    <row r="10014" spans="1:2" ht="15" customHeight="1" x14ac:dyDescent="0.3">
      <c r="A10014" s="33" t="s">
        <v>10068</v>
      </c>
      <c r="B10014">
        <f t="shared" si="1386"/>
        <v>12</v>
      </c>
    </row>
    <row r="10015" spans="1:2" ht="15" customHeight="1" x14ac:dyDescent="0.3">
      <c r="A10015" s="33" t="s">
        <v>10069</v>
      </c>
      <c r="B10015">
        <f t="shared" si="1386"/>
        <v>12</v>
      </c>
    </row>
    <row r="10016" spans="1:2" ht="15" customHeight="1" x14ac:dyDescent="0.3">
      <c r="A10016" s="33" t="s">
        <v>10070</v>
      </c>
      <c r="B10016">
        <f t="shared" si="1386"/>
        <v>12</v>
      </c>
    </row>
    <row r="10017" spans="1:2" ht="15" customHeight="1" x14ac:dyDescent="0.3">
      <c r="A10017" t="s">
        <v>10071</v>
      </c>
      <c r="B10017">
        <f t="shared" si="1386"/>
        <v>12</v>
      </c>
    </row>
    <row r="10018" spans="1:2" ht="15" customHeight="1" x14ac:dyDescent="0.3">
      <c r="A10018" t="s">
        <v>10072</v>
      </c>
      <c r="B10018">
        <f t="shared" si="1386"/>
        <v>15</v>
      </c>
    </row>
    <row r="10019" spans="1:2" ht="15" customHeight="1" x14ac:dyDescent="0.3">
      <c r="A10019" t="s">
        <v>10073</v>
      </c>
      <c r="B10019">
        <f t="shared" si="1386"/>
        <v>15</v>
      </c>
    </row>
    <row r="10020" spans="1:2" ht="15" customHeight="1" x14ac:dyDescent="0.3">
      <c r="A10020" t="s">
        <v>10074</v>
      </c>
      <c r="B10020">
        <f t="shared" ref="B10020:B10057" si="1387">B7480</f>
        <v>15</v>
      </c>
    </row>
    <row r="10021" spans="1:2" ht="15" customHeight="1" x14ac:dyDescent="0.3">
      <c r="A10021" t="s">
        <v>10075</v>
      </c>
      <c r="B10021">
        <f t="shared" si="1387"/>
        <v>15</v>
      </c>
    </row>
    <row r="10022" spans="1:2" ht="15" customHeight="1" x14ac:dyDescent="0.3">
      <c r="A10022" t="s">
        <v>10076</v>
      </c>
      <c r="B10022">
        <f t="shared" si="1387"/>
        <v>15</v>
      </c>
    </row>
    <row r="10023" spans="1:2" ht="15" customHeight="1" x14ac:dyDescent="0.3">
      <c r="A10023" s="33" t="s">
        <v>10077</v>
      </c>
      <c r="B10023">
        <f t="shared" si="1387"/>
        <v>12</v>
      </c>
    </row>
    <row r="10024" spans="1:2" ht="15" customHeight="1" x14ac:dyDescent="0.3">
      <c r="A10024" s="33" t="s">
        <v>10078</v>
      </c>
      <c r="B10024">
        <f t="shared" si="1387"/>
        <v>12</v>
      </c>
    </row>
    <row r="10025" spans="1:2" ht="15" customHeight="1" x14ac:dyDescent="0.3">
      <c r="A10025" t="s">
        <v>10079</v>
      </c>
      <c r="B10025">
        <f t="shared" si="1387"/>
        <v>15</v>
      </c>
    </row>
    <row r="10026" spans="1:2" ht="15" customHeight="1" x14ac:dyDescent="0.3">
      <c r="A10026" t="s">
        <v>10080</v>
      </c>
      <c r="B10026">
        <f t="shared" si="1387"/>
        <v>15</v>
      </c>
    </row>
    <row r="10027" spans="1:2" ht="15" customHeight="1" x14ac:dyDescent="0.3">
      <c r="A10027" s="33" t="s">
        <v>10081</v>
      </c>
      <c r="B10027">
        <f t="shared" si="1387"/>
        <v>15</v>
      </c>
    </row>
    <row r="10028" spans="1:2" ht="15" customHeight="1" x14ac:dyDescent="0.3">
      <c r="A10028" s="33" t="s">
        <v>10082</v>
      </c>
      <c r="B10028">
        <f t="shared" si="1387"/>
        <v>15</v>
      </c>
    </row>
    <row r="10029" spans="1:2" ht="15" customHeight="1" x14ac:dyDescent="0.3">
      <c r="A10029" t="s">
        <v>10083</v>
      </c>
      <c r="B10029">
        <f t="shared" si="1387"/>
        <v>0</v>
      </c>
    </row>
    <row r="10030" spans="1:2" ht="15" customHeight="1" x14ac:dyDescent="0.3">
      <c r="A10030" t="s">
        <v>10084</v>
      </c>
      <c r="B10030">
        <f t="shared" si="1387"/>
        <v>15</v>
      </c>
    </row>
    <row r="10031" spans="1:2" ht="15" customHeight="1" x14ac:dyDescent="0.3">
      <c r="A10031" t="s">
        <v>10085</v>
      </c>
      <c r="B10031">
        <f t="shared" si="1387"/>
        <v>15</v>
      </c>
    </row>
    <row r="10032" spans="1:2" ht="15" customHeight="1" x14ac:dyDescent="0.3">
      <c r="A10032" t="s">
        <v>10086</v>
      </c>
      <c r="B10032">
        <f t="shared" si="1387"/>
        <v>15</v>
      </c>
    </row>
    <row r="10033" spans="1:2" ht="15" customHeight="1" x14ac:dyDescent="0.3">
      <c r="A10033" t="s">
        <v>10087</v>
      </c>
      <c r="B10033">
        <f t="shared" si="1387"/>
        <v>15</v>
      </c>
    </row>
    <row r="10034" spans="1:2" ht="15" customHeight="1" x14ac:dyDescent="0.3">
      <c r="A10034" t="s">
        <v>10088</v>
      </c>
      <c r="B10034">
        <f t="shared" si="1387"/>
        <v>15</v>
      </c>
    </row>
    <row r="10035" spans="1:2" ht="15" customHeight="1" x14ac:dyDescent="0.3">
      <c r="A10035" t="s">
        <v>10089</v>
      </c>
      <c r="B10035">
        <f t="shared" si="1387"/>
        <v>15</v>
      </c>
    </row>
    <row r="10036" spans="1:2" ht="15" customHeight="1" x14ac:dyDescent="0.3">
      <c r="A10036" t="s">
        <v>10090</v>
      </c>
      <c r="B10036">
        <f t="shared" si="1387"/>
        <v>15</v>
      </c>
    </row>
    <row r="10037" spans="1:2" ht="15" customHeight="1" x14ac:dyDescent="0.3">
      <c r="A10037" t="s">
        <v>10091</v>
      </c>
      <c r="B10037">
        <f t="shared" si="1387"/>
        <v>12</v>
      </c>
    </row>
    <row r="10038" spans="1:2" ht="15" customHeight="1" x14ac:dyDescent="0.3">
      <c r="A10038" t="s">
        <v>10092</v>
      </c>
      <c r="B10038">
        <f t="shared" si="1387"/>
        <v>12</v>
      </c>
    </row>
    <row r="10039" spans="1:2" ht="15" customHeight="1" x14ac:dyDescent="0.3">
      <c r="A10039" t="s">
        <v>10093</v>
      </c>
      <c r="B10039">
        <f t="shared" si="1387"/>
        <v>12</v>
      </c>
    </row>
    <row r="10040" spans="1:2" ht="15" customHeight="1" x14ac:dyDescent="0.3">
      <c r="A10040" s="33" t="s">
        <v>10094</v>
      </c>
      <c r="B10040">
        <f t="shared" si="1387"/>
        <v>15</v>
      </c>
    </row>
    <row r="10041" spans="1:2" ht="15" customHeight="1" x14ac:dyDescent="0.3">
      <c r="A10041" s="33" t="s">
        <v>10095</v>
      </c>
      <c r="B10041">
        <f t="shared" si="1387"/>
        <v>15</v>
      </c>
    </row>
    <row r="10042" spans="1:2" ht="15" customHeight="1" x14ac:dyDescent="0.3">
      <c r="A10042" s="33" t="s">
        <v>10096</v>
      </c>
      <c r="B10042">
        <f t="shared" si="1387"/>
        <v>15</v>
      </c>
    </row>
    <row r="10043" spans="1:2" ht="15" customHeight="1" x14ac:dyDescent="0.3">
      <c r="A10043" s="33" t="s">
        <v>10097</v>
      </c>
      <c r="B10043">
        <f t="shared" si="1387"/>
        <v>15</v>
      </c>
    </row>
    <row r="10044" spans="1:2" ht="15" customHeight="1" x14ac:dyDescent="0.3">
      <c r="A10044" s="33" t="s">
        <v>10098</v>
      </c>
      <c r="B10044">
        <f t="shared" si="1387"/>
        <v>15</v>
      </c>
    </row>
    <row r="10045" spans="1:2" ht="15" customHeight="1" x14ac:dyDescent="0.3">
      <c r="A10045" t="s">
        <v>10099</v>
      </c>
      <c r="B10045">
        <f t="shared" si="1387"/>
        <v>12</v>
      </c>
    </row>
    <row r="10046" spans="1:2" ht="15" customHeight="1" x14ac:dyDescent="0.3">
      <c r="A10046" t="s">
        <v>10100</v>
      </c>
      <c r="B10046">
        <f t="shared" si="1387"/>
        <v>15</v>
      </c>
    </row>
    <row r="10047" spans="1:2" ht="15" customHeight="1" x14ac:dyDescent="0.3">
      <c r="A10047" t="s">
        <v>10101</v>
      </c>
      <c r="B10047">
        <f t="shared" si="1387"/>
        <v>15</v>
      </c>
    </row>
    <row r="10048" spans="1:2" ht="15" customHeight="1" x14ac:dyDescent="0.3">
      <c r="A10048" s="33" t="s">
        <v>10102</v>
      </c>
      <c r="B10048">
        <f t="shared" si="1387"/>
        <v>15</v>
      </c>
    </row>
    <row r="10049" spans="1:2" ht="15" customHeight="1" x14ac:dyDescent="0.3">
      <c r="A10049" s="33" t="s">
        <v>10103</v>
      </c>
      <c r="B10049">
        <f t="shared" si="1387"/>
        <v>15</v>
      </c>
    </row>
    <row r="10050" spans="1:2" ht="15" customHeight="1" x14ac:dyDescent="0.3">
      <c r="A10050" s="33" t="s">
        <v>10104</v>
      </c>
      <c r="B10050">
        <f t="shared" si="1387"/>
        <v>15</v>
      </c>
    </row>
    <row r="10051" spans="1:2" ht="15" customHeight="1" x14ac:dyDescent="0.3">
      <c r="A10051" t="s">
        <v>10105</v>
      </c>
      <c r="B10051">
        <f t="shared" si="1387"/>
        <v>12</v>
      </c>
    </row>
    <row r="10052" spans="1:2" ht="15" customHeight="1" x14ac:dyDescent="0.3">
      <c r="A10052" t="s">
        <v>10106</v>
      </c>
      <c r="B10052">
        <f t="shared" si="1387"/>
        <v>15</v>
      </c>
    </row>
    <row r="10053" spans="1:2" ht="15" customHeight="1" x14ac:dyDescent="0.3">
      <c r="A10053" t="s">
        <v>10107</v>
      </c>
      <c r="B10053">
        <f t="shared" si="1387"/>
        <v>15</v>
      </c>
    </row>
    <row r="10054" spans="1:2" ht="15" customHeight="1" x14ac:dyDescent="0.3">
      <c r="A10054" t="s">
        <v>10108</v>
      </c>
      <c r="B10054">
        <f t="shared" si="1387"/>
        <v>15</v>
      </c>
    </row>
    <row r="10055" spans="1:2" ht="15" customHeight="1" x14ac:dyDescent="0.3">
      <c r="A10055" s="33" t="s">
        <v>10109</v>
      </c>
      <c r="B10055">
        <f t="shared" si="1387"/>
        <v>12</v>
      </c>
    </row>
    <row r="10056" spans="1:2" ht="15" customHeight="1" x14ac:dyDescent="0.3">
      <c r="A10056" t="s">
        <v>10110</v>
      </c>
      <c r="B10056">
        <f t="shared" si="1387"/>
        <v>12</v>
      </c>
    </row>
    <row r="10057" spans="1:2" ht="15" customHeight="1" x14ac:dyDescent="0.3">
      <c r="A10057" t="s">
        <v>10111</v>
      </c>
      <c r="B10057">
        <f t="shared" si="1387"/>
        <v>15</v>
      </c>
    </row>
    <row r="10058" spans="1:2" ht="15" customHeight="1" x14ac:dyDescent="0.3">
      <c r="A10058" s="33" t="s">
        <v>10112</v>
      </c>
      <c r="B10058">
        <f>B9976</f>
        <v>15</v>
      </c>
    </row>
    <row r="10059" spans="1:2" ht="15" customHeight="1" x14ac:dyDescent="0.3">
      <c r="A10059" t="s">
        <v>10113</v>
      </c>
      <c r="B10059">
        <f t="shared" ref="B10059:B10081" si="1388">B7519</f>
        <v>15</v>
      </c>
    </row>
    <row r="10060" spans="1:2" ht="15" customHeight="1" x14ac:dyDescent="0.3">
      <c r="A10060" s="33" t="s">
        <v>10114</v>
      </c>
      <c r="B10060">
        <f t="shared" si="1388"/>
        <v>15</v>
      </c>
    </row>
    <row r="10061" spans="1:2" ht="15" customHeight="1" x14ac:dyDescent="0.3">
      <c r="A10061" t="s">
        <v>10115</v>
      </c>
      <c r="B10061">
        <f t="shared" si="1388"/>
        <v>12</v>
      </c>
    </row>
    <row r="10062" spans="1:2" ht="15" customHeight="1" x14ac:dyDescent="0.3">
      <c r="A10062" t="s">
        <v>10116</v>
      </c>
      <c r="B10062">
        <f t="shared" si="1388"/>
        <v>15</v>
      </c>
    </row>
    <row r="10063" spans="1:2" ht="15" customHeight="1" x14ac:dyDescent="0.3">
      <c r="A10063" s="33" t="s">
        <v>10117</v>
      </c>
      <c r="B10063">
        <f t="shared" si="1388"/>
        <v>15</v>
      </c>
    </row>
    <row r="10064" spans="1:2" ht="15" customHeight="1" x14ac:dyDescent="0.3">
      <c r="A10064" s="33" t="s">
        <v>10118</v>
      </c>
      <c r="B10064">
        <f t="shared" si="1388"/>
        <v>12</v>
      </c>
    </row>
    <row r="10065" spans="1:2" ht="15" customHeight="1" x14ac:dyDescent="0.3">
      <c r="A10065" s="33" t="s">
        <v>10119</v>
      </c>
      <c r="B10065">
        <f t="shared" si="1388"/>
        <v>12</v>
      </c>
    </row>
    <row r="10066" spans="1:2" ht="15" customHeight="1" x14ac:dyDescent="0.3">
      <c r="A10066" t="s">
        <v>10120</v>
      </c>
      <c r="B10066">
        <f t="shared" si="1388"/>
        <v>15</v>
      </c>
    </row>
    <row r="10067" spans="1:2" ht="15" customHeight="1" x14ac:dyDescent="0.3">
      <c r="A10067" s="33" t="s">
        <v>10121</v>
      </c>
      <c r="B10067">
        <f t="shared" si="1388"/>
        <v>15</v>
      </c>
    </row>
    <row r="10068" spans="1:2" ht="15" customHeight="1" x14ac:dyDescent="0.3">
      <c r="A10068" s="33" t="s">
        <v>10122</v>
      </c>
      <c r="B10068">
        <f t="shared" si="1388"/>
        <v>15</v>
      </c>
    </row>
    <row r="10069" spans="1:2" ht="15" customHeight="1" x14ac:dyDescent="0.3">
      <c r="A10069" s="33" t="s">
        <v>10123</v>
      </c>
      <c r="B10069">
        <f t="shared" si="1388"/>
        <v>15</v>
      </c>
    </row>
    <row r="10070" spans="1:2" ht="15" customHeight="1" x14ac:dyDescent="0.3">
      <c r="A10070" t="s">
        <v>10124</v>
      </c>
      <c r="B10070">
        <f t="shared" si="1388"/>
        <v>15</v>
      </c>
    </row>
    <row r="10071" spans="1:2" ht="15" customHeight="1" x14ac:dyDescent="0.3">
      <c r="A10071" t="s">
        <v>10125</v>
      </c>
      <c r="B10071">
        <f t="shared" si="1388"/>
        <v>12</v>
      </c>
    </row>
    <row r="10072" spans="1:2" ht="15" customHeight="1" x14ac:dyDescent="0.3">
      <c r="A10072" t="s">
        <v>10126</v>
      </c>
      <c r="B10072">
        <f t="shared" si="1388"/>
        <v>15</v>
      </c>
    </row>
    <row r="10073" spans="1:2" ht="15" customHeight="1" x14ac:dyDescent="0.3">
      <c r="A10073" s="33" t="s">
        <v>10127</v>
      </c>
      <c r="B10073">
        <f t="shared" si="1388"/>
        <v>12</v>
      </c>
    </row>
    <row r="10074" spans="1:2" ht="15" customHeight="1" x14ac:dyDescent="0.3">
      <c r="A10074" s="33" t="s">
        <v>10128</v>
      </c>
      <c r="B10074">
        <f t="shared" si="1388"/>
        <v>15</v>
      </c>
    </row>
    <row r="10075" spans="1:2" ht="15" customHeight="1" x14ac:dyDescent="0.3">
      <c r="A10075" t="s">
        <v>10129</v>
      </c>
      <c r="B10075" t="e">
        <f t="shared" si="1388"/>
        <v>#REF!</v>
      </c>
    </row>
    <row r="10076" spans="1:2" ht="15" customHeight="1" x14ac:dyDescent="0.3">
      <c r="A10076" s="33" t="s">
        <v>10130</v>
      </c>
      <c r="B10076">
        <f t="shared" si="1388"/>
        <v>15</v>
      </c>
    </row>
    <row r="10077" spans="1:2" ht="15" customHeight="1" x14ac:dyDescent="0.3">
      <c r="A10077" s="33" t="s">
        <v>10131</v>
      </c>
      <c r="B10077">
        <f t="shared" si="1388"/>
        <v>15</v>
      </c>
    </row>
    <row r="10078" spans="1:2" ht="15" customHeight="1" x14ac:dyDescent="0.3">
      <c r="A10078" t="s">
        <v>10132</v>
      </c>
      <c r="B10078">
        <f t="shared" si="1388"/>
        <v>12</v>
      </c>
    </row>
    <row r="10079" spans="1:2" ht="15" customHeight="1" x14ac:dyDescent="0.3">
      <c r="A10079" t="s">
        <v>10133</v>
      </c>
      <c r="B10079">
        <f t="shared" si="1388"/>
        <v>12</v>
      </c>
    </row>
    <row r="10080" spans="1:2" ht="15" customHeight="1" x14ac:dyDescent="0.3">
      <c r="A10080" t="s">
        <v>10134</v>
      </c>
      <c r="B10080">
        <f t="shared" si="1388"/>
        <v>12</v>
      </c>
    </row>
    <row r="10081" spans="1:2" ht="15" customHeight="1" x14ac:dyDescent="0.3">
      <c r="A10081" t="s">
        <v>10135</v>
      </c>
      <c r="B10081">
        <f t="shared" si="1388"/>
        <v>15</v>
      </c>
    </row>
    <row r="10082" spans="1:2" ht="15" customHeight="1" x14ac:dyDescent="0.3">
      <c r="A10082" t="s">
        <v>10136</v>
      </c>
      <c r="B10082">
        <f t="shared" ref="B10082:B10097" si="1389">B7546</f>
        <v>12</v>
      </c>
    </row>
    <row r="10083" spans="1:2" ht="15" customHeight="1" x14ac:dyDescent="0.3">
      <c r="A10083" t="s">
        <v>10137</v>
      </c>
      <c r="B10083">
        <f t="shared" si="1389"/>
        <v>15</v>
      </c>
    </row>
    <row r="10084" spans="1:2" ht="15" customHeight="1" x14ac:dyDescent="0.3">
      <c r="A10084" s="33" t="s">
        <v>10138</v>
      </c>
      <c r="B10084">
        <f t="shared" si="1389"/>
        <v>15</v>
      </c>
    </row>
    <row r="10085" spans="1:2" ht="15" customHeight="1" x14ac:dyDescent="0.3">
      <c r="A10085" s="33" t="s">
        <v>10139</v>
      </c>
      <c r="B10085">
        <f t="shared" si="1389"/>
        <v>15</v>
      </c>
    </row>
    <row r="10086" spans="1:2" ht="15" customHeight="1" x14ac:dyDescent="0.3">
      <c r="A10086" s="33" t="s">
        <v>10140</v>
      </c>
      <c r="B10086">
        <f t="shared" si="1389"/>
        <v>15</v>
      </c>
    </row>
    <row r="10087" spans="1:2" ht="15" customHeight="1" x14ac:dyDescent="0.3">
      <c r="A10087" s="33" t="s">
        <v>10141</v>
      </c>
      <c r="B10087">
        <f t="shared" si="1389"/>
        <v>15</v>
      </c>
    </row>
    <row r="10088" spans="1:2" ht="15" customHeight="1" x14ac:dyDescent="0.3">
      <c r="A10088" s="33" t="s">
        <v>10142</v>
      </c>
      <c r="B10088">
        <f t="shared" si="1389"/>
        <v>15</v>
      </c>
    </row>
    <row r="10089" spans="1:2" ht="15" customHeight="1" x14ac:dyDescent="0.3">
      <c r="A10089" t="s">
        <v>10143</v>
      </c>
      <c r="B10089">
        <f t="shared" si="1389"/>
        <v>12</v>
      </c>
    </row>
    <row r="10090" spans="1:2" ht="15" customHeight="1" x14ac:dyDescent="0.3">
      <c r="A10090" t="s">
        <v>10144</v>
      </c>
      <c r="B10090">
        <f t="shared" si="1389"/>
        <v>12</v>
      </c>
    </row>
    <row r="10091" spans="1:2" ht="15" customHeight="1" x14ac:dyDescent="0.3">
      <c r="A10091" s="33" t="s">
        <v>10145</v>
      </c>
      <c r="B10091">
        <f t="shared" si="1389"/>
        <v>12</v>
      </c>
    </row>
    <row r="10092" spans="1:2" ht="15" customHeight="1" x14ac:dyDescent="0.3">
      <c r="A10092" s="33" t="s">
        <v>10146</v>
      </c>
      <c r="B10092">
        <f t="shared" si="1389"/>
        <v>12</v>
      </c>
    </row>
    <row r="10093" spans="1:2" ht="15" customHeight="1" x14ac:dyDescent="0.3">
      <c r="A10093" s="33" t="s">
        <v>10147</v>
      </c>
      <c r="B10093">
        <f t="shared" si="1389"/>
        <v>12</v>
      </c>
    </row>
    <row r="10094" spans="1:2" ht="15" customHeight="1" x14ac:dyDescent="0.3">
      <c r="A10094" s="33" t="s">
        <v>10148</v>
      </c>
      <c r="B10094">
        <f t="shared" si="1389"/>
        <v>12</v>
      </c>
    </row>
    <row r="10095" spans="1:2" ht="15" customHeight="1" x14ac:dyDescent="0.3">
      <c r="A10095" t="s">
        <v>10149</v>
      </c>
      <c r="B10095">
        <f t="shared" si="1389"/>
        <v>12</v>
      </c>
    </row>
    <row r="10096" spans="1:2" ht="15" customHeight="1" x14ac:dyDescent="0.3">
      <c r="A10096" t="s">
        <v>10150</v>
      </c>
      <c r="B10096">
        <f t="shared" si="1389"/>
        <v>15</v>
      </c>
    </row>
    <row r="10097" spans="1:2" ht="15" customHeight="1" x14ac:dyDescent="0.3">
      <c r="A10097" t="s">
        <v>10151</v>
      </c>
      <c r="B10097">
        <f t="shared" si="1389"/>
        <v>15</v>
      </c>
    </row>
    <row r="10098" spans="1:2" ht="15" customHeight="1" x14ac:dyDescent="0.3">
      <c r="A10098" t="s">
        <v>3944</v>
      </c>
      <c r="B10098">
        <f t="shared" ref="B10098:B10123" si="1390">B4472</f>
        <v>0</v>
      </c>
    </row>
    <row r="10099" spans="1:2" ht="15" customHeight="1" x14ac:dyDescent="0.3">
      <c r="A10099" s="33" t="s">
        <v>3945</v>
      </c>
      <c r="B10099">
        <f t="shared" si="1390"/>
        <v>4</v>
      </c>
    </row>
    <row r="10100" spans="1:2" ht="15" customHeight="1" x14ac:dyDescent="0.3">
      <c r="A10100" t="s">
        <v>3946</v>
      </c>
      <c r="B10100">
        <f t="shared" si="1390"/>
        <v>0</v>
      </c>
    </row>
    <row r="10101" spans="1:2" ht="15" customHeight="1" x14ac:dyDescent="0.3">
      <c r="A10101" s="33" t="s">
        <v>3947</v>
      </c>
      <c r="B10101">
        <f t="shared" si="1390"/>
        <v>4</v>
      </c>
    </row>
    <row r="10102" spans="1:2" ht="15" customHeight="1" x14ac:dyDescent="0.3">
      <c r="A10102" s="33" t="s">
        <v>3948</v>
      </c>
      <c r="B10102">
        <f t="shared" si="1390"/>
        <v>4</v>
      </c>
    </row>
    <row r="10103" spans="1:2" ht="15" customHeight="1" x14ac:dyDescent="0.3">
      <c r="A10103" s="33" t="s">
        <v>3949</v>
      </c>
      <c r="B10103">
        <f t="shared" si="1390"/>
        <v>4</v>
      </c>
    </row>
    <row r="10104" spans="1:2" ht="15" customHeight="1" x14ac:dyDescent="0.3">
      <c r="A10104" s="33" t="s">
        <v>3950</v>
      </c>
      <c r="B10104">
        <f t="shared" si="1390"/>
        <v>4</v>
      </c>
    </row>
    <row r="10105" spans="1:2" ht="15" customHeight="1" x14ac:dyDescent="0.3">
      <c r="A10105" s="33" t="s">
        <v>3951</v>
      </c>
      <c r="B10105">
        <f t="shared" si="1390"/>
        <v>4</v>
      </c>
    </row>
    <row r="10106" spans="1:2" ht="15" customHeight="1" x14ac:dyDescent="0.3">
      <c r="A10106" s="33" t="s">
        <v>3952</v>
      </c>
      <c r="B10106">
        <f t="shared" si="1390"/>
        <v>4</v>
      </c>
    </row>
    <row r="10107" spans="1:2" ht="15" customHeight="1" x14ac:dyDescent="0.3">
      <c r="A10107" s="33" t="s">
        <v>3953</v>
      </c>
      <c r="B10107">
        <f t="shared" si="1390"/>
        <v>4</v>
      </c>
    </row>
    <row r="10108" spans="1:2" ht="15" customHeight="1" x14ac:dyDescent="0.3">
      <c r="A10108" s="33" t="s">
        <v>3954</v>
      </c>
      <c r="B10108">
        <f t="shared" si="1390"/>
        <v>4</v>
      </c>
    </row>
    <row r="10109" spans="1:2" ht="15" customHeight="1" x14ac:dyDescent="0.3">
      <c r="A10109" s="33" t="s">
        <v>3955</v>
      </c>
      <c r="B10109">
        <f t="shared" si="1390"/>
        <v>0</v>
      </c>
    </row>
    <row r="10110" spans="1:2" ht="15" customHeight="1" x14ac:dyDescent="0.3">
      <c r="A10110" s="33" t="s">
        <v>3956</v>
      </c>
      <c r="B10110">
        <f t="shared" si="1390"/>
        <v>4</v>
      </c>
    </row>
    <row r="10111" spans="1:2" ht="15" customHeight="1" x14ac:dyDescent="0.3">
      <c r="A10111" s="33" t="s">
        <v>3957</v>
      </c>
      <c r="B10111">
        <f t="shared" si="1390"/>
        <v>4</v>
      </c>
    </row>
    <row r="10112" spans="1:2" ht="15" customHeight="1" x14ac:dyDescent="0.3">
      <c r="A10112" s="33" t="s">
        <v>3958</v>
      </c>
      <c r="B10112">
        <f t="shared" si="1390"/>
        <v>4</v>
      </c>
    </row>
    <row r="10113" spans="1:2" ht="15" customHeight="1" x14ac:dyDescent="0.3">
      <c r="A10113" s="33" t="s">
        <v>3959</v>
      </c>
      <c r="B10113">
        <f t="shared" si="1390"/>
        <v>4</v>
      </c>
    </row>
    <row r="10114" spans="1:2" ht="15" customHeight="1" x14ac:dyDescent="0.3">
      <c r="A10114" s="33" t="s">
        <v>3960</v>
      </c>
      <c r="B10114">
        <f t="shared" si="1390"/>
        <v>4</v>
      </c>
    </row>
    <row r="10115" spans="1:2" ht="15" customHeight="1" x14ac:dyDescent="0.3">
      <c r="A10115" s="33" t="s">
        <v>3961</v>
      </c>
      <c r="B10115">
        <f t="shared" si="1390"/>
        <v>4</v>
      </c>
    </row>
    <row r="10116" spans="1:2" ht="15" customHeight="1" x14ac:dyDescent="0.3">
      <c r="A10116" s="33" t="s">
        <v>3962</v>
      </c>
      <c r="B10116">
        <f t="shared" si="1390"/>
        <v>4</v>
      </c>
    </row>
    <row r="10117" spans="1:2" ht="15" customHeight="1" x14ac:dyDescent="0.3">
      <c r="A10117" s="33" t="s">
        <v>3963</v>
      </c>
      <c r="B10117">
        <f t="shared" si="1390"/>
        <v>4</v>
      </c>
    </row>
    <row r="10118" spans="1:2" ht="15" customHeight="1" x14ac:dyDescent="0.3">
      <c r="A10118" s="33" t="s">
        <v>3964</v>
      </c>
      <c r="B10118">
        <f t="shared" si="1390"/>
        <v>4</v>
      </c>
    </row>
    <row r="10119" spans="1:2" ht="15" customHeight="1" x14ac:dyDescent="0.3">
      <c r="A10119" s="33" t="s">
        <v>3965</v>
      </c>
      <c r="B10119">
        <f t="shared" si="1390"/>
        <v>4</v>
      </c>
    </row>
    <row r="10120" spans="1:2" ht="15" customHeight="1" x14ac:dyDescent="0.3">
      <c r="A10120" s="33" t="s">
        <v>3966</v>
      </c>
      <c r="B10120">
        <f t="shared" si="1390"/>
        <v>4</v>
      </c>
    </row>
    <row r="10121" spans="1:2" ht="15" customHeight="1" x14ac:dyDescent="0.3">
      <c r="A10121" s="33" t="s">
        <v>3967</v>
      </c>
      <c r="B10121">
        <f t="shared" si="1390"/>
        <v>0</v>
      </c>
    </row>
    <row r="10122" spans="1:2" ht="15" customHeight="1" x14ac:dyDescent="0.3">
      <c r="A10122" s="33" t="s">
        <v>3968</v>
      </c>
      <c r="B10122">
        <f t="shared" si="1390"/>
        <v>0</v>
      </c>
    </row>
    <row r="10123" spans="1:2" ht="15" customHeight="1" x14ac:dyDescent="0.3">
      <c r="A10123" t="s">
        <v>3969</v>
      </c>
      <c r="B10123">
        <f t="shared" si="1390"/>
        <v>8</v>
      </c>
    </row>
    <row r="10124" spans="1:2" ht="15" customHeight="1" x14ac:dyDescent="0.3">
      <c r="A10124" t="s">
        <v>4310</v>
      </c>
      <c r="B10124">
        <f t="shared" ref="B10124:B10129" si="1391">B4170</f>
        <v>15</v>
      </c>
    </row>
    <row r="10125" spans="1:2" ht="15" customHeight="1" x14ac:dyDescent="0.3">
      <c r="A10125" t="s">
        <v>4311</v>
      </c>
      <c r="B10125">
        <f t="shared" si="1391"/>
        <v>15</v>
      </c>
    </row>
    <row r="10126" spans="1:2" ht="15" customHeight="1" x14ac:dyDescent="0.3">
      <c r="A10126" t="s">
        <v>4312</v>
      </c>
      <c r="B10126">
        <f t="shared" si="1391"/>
        <v>15</v>
      </c>
    </row>
    <row r="10127" spans="1:2" ht="15" customHeight="1" x14ac:dyDescent="0.3">
      <c r="A10127" t="s">
        <v>4313</v>
      </c>
      <c r="B10127">
        <f t="shared" si="1391"/>
        <v>15</v>
      </c>
    </row>
    <row r="10128" spans="1:2" ht="15" customHeight="1" x14ac:dyDescent="0.3">
      <c r="A10128" t="s">
        <v>4314</v>
      </c>
      <c r="B10128">
        <f t="shared" si="1391"/>
        <v>15</v>
      </c>
    </row>
    <row r="10129" spans="1:2" ht="15" customHeight="1" x14ac:dyDescent="0.3">
      <c r="A10129" t="s">
        <v>4315</v>
      </c>
      <c r="B10129">
        <f t="shared" si="1391"/>
        <v>15</v>
      </c>
    </row>
    <row r="10130" spans="1:2" ht="15" customHeight="1" x14ac:dyDescent="0.3">
      <c r="A10130" t="s">
        <v>4316</v>
      </c>
      <c r="B10130">
        <f>B4180</f>
        <v>15</v>
      </c>
    </row>
    <row r="10131" spans="1:2" ht="15" customHeight="1" x14ac:dyDescent="0.3">
      <c r="A10131" t="s">
        <v>4317</v>
      </c>
      <c r="B10131">
        <f>B4185</f>
        <v>15</v>
      </c>
    </row>
    <row r="10132" spans="1:2" ht="15" customHeight="1" x14ac:dyDescent="0.3">
      <c r="A10132" t="s">
        <v>4318</v>
      </c>
      <c r="B10132">
        <f>B4186</f>
        <v>0</v>
      </c>
    </row>
    <row r="10133" spans="1:2" ht="15" customHeight="1" x14ac:dyDescent="0.3">
      <c r="A10133" t="s">
        <v>4319</v>
      </c>
      <c r="B10133">
        <f>B4187</f>
        <v>15</v>
      </c>
    </row>
    <row r="10134" spans="1:2" ht="15" customHeight="1" x14ac:dyDescent="0.3">
      <c r="A10134" t="s">
        <v>4320</v>
      </c>
      <c r="B10134">
        <f t="shared" ref="B10134:B10165" si="1392">B4189</f>
        <v>15</v>
      </c>
    </row>
    <row r="10135" spans="1:2" ht="15" customHeight="1" x14ac:dyDescent="0.3">
      <c r="A10135" t="s">
        <v>4321</v>
      </c>
      <c r="B10135">
        <f t="shared" si="1392"/>
        <v>15</v>
      </c>
    </row>
    <row r="10136" spans="1:2" ht="15" customHeight="1" x14ac:dyDescent="0.3">
      <c r="A10136" t="s">
        <v>4322</v>
      </c>
      <c r="B10136">
        <f t="shared" si="1392"/>
        <v>15</v>
      </c>
    </row>
    <row r="10137" spans="1:2" ht="15" customHeight="1" x14ac:dyDescent="0.3">
      <c r="A10137" t="s">
        <v>4323</v>
      </c>
      <c r="B10137">
        <f t="shared" si="1392"/>
        <v>15</v>
      </c>
    </row>
    <row r="10138" spans="1:2" ht="15" customHeight="1" x14ac:dyDescent="0.3">
      <c r="A10138" t="s">
        <v>4324</v>
      </c>
      <c r="B10138">
        <f t="shared" si="1392"/>
        <v>15</v>
      </c>
    </row>
    <row r="10139" spans="1:2" ht="15" customHeight="1" x14ac:dyDescent="0.3">
      <c r="A10139" t="s">
        <v>4325</v>
      </c>
      <c r="B10139">
        <f t="shared" si="1392"/>
        <v>15</v>
      </c>
    </row>
    <row r="10140" spans="1:2" ht="15" customHeight="1" x14ac:dyDescent="0.3">
      <c r="A10140" t="s">
        <v>4326</v>
      </c>
      <c r="B10140">
        <f t="shared" si="1392"/>
        <v>15</v>
      </c>
    </row>
    <row r="10141" spans="1:2" ht="15" customHeight="1" x14ac:dyDescent="0.3">
      <c r="A10141" t="s">
        <v>4327</v>
      </c>
      <c r="B10141">
        <f t="shared" si="1392"/>
        <v>15</v>
      </c>
    </row>
    <row r="10142" spans="1:2" ht="15" customHeight="1" x14ac:dyDescent="0.3">
      <c r="A10142" t="s">
        <v>4328</v>
      </c>
      <c r="B10142">
        <f t="shared" si="1392"/>
        <v>15</v>
      </c>
    </row>
    <row r="10143" spans="1:2" ht="15" customHeight="1" x14ac:dyDescent="0.3">
      <c r="A10143" t="s">
        <v>4329</v>
      </c>
      <c r="B10143">
        <f t="shared" si="1392"/>
        <v>15</v>
      </c>
    </row>
    <row r="10144" spans="1:2" ht="15" customHeight="1" x14ac:dyDescent="0.3">
      <c r="A10144" t="s">
        <v>4330</v>
      </c>
      <c r="B10144">
        <f t="shared" si="1392"/>
        <v>15</v>
      </c>
    </row>
    <row r="10145" spans="1:2" ht="15" customHeight="1" x14ac:dyDescent="0.3">
      <c r="A10145" t="s">
        <v>4331</v>
      </c>
      <c r="B10145">
        <f t="shared" si="1392"/>
        <v>15</v>
      </c>
    </row>
    <row r="10146" spans="1:2" ht="15" customHeight="1" x14ac:dyDescent="0.3">
      <c r="A10146" t="s">
        <v>4332</v>
      </c>
      <c r="B10146">
        <f t="shared" si="1392"/>
        <v>15</v>
      </c>
    </row>
    <row r="10147" spans="1:2" ht="15" customHeight="1" x14ac:dyDescent="0.3">
      <c r="A10147" t="s">
        <v>4333</v>
      </c>
      <c r="B10147">
        <f t="shared" si="1392"/>
        <v>15</v>
      </c>
    </row>
    <row r="10148" spans="1:2" ht="15" customHeight="1" x14ac:dyDescent="0.3">
      <c r="A10148" t="s">
        <v>4334</v>
      </c>
      <c r="B10148">
        <f t="shared" si="1392"/>
        <v>15</v>
      </c>
    </row>
    <row r="10149" spans="1:2" ht="15" customHeight="1" x14ac:dyDescent="0.3">
      <c r="A10149" t="s">
        <v>4335</v>
      </c>
      <c r="B10149">
        <f t="shared" si="1392"/>
        <v>15</v>
      </c>
    </row>
    <row r="10150" spans="1:2" ht="15" customHeight="1" x14ac:dyDescent="0.3">
      <c r="A10150" t="s">
        <v>4336</v>
      </c>
      <c r="B10150">
        <f t="shared" si="1392"/>
        <v>15</v>
      </c>
    </row>
    <row r="10151" spans="1:2" ht="15" customHeight="1" x14ac:dyDescent="0.3">
      <c r="A10151" t="s">
        <v>4337</v>
      </c>
      <c r="B10151">
        <f t="shared" si="1392"/>
        <v>15</v>
      </c>
    </row>
    <row r="10152" spans="1:2" ht="15" customHeight="1" x14ac:dyDescent="0.3">
      <c r="A10152" t="s">
        <v>4338</v>
      </c>
      <c r="B10152">
        <f t="shared" si="1392"/>
        <v>15</v>
      </c>
    </row>
    <row r="10153" spans="1:2" ht="15" customHeight="1" x14ac:dyDescent="0.3">
      <c r="A10153" t="s">
        <v>4339</v>
      </c>
      <c r="B10153">
        <f t="shared" si="1392"/>
        <v>15</v>
      </c>
    </row>
    <row r="10154" spans="1:2" ht="15" customHeight="1" x14ac:dyDescent="0.3">
      <c r="A10154" t="s">
        <v>4340</v>
      </c>
      <c r="B10154">
        <f t="shared" si="1392"/>
        <v>15</v>
      </c>
    </row>
    <row r="10155" spans="1:2" ht="15" customHeight="1" x14ac:dyDescent="0.3">
      <c r="A10155" t="s">
        <v>4341</v>
      </c>
      <c r="B10155">
        <f t="shared" si="1392"/>
        <v>15</v>
      </c>
    </row>
    <row r="10156" spans="1:2" ht="15" customHeight="1" x14ac:dyDescent="0.3">
      <c r="A10156" t="s">
        <v>4342</v>
      </c>
      <c r="B10156">
        <f t="shared" si="1392"/>
        <v>15</v>
      </c>
    </row>
    <row r="10157" spans="1:2" ht="15" customHeight="1" x14ac:dyDescent="0.3">
      <c r="A10157" t="s">
        <v>4343</v>
      </c>
      <c r="B10157">
        <f t="shared" si="1392"/>
        <v>15</v>
      </c>
    </row>
    <row r="10158" spans="1:2" ht="15" customHeight="1" x14ac:dyDescent="0.3">
      <c r="A10158" t="s">
        <v>4344</v>
      </c>
      <c r="B10158">
        <f t="shared" si="1392"/>
        <v>15</v>
      </c>
    </row>
    <row r="10159" spans="1:2" ht="15" customHeight="1" x14ac:dyDescent="0.3">
      <c r="A10159" t="s">
        <v>4345</v>
      </c>
      <c r="B10159">
        <f t="shared" si="1392"/>
        <v>0</v>
      </c>
    </row>
    <row r="10160" spans="1:2" ht="15" customHeight="1" x14ac:dyDescent="0.3">
      <c r="A10160" t="s">
        <v>4346</v>
      </c>
      <c r="B10160">
        <f t="shared" si="1392"/>
        <v>20</v>
      </c>
    </row>
    <row r="10161" spans="1:2" ht="15" customHeight="1" x14ac:dyDescent="0.3">
      <c r="A10161" t="s">
        <v>4347</v>
      </c>
      <c r="B10161">
        <f t="shared" si="1392"/>
        <v>20</v>
      </c>
    </row>
    <row r="10162" spans="1:2" ht="15" customHeight="1" x14ac:dyDescent="0.3">
      <c r="A10162" t="s">
        <v>4348</v>
      </c>
      <c r="B10162">
        <f t="shared" si="1392"/>
        <v>20</v>
      </c>
    </row>
    <row r="10163" spans="1:2" ht="15" customHeight="1" x14ac:dyDescent="0.3">
      <c r="A10163" t="s">
        <v>4349</v>
      </c>
      <c r="B10163">
        <f t="shared" si="1392"/>
        <v>20</v>
      </c>
    </row>
    <row r="10164" spans="1:2" ht="15" customHeight="1" x14ac:dyDescent="0.3">
      <c r="A10164" t="s">
        <v>4350</v>
      </c>
      <c r="B10164">
        <f t="shared" si="1392"/>
        <v>20</v>
      </c>
    </row>
    <row r="10165" spans="1:2" ht="15" customHeight="1" x14ac:dyDescent="0.3">
      <c r="A10165" t="s">
        <v>4351</v>
      </c>
      <c r="B10165">
        <f t="shared" si="1392"/>
        <v>20</v>
      </c>
    </row>
    <row r="10166" spans="1:2" ht="15" customHeight="1" x14ac:dyDescent="0.3">
      <c r="A10166" t="s">
        <v>4352</v>
      </c>
      <c r="B10166">
        <f t="shared" ref="B10166:B10191" si="1393">B4221</f>
        <v>20</v>
      </c>
    </row>
    <row r="10167" spans="1:2" ht="15" customHeight="1" x14ac:dyDescent="0.3">
      <c r="A10167" t="s">
        <v>4396</v>
      </c>
      <c r="B10167">
        <f t="shared" si="1393"/>
        <v>0</v>
      </c>
    </row>
    <row r="10168" spans="1:2" ht="15" customHeight="1" x14ac:dyDescent="0.3">
      <c r="A10168" t="s">
        <v>4397</v>
      </c>
      <c r="B10168">
        <f t="shared" si="1393"/>
        <v>10</v>
      </c>
    </row>
    <row r="10169" spans="1:2" ht="15" customHeight="1" x14ac:dyDescent="0.3">
      <c r="A10169" t="s">
        <v>4398</v>
      </c>
      <c r="B10169">
        <f t="shared" si="1393"/>
        <v>20</v>
      </c>
    </row>
    <row r="10170" spans="1:2" ht="15" customHeight="1" x14ac:dyDescent="0.3">
      <c r="A10170" t="s">
        <v>4399</v>
      </c>
      <c r="B10170">
        <f t="shared" si="1393"/>
        <v>20</v>
      </c>
    </row>
    <row r="10171" spans="1:2" ht="15" customHeight="1" x14ac:dyDescent="0.3">
      <c r="A10171" t="s">
        <v>4400</v>
      </c>
      <c r="B10171">
        <f t="shared" si="1393"/>
        <v>20</v>
      </c>
    </row>
    <row r="10172" spans="1:2" ht="15" customHeight="1" x14ac:dyDescent="0.3">
      <c r="A10172" t="s">
        <v>4401</v>
      </c>
      <c r="B10172">
        <f t="shared" si="1393"/>
        <v>20</v>
      </c>
    </row>
    <row r="10173" spans="1:2" ht="15" customHeight="1" x14ac:dyDescent="0.3">
      <c r="A10173" t="s">
        <v>4402</v>
      </c>
      <c r="B10173">
        <f t="shared" si="1393"/>
        <v>20</v>
      </c>
    </row>
    <row r="10174" spans="1:2" ht="15" customHeight="1" x14ac:dyDescent="0.3">
      <c r="A10174" t="s">
        <v>4403</v>
      </c>
      <c r="B10174">
        <f t="shared" si="1393"/>
        <v>20</v>
      </c>
    </row>
    <row r="10175" spans="1:2" ht="15" customHeight="1" x14ac:dyDescent="0.3">
      <c r="A10175" t="s">
        <v>4404</v>
      </c>
      <c r="B10175">
        <f t="shared" si="1393"/>
        <v>20</v>
      </c>
    </row>
    <row r="10176" spans="1:2" ht="15" customHeight="1" x14ac:dyDescent="0.3">
      <c r="A10176" t="s">
        <v>4405</v>
      </c>
      <c r="B10176">
        <f t="shared" si="1393"/>
        <v>0</v>
      </c>
    </row>
    <row r="10177" spans="1:2" ht="15" customHeight="1" x14ac:dyDescent="0.3">
      <c r="A10177" t="s">
        <v>4406</v>
      </c>
      <c r="B10177">
        <f t="shared" si="1393"/>
        <v>15</v>
      </c>
    </row>
    <row r="10178" spans="1:2" ht="15" customHeight="1" x14ac:dyDescent="0.3">
      <c r="A10178" t="s">
        <v>4407</v>
      </c>
      <c r="B10178">
        <f t="shared" si="1393"/>
        <v>15</v>
      </c>
    </row>
    <row r="10179" spans="1:2" ht="15" customHeight="1" x14ac:dyDescent="0.3">
      <c r="A10179" t="s">
        <v>4408</v>
      </c>
      <c r="B10179">
        <f t="shared" si="1393"/>
        <v>20</v>
      </c>
    </row>
    <row r="10180" spans="1:2" ht="15" customHeight="1" x14ac:dyDescent="0.3">
      <c r="A10180" t="s">
        <v>4409</v>
      </c>
      <c r="B10180">
        <f t="shared" si="1393"/>
        <v>20</v>
      </c>
    </row>
    <row r="10181" spans="1:2" ht="15" customHeight="1" x14ac:dyDescent="0.3">
      <c r="A10181" t="s">
        <v>4410</v>
      </c>
      <c r="B10181">
        <f t="shared" si="1393"/>
        <v>20</v>
      </c>
    </row>
    <row r="10182" spans="1:2" ht="15" customHeight="1" x14ac:dyDescent="0.3">
      <c r="A10182" t="s">
        <v>4411</v>
      </c>
      <c r="B10182">
        <f t="shared" si="1393"/>
        <v>20</v>
      </c>
    </row>
    <row r="10183" spans="1:2" ht="15" customHeight="1" x14ac:dyDescent="0.3">
      <c r="A10183" t="s">
        <v>4412</v>
      </c>
      <c r="B10183">
        <f t="shared" si="1393"/>
        <v>20</v>
      </c>
    </row>
    <row r="10184" spans="1:2" ht="15" customHeight="1" x14ac:dyDescent="0.3">
      <c r="A10184" t="s">
        <v>4413</v>
      </c>
      <c r="B10184">
        <f t="shared" si="1393"/>
        <v>15</v>
      </c>
    </row>
    <row r="10185" spans="1:2" ht="15" customHeight="1" x14ac:dyDescent="0.3">
      <c r="A10185" t="s">
        <v>10321</v>
      </c>
      <c r="B10185">
        <f t="shared" si="1393"/>
        <v>15</v>
      </c>
    </row>
    <row r="10186" spans="1:2" ht="15" customHeight="1" x14ac:dyDescent="0.3">
      <c r="A10186" t="s">
        <v>10322</v>
      </c>
      <c r="B10186">
        <f t="shared" si="1393"/>
        <v>25</v>
      </c>
    </row>
    <row r="10187" spans="1:2" ht="15" customHeight="1" x14ac:dyDescent="0.3">
      <c r="A10187" t="s">
        <v>10323</v>
      </c>
      <c r="B10187">
        <f t="shared" si="1393"/>
        <v>15</v>
      </c>
    </row>
    <row r="10188" spans="1:2" ht="15" customHeight="1" x14ac:dyDescent="0.3">
      <c r="A10188" t="s">
        <v>10324</v>
      </c>
      <c r="B10188">
        <f t="shared" si="1393"/>
        <v>15</v>
      </c>
    </row>
    <row r="10189" spans="1:2" ht="15" customHeight="1" x14ac:dyDescent="0.3">
      <c r="A10189" t="s">
        <v>10325</v>
      </c>
      <c r="B10189">
        <f t="shared" si="1393"/>
        <v>20</v>
      </c>
    </row>
    <row r="10190" spans="1:2" ht="15" customHeight="1" x14ac:dyDescent="0.3">
      <c r="A10190" t="s">
        <v>10326</v>
      </c>
      <c r="B10190">
        <f t="shared" si="1393"/>
        <v>20</v>
      </c>
    </row>
    <row r="10191" spans="1:2" ht="15" customHeight="1" x14ac:dyDescent="0.3">
      <c r="A10191" t="s">
        <v>10327</v>
      </c>
      <c r="B10191">
        <f t="shared" si="1393"/>
        <v>20</v>
      </c>
    </row>
    <row r="10192" spans="1:2" ht="15" customHeight="1" x14ac:dyDescent="0.3">
      <c r="A10192" t="s">
        <v>10328</v>
      </c>
      <c r="B10192">
        <f>B4248</f>
        <v>20</v>
      </c>
    </row>
    <row r="10193" spans="1:2" ht="15" customHeight="1" x14ac:dyDescent="0.3">
      <c r="A10193" t="s">
        <v>10329</v>
      </c>
      <c r="B10193">
        <f>B4248</f>
        <v>20</v>
      </c>
    </row>
    <row r="10194" spans="1:2" ht="15" customHeight="1" x14ac:dyDescent="0.3">
      <c r="A10194" t="s">
        <v>10330</v>
      </c>
      <c r="B10194">
        <f>B4249</f>
        <v>15</v>
      </c>
    </row>
    <row r="10195" spans="1:2" ht="15" customHeight="1" x14ac:dyDescent="0.3">
      <c r="A10195" t="s">
        <v>10331</v>
      </c>
      <c r="B10195">
        <f>B4252</f>
        <v>20</v>
      </c>
    </row>
    <row r="10196" spans="1:2" ht="15" customHeight="1" x14ac:dyDescent="0.3">
      <c r="A10196" t="s">
        <v>10332</v>
      </c>
      <c r="B10196">
        <f>B4252</f>
        <v>20</v>
      </c>
    </row>
    <row r="10197" spans="1:2" ht="15" customHeight="1" x14ac:dyDescent="0.3">
      <c r="A10197" t="s">
        <v>10333</v>
      </c>
      <c r="B10197">
        <f t="shared" ref="B10197:B10208" si="1394">B4252</f>
        <v>20</v>
      </c>
    </row>
    <row r="10198" spans="1:2" ht="15" customHeight="1" x14ac:dyDescent="0.3">
      <c r="A10198" t="s">
        <v>10334</v>
      </c>
      <c r="B10198">
        <f t="shared" si="1394"/>
        <v>20</v>
      </c>
    </row>
    <row r="10199" spans="1:2" ht="15" customHeight="1" x14ac:dyDescent="0.3">
      <c r="A10199" t="s">
        <v>10335</v>
      </c>
      <c r="B10199">
        <f t="shared" si="1394"/>
        <v>20</v>
      </c>
    </row>
    <row r="10200" spans="1:2" ht="15" customHeight="1" x14ac:dyDescent="0.3">
      <c r="A10200" t="s">
        <v>10336</v>
      </c>
      <c r="B10200">
        <f t="shared" si="1394"/>
        <v>20</v>
      </c>
    </row>
    <row r="10201" spans="1:2" ht="15" customHeight="1" x14ac:dyDescent="0.3">
      <c r="A10201" t="s">
        <v>10337</v>
      </c>
      <c r="B10201">
        <f t="shared" si="1394"/>
        <v>20</v>
      </c>
    </row>
    <row r="10202" spans="1:2" ht="15" customHeight="1" x14ac:dyDescent="0.3">
      <c r="A10202" t="s">
        <v>10338</v>
      </c>
      <c r="B10202">
        <f t="shared" si="1394"/>
        <v>20</v>
      </c>
    </row>
    <row r="10203" spans="1:2" ht="15" customHeight="1" x14ac:dyDescent="0.3">
      <c r="A10203" t="s">
        <v>10339</v>
      </c>
      <c r="B10203">
        <f t="shared" si="1394"/>
        <v>15</v>
      </c>
    </row>
    <row r="10204" spans="1:2" ht="15" customHeight="1" x14ac:dyDescent="0.3">
      <c r="A10204" t="s">
        <v>10340</v>
      </c>
      <c r="B10204">
        <f t="shared" si="1394"/>
        <v>20</v>
      </c>
    </row>
    <row r="10205" spans="1:2" ht="15" customHeight="1" x14ac:dyDescent="0.3">
      <c r="A10205" t="s">
        <v>10341</v>
      </c>
      <c r="B10205">
        <f t="shared" si="1394"/>
        <v>15</v>
      </c>
    </row>
    <row r="10206" spans="1:2" ht="15" customHeight="1" x14ac:dyDescent="0.3">
      <c r="A10206" t="s">
        <v>10342</v>
      </c>
      <c r="B10206">
        <f t="shared" si="1394"/>
        <v>0</v>
      </c>
    </row>
    <row r="10207" spans="1:2" ht="15" customHeight="1" x14ac:dyDescent="0.3">
      <c r="A10207" t="s">
        <v>10343</v>
      </c>
      <c r="B10207">
        <f t="shared" si="1394"/>
        <v>20</v>
      </c>
    </row>
    <row r="10208" spans="1:2" ht="15" customHeight="1" x14ac:dyDescent="0.3">
      <c r="A10208" t="s">
        <v>10344</v>
      </c>
      <c r="B10208">
        <f t="shared" si="1394"/>
        <v>15</v>
      </c>
    </row>
    <row r="10209" spans="1:2" ht="15" customHeight="1" x14ac:dyDescent="0.3">
      <c r="A10209" t="s">
        <v>10345</v>
      </c>
      <c r="B10209">
        <f>B4265</f>
        <v>20</v>
      </c>
    </row>
    <row r="10210" spans="1:2" ht="15" customHeight="1" x14ac:dyDescent="0.3">
      <c r="A10210" t="s">
        <v>10346</v>
      </c>
      <c r="B10210">
        <f>B4265</f>
        <v>20</v>
      </c>
    </row>
    <row r="10211" spans="1:2" ht="15" customHeight="1" x14ac:dyDescent="0.3">
      <c r="A10211" t="s">
        <v>10347</v>
      </c>
      <c r="B10211">
        <f>B4267</f>
        <v>15</v>
      </c>
    </row>
    <row r="10212" spans="1:2" ht="15" customHeight="1" x14ac:dyDescent="0.3">
      <c r="A10212" t="s">
        <v>10348</v>
      </c>
      <c r="B10212">
        <f>B4267</f>
        <v>15</v>
      </c>
    </row>
    <row r="10213" spans="1:2" ht="15" customHeight="1" x14ac:dyDescent="0.3">
      <c r="A10213" t="s">
        <v>10349</v>
      </c>
      <c r="B10213">
        <f>B4271</f>
        <v>15</v>
      </c>
    </row>
    <row r="10214" spans="1:2" ht="15" customHeight="1" x14ac:dyDescent="0.3">
      <c r="A10214" t="s">
        <v>10350</v>
      </c>
      <c r="B10214">
        <f>B4271</f>
        <v>15</v>
      </c>
    </row>
    <row r="10215" spans="1:2" ht="15" customHeight="1" x14ac:dyDescent="0.3">
      <c r="A10215" t="s">
        <v>10351</v>
      </c>
      <c r="B10215">
        <f>B4271</f>
        <v>15</v>
      </c>
    </row>
    <row r="10216" spans="1:2" ht="15" customHeight="1" x14ac:dyDescent="0.3">
      <c r="A10216" t="s">
        <v>10352</v>
      </c>
      <c r="B10216">
        <f>B4273</f>
        <v>15</v>
      </c>
    </row>
    <row r="10217" spans="1:2" ht="15" customHeight="1" x14ac:dyDescent="0.3">
      <c r="A10217" t="s">
        <v>10353</v>
      </c>
      <c r="B10217">
        <f>B4273</f>
        <v>15</v>
      </c>
    </row>
    <row r="10218" spans="1:2" ht="15" customHeight="1" x14ac:dyDescent="0.3">
      <c r="A10218" t="s">
        <v>10354</v>
      </c>
      <c r="B10218">
        <f>B4277</f>
        <v>15</v>
      </c>
    </row>
    <row r="10219" spans="1:2" ht="15" customHeight="1" x14ac:dyDescent="0.3">
      <c r="A10219" t="s">
        <v>10355</v>
      </c>
      <c r="B10219">
        <f>B4277</f>
        <v>15</v>
      </c>
    </row>
    <row r="10220" spans="1:2" ht="15" customHeight="1" x14ac:dyDescent="0.3">
      <c r="A10220" t="s">
        <v>10356</v>
      </c>
      <c r="B10220">
        <f>B4277</f>
        <v>15</v>
      </c>
    </row>
    <row r="10221" spans="1:2" ht="15" customHeight="1" x14ac:dyDescent="0.3">
      <c r="A10221" t="s">
        <v>10357</v>
      </c>
      <c r="B10221">
        <f>B4277</f>
        <v>15</v>
      </c>
    </row>
    <row r="10222" spans="1:2" ht="15" customHeight="1" x14ac:dyDescent="0.3">
      <c r="A10222" t="s">
        <v>10358</v>
      </c>
      <c r="B10222">
        <f>B4278</f>
        <v>15</v>
      </c>
    </row>
    <row r="10223" spans="1:2" ht="15" customHeight="1" x14ac:dyDescent="0.3">
      <c r="A10223" t="s">
        <v>10359</v>
      </c>
      <c r="B10223">
        <f>B4279</f>
        <v>15</v>
      </c>
    </row>
    <row r="10224" spans="1:2" ht="15" customHeight="1" x14ac:dyDescent="0.3">
      <c r="A10224" t="s">
        <v>10360</v>
      </c>
      <c r="B10224">
        <f>B4281</f>
        <v>15</v>
      </c>
    </row>
    <row r="10225" spans="1:2" ht="15" customHeight="1" x14ac:dyDescent="0.3">
      <c r="A10225" t="s">
        <v>10361</v>
      </c>
      <c r="B10225">
        <f>B4281</f>
        <v>15</v>
      </c>
    </row>
    <row r="10226" spans="1:2" ht="15" customHeight="1" x14ac:dyDescent="0.3">
      <c r="A10226" t="s">
        <v>10362</v>
      </c>
      <c r="B10226">
        <f>B4282</f>
        <v>20</v>
      </c>
    </row>
    <row r="10227" spans="1:2" ht="15" customHeight="1" x14ac:dyDescent="0.3">
      <c r="A10227" t="s">
        <v>10363</v>
      </c>
      <c r="B10227">
        <f>B4284</f>
        <v>20</v>
      </c>
    </row>
    <row r="10228" spans="1:2" ht="15" customHeight="1" x14ac:dyDescent="0.3">
      <c r="A10228" t="s">
        <v>10364</v>
      </c>
      <c r="B10228">
        <f>B4284</f>
        <v>20</v>
      </c>
    </row>
    <row r="10229" spans="1:2" ht="15" customHeight="1" x14ac:dyDescent="0.3">
      <c r="A10229" t="s">
        <v>10365</v>
      </c>
      <c r="B10229">
        <f>B4287</f>
        <v>15</v>
      </c>
    </row>
    <row r="10230" spans="1:2" ht="15" customHeight="1" x14ac:dyDescent="0.3">
      <c r="A10230" t="s">
        <v>10366</v>
      </c>
      <c r="B10230">
        <f>B4287</f>
        <v>15</v>
      </c>
    </row>
    <row r="10231" spans="1:2" ht="15" customHeight="1" x14ac:dyDescent="0.3">
      <c r="A10231" t="s">
        <v>10367</v>
      </c>
      <c r="B10231">
        <f>B4287</f>
        <v>15</v>
      </c>
    </row>
    <row r="10232" spans="1:2" ht="15" customHeight="1" x14ac:dyDescent="0.3">
      <c r="A10232" t="s">
        <v>10368</v>
      </c>
      <c r="B10232">
        <f>B4288</f>
        <v>15</v>
      </c>
    </row>
    <row r="10233" spans="1:2" ht="15" customHeight="1" x14ac:dyDescent="0.3">
      <c r="A10233" t="s">
        <v>10369</v>
      </c>
      <c r="B10233">
        <f>B4289</f>
        <v>20</v>
      </c>
    </row>
    <row r="10234" spans="1:2" ht="15" customHeight="1" x14ac:dyDescent="0.3">
      <c r="A10234" t="s">
        <v>10370</v>
      </c>
      <c r="B10234">
        <f>B4290</f>
        <v>20</v>
      </c>
    </row>
    <row r="10235" spans="1:2" ht="15" customHeight="1" x14ac:dyDescent="0.3">
      <c r="A10235" t="s">
        <v>4353</v>
      </c>
      <c r="B10235">
        <f t="shared" ref="B10235:B10266" si="1395">B10124</f>
        <v>15</v>
      </c>
    </row>
    <row r="10236" spans="1:2" ht="15" customHeight="1" x14ac:dyDescent="0.3">
      <c r="A10236" t="s">
        <v>4354</v>
      </c>
      <c r="B10236">
        <f t="shared" si="1395"/>
        <v>15</v>
      </c>
    </row>
    <row r="10237" spans="1:2" ht="15" customHeight="1" x14ac:dyDescent="0.3">
      <c r="A10237" t="s">
        <v>4355</v>
      </c>
      <c r="B10237">
        <f t="shared" si="1395"/>
        <v>15</v>
      </c>
    </row>
    <row r="10238" spans="1:2" ht="15" customHeight="1" x14ac:dyDescent="0.3">
      <c r="A10238" t="s">
        <v>4356</v>
      </c>
      <c r="B10238">
        <f t="shared" si="1395"/>
        <v>15</v>
      </c>
    </row>
    <row r="10239" spans="1:2" ht="15" customHeight="1" x14ac:dyDescent="0.3">
      <c r="A10239" t="s">
        <v>4357</v>
      </c>
      <c r="B10239">
        <f t="shared" si="1395"/>
        <v>15</v>
      </c>
    </row>
    <row r="10240" spans="1:2" ht="15" customHeight="1" x14ac:dyDescent="0.3">
      <c r="A10240" t="s">
        <v>4358</v>
      </c>
      <c r="B10240">
        <f t="shared" si="1395"/>
        <v>15</v>
      </c>
    </row>
    <row r="10241" spans="1:2" ht="15" customHeight="1" x14ac:dyDescent="0.3">
      <c r="A10241" t="s">
        <v>4359</v>
      </c>
      <c r="B10241">
        <f t="shared" si="1395"/>
        <v>15</v>
      </c>
    </row>
    <row r="10242" spans="1:2" ht="15" customHeight="1" x14ac:dyDescent="0.3">
      <c r="A10242" t="s">
        <v>4360</v>
      </c>
      <c r="B10242">
        <f t="shared" si="1395"/>
        <v>15</v>
      </c>
    </row>
    <row r="10243" spans="1:2" ht="15" customHeight="1" x14ac:dyDescent="0.3">
      <c r="A10243" t="s">
        <v>4361</v>
      </c>
      <c r="B10243">
        <f t="shared" si="1395"/>
        <v>0</v>
      </c>
    </row>
    <row r="10244" spans="1:2" ht="15" customHeight="1" x14ac:dyDescent="0.3">
      <c r="A10244" t="s">
        <v>4362</v>
      </c>
      <c r="B10244">
        <f t="shared" si="1395"/>
        <v>15</v>
      </c>
    </row>
    <row r="10245" spans="1:2" ht="15" customHeight="1" x14ac:dyDescent="0.3">
      <c r="A10245" t="s">
        <v>4363</v>
      </c>
      <c r="B10245">
        <f t="shared" si="1395"/>
        <v>15</v>
      </c>
    </row>
    <row r="10246" spans="1:2" ht="15" customHeight="1" x14ac:dyDescent="0.3">
      <c r="A10246" t="s">
        <v>4364</v>
      </c>
      <c r="B10246">
        <f t="shared" si="1395"/>
        <v>15</v>
      </c>
    </row>
    <row r="10247" spans="1:2" ht="15" customHeight="1" x14ac:dyDescent="0.3">
      <c r="A10247" t="s">
        <v>4365</v>
      </c>
      <c r="B10247">
        <f t="shared" si="1395"/>
        <v>15</v>
      </c>
    </row>
    <row r="10248" spans="1:2" ht="15" customHeight="1" x14ac:dyDescent="0.3">
      <c r="A10248" t="s">
        <v>4366</v>
      </c>
      <c r="B10248">
        <f t="shared" si="1395"/>
        <v>15</v>
      </c>
    </row>
    <row r="10249" spans="1:2" ht="15" customHeight="1" x14ac:dyDescent="0.3">
      <c r="A10249" t="s">
        <v>4367</v>
      </c>
      <c r="B10249">
        <f t="shared" si="1395"/>
        <v>15</v>
      </c>
    </row>
    <row r="10250" spans="1:2" ht="15" customHeight="1" x14ac:dyDescent="0.3">
      <c r="A10250" t="s">
        <v>4368</v>
      </c>
      <c r="B10250">
        <f t="shared" si="1395"/>
        <v>15</v>
      </c>
    </row>
    <row r="10251" spans="1:2" ht="15" customHeight="1" x14ac:dyDescent="0.3">
      <c r="A10251" t="s">
        <v>4369</v>
      </c>
      <c r="B10251">
        <f t="shared" si="1395"/>
        <v>15</v>
      </c>
    </row>
    <row r="10252" spans="1:2" ht="15" customHeight="1" x14ac:dyDescent="0.3">
      <c r="A10252" t="s">
        <v>4370</v>
      </c>
      <c r="B10252">
        <f t="shared" si="1395"/>
        <v>15</v>
      </c>
    </row>
    <row r="10253" spans="1:2" ht="15" customHeight="1" x14ac:dyDescent="0.3">
      <c r="A10253" t="s">
        <v>4371</v>
      </c>
      <c r="B10253">
        <f t="shared" si="1395"/>
        <v>15</v>
      </c>
    </row>
    <row r="10254" spans="1:2" ht="15" customHeight="1" x14ac:dyDescent="0.3">
      <c r="A10254" t="s">
        <v>4372</v>
      </c>
      <c r="B10254">
        <f t="shared" si="1395"/>
        <v>15</v>
      </c>
    </row>
    <row r="10255" spans="1:2" ht="15" customHeight="1" x14ac:dyDescent="0.3">
      <c r="A10255" t="s">
        <v>4373</v>
      </c>
      <c r="B10255">
        <f t="shared" si="1395"/>
        <v>15</v>
      </c>
    </row>
    <row r="10256" spans="1:2" ht="15" customHeight="1" x14ac:dyDescent="0.3">
      <c r="A10256" t="s">
        <v>4374</v>
      </c>
      <c r="B10256">
        <f t="shared" si="1395"/>
        <v>15</v>
      </c>
    </row>
    <row r="10257" spans="1:2" ht="15" customHeight="1" x14ac:dyDescent="0.3">
      <c r="A10257" t="s">
        <v>4375</v>
      </c>
      <c r="B10257">
        <f t="shared" si="1395"/>
        <v>15</v>
      </c>
    </row>
    <row r="10258" spans="1:2" ht="15" customHeight="1" x14ac:dyDescent="0.3">
      <c r="A10258" t="s">
        <v>4376</v>
      </c>
      <c r="B10258">
        <f t="shared" si="1395"/>
        <v>15</v>
      </c>
    </row>
    <row r="10259" spans="1:2" ht="15" customHeight="1" x14ac:dyDescent="0.3">
      <c r="A10259" t="s">
        <v>4377</v>
      </c>
      <c r="B10259">
        <f t="shared" si="1395"/>
        <v>15</v>
      </c>
    </row>
    <row r="10260" spans="1:2" ht="15" customHeight="1" x14ac:dyDescent="0.3">
      <c r="A10260" t="s">
        <v>4378</v>
      </c>
      <c r="B10260">
        <f t="shared" si="1395"/>
        <v>15</v>
      </c>
    </row>
    <row r="10261" spans="1:2" ht="15" customHeight="1" x14ac:dyDescent="0.3">
      <c r="A10261" t="s">
        <v>4379</v>
      </c>
      <c r="B10261">
        <f t="shared" si="1395"/>
        <v>15</v>
      </c>
    </row>
    <row r="10262" spans="1:2" ht="15" customHeight="1" x14ac:dyDescent="0.3">
      <c r="A10262" t="s">
        <v>4380</v>
      </c>
      <c r="B10262">
        <f t="shared" si="1395"/>
        <v>15</v>
      </c>
    </row>
    <row r="10263" spans="1:2" ht="15" customHeight="1" x14ac:dyDescent="0.3">
      <c r="A10263" t="s">
        <v>4381</v>
      </c>
      <c r="B10263">
        <f t="shared" si="1395"/>
        <v>15</v>
      </c>
    </row>
    <row r="10264" spans="1:2" ht="15" customHeight="1" x14ac:dyDescent="0.3">
      <c r="A10264" t="s">
        <v>4382</v>
      </c>
      <c r="B10264">
        <f t="shared" si="1395"/>
        <v>15</v>
      </c>
    </row>
    <row r="10265" spans="1:2" ht="15" customHeight="1" x14ac:dyDescent="0.3">
      <c r="A10265" t="s">
        <v>4383</v>
      </c>
      <c r="B10265">
        <f t="shared" si="1395"/>
        <v>15</v>
      </c>
    </row>
    <row r="10266" spans="1:2" ht="15" customHeight="1" x14ac:dyDescent="0.3">
      <c r="A10266" t="s">
        <v>4384</v>
      </c>
      <c r="B10266">
        <f t="shared" si="1395"/>
        <v>15</v>
      </c>
    </row>
    <row r="10267" spans="1:2" ht="15" customHeight="1" x14ac:dyDescent="0.3">
      <c r="A10267" t="s">
        <v>4385</v>
      </c>
      <c r="B10267">
        <f t="shared" ref="B10267:B10298" si="1396">B10156</f>
        <v>15</v>
      </c>
    </row>
    <row r="10268" spans="1:2" ht="15" customHeight="1" x14ac:dyDescent="0.3">
      <c r="A10268" t="s">
        <v>4386</v>
      </c>
      <c r="B10268">
        <f t="shared" si="1396"/>
        <v>15</v>
      </c>
    </row>
    <row r="10269" spans="1:2" ht="15" customHeight="1" x14ac:dyDescent="0.3">
      <c r="A10269" t="s">
        <v>4387</v>
      </c>
      <c r="B10269">
        <f t="shared" si="1396"/>
        <v>15</v>
      </c>
    </row>
    <row r="10270" spans="1:2" ht="15" customHeight="1" x14ac:dyDescent="0.3">
      <c r="A10270" t="s">
        <v>4388</v>
      </c>
      <c r="B10270">
        <f t="shared" si="1396"/>
        <v>0</v>
      </c>
    </row>
    <row r="10271" spans="1:2" ht="15" customHeight="1" x14ac:dyDescent="0.3">
      <c r="A10271" t="s">
        <v>4389</v>
      </c>
      <c r="B10271">
        <f t="shared" si="1396"/>
        <v>20</v>
      </c>
    </row>
    <row r="10272" spans="1:2" ht="15" customHeight="1" x14ac:dyDescent="0.3">
      <c r="A10272" t="s">
        <v>4390</v>
      </c>
      <c r="B10272">
        <f t="shared" si="1396"/>
        <v>20</v>
      </c>
    </row>
    <row r="10273" spans="1:2" ht="15" customHeight="1" x14ac:dyDescent="0.3">
      <c r="A10273" t="s">
        <v>4391</v>
      </c>
      <c r="B10273">
        <f t="shared" si="1396"/>
        <v>20</v>
      </c>
    </row>
    <row r="10274" spans="1:2" ht="15" customHeight="1" x14ac:dyDescent="0.3">
      <c r="A10274" t="s">
        <v>4392</v>
      </c>
      <c r="B10274">
        <f t="shared" si="1396"/>
        <v>20</v>
      </c>
    </row>
    <row r="10275" spans="1:2" ht="15" customHeight="1" x14ac:dyDescent="0.3">
      <c r="A10275" t="s">
        <v>4393</v>
      </c>
      <c r="B10275">
        <f t="shared" si="1396"/>
        <v>20</v>
      </c>
    </row>
    <row r="10276" spans="1:2" ht="15" customHeight="1" x14ac:dyDescent="0.3">
      <c r="A10276" t="s">
        <v>4394</v>
      </c>
      <c r="B10276">
        <f t="shared" si="1396"/>
        <v>20</v>
      </c>
    </row>
    <row r="10277" spans="1:2" ht="15" customHeight="1" x14ac:dyDescent="0.3">
      <c r="A10277" t="s">
        <v>4395</v>
      </c>
      <c r="B10277">
        <f t="shared" si="1396"/>
        <v>20</v>
      </c>
    </row>
    <row r="10278" spans="1:2" ht="15" customHeight="1" x14ac:dyDescent="0.3">
      <c r="A10278" t="s">
        <v>4396</v>
      </c>
      <c r="B10278">
        <f t="shared" si="1396"/>
        <v>0</v>
      </c>
    </row>
    <row r="10279" spans="1:2" ht="15" customHeight="1" x14ac:dyDescent="0.3">
      <c r="A10279" t="s">
        <v>4415</v>
      </c>
      <c r="B10279">
        <f t="shared" si="1396"/>
        <v>10</v>
      </c>
    </row>
    <row r="10280" spans="1:2" ht="15" customHeight="1" x14ac:dyDescent="0.3">
      <c r="A10280" t="s">
        <v>4416</v>
      </c>
      <c r="B10280">
        <f t="shared" si="1396"/>
        <v>20</v>
      </c>
    </row>
    <row r="10281" spans="1:2" ht="15" customHeight="1" x14ac:dyDescent="0.3">
      <c r="A10281" t="s">
        <v>4417</v>
      </c>
      <c r="B10281">
        <f t="shared" si="1396"/>
        <v>20</v>
      </c>
    </row>
    <row r="10282" spans="1:2" ht="15" customHeight="1" x14ac:dyDescent="0.3">
      <c r="A10282" t="s">
        <v>4418</v>
      </c>
      <c r="B10282">
        <f t="shared" si="1396"/>
        <v>20</v>
      </c>
    </row>
    <row r="10283" spans="1:2" ht="15" customHeight="1" x14ac:dyDescent="0.3">
      <c r="A10283" t="s">
        <v>4419</v>
      </c>
      <c r="B10283">
        <f t="shared" si="1396"/>
        <v>20</v>
      </c>
    </row>
    <row r="10284" spans="1:2" ht="15" customHeight="1" x14ac:dyDescent="0.3">
      <c r="A10284" t="s">
        <v>4420</v>
      </c>
      <c r="B10284">
        <f t="shared" si="1396"/>
        <v>20</v>
      </c>
    </row>
    <row r="10285" spans="1:2" ht="15" customHeight="1" x14ac:dyDescent="0.3">
      <c r="A10285" t="s">
        <v>4421</v>
      </c>
      <c r="B10285">
        <f t="shared" si="1396"/>
        <v>20</v>
      </c>
    </row>
    <row r="10286" spans="1:2" ht="15" customHeight="1" x14ac:dyDescent="0.3">
      <c r="A10286" t="s">
        <v>4422</v>
      </c>
      <c r="B10286">
        <f t="shared" si="1396"/>
        <v>20</v>
      </c>
    </row>
    <row r="10287" spans="1:2" ht="15" customHeight="1" x14ac:dyDescent="0.3">
      <c r="A10287" t="s">
        <v>4423</v>
      </c>
      <c r="B10287">
        <f t="shared" si="1396"/>
        <v>0</v>
      </c>
    </row>
    <row r="10288" spans="1:2" ht="15" customHeight="1" x14ac:dyDescent="0.3">
      <c r="A10288" t="s">
        <v>4424</v>
      </c>
      <c r="B10288">
        <f t="shared" si="1396"/>
        <v>15</v>
      </c>
    </row>
    <row r="10289" spans="1:2" ht="15" customHeight="1" x14ac:dyDescent="0.3">
      <c r="A10289" t="s">
        <v>4425</v>
      </c>
      <c r="B10289">
        <f t="shared" si="1396"/>
        <v>15</v>
      </c>
    </row>
    <row r="10290" spans="1:2" ht="15" customHeight="1" x14ac:dyDescent="0.3">
      <c r="A10290" t="s">
        <v>4426</v>
      </c>
      <c r="B10290">
        <f t="shared" si="1396"/>
        <v>20</v>
      </c>
    </row>
    <row r="10291" spans="1:2" ht="15" customHeight="1" x14ac:dyDescent="0.3">
      <c r="A10291" t="s">
        <v>4427</v>
      </c>
      <c r="B10291">
        <f t="shared" si="1396"/>
        <v>20</v>
      </c>
    </row>
    <row r="10292" spans="1:2" ht="15" customHeight="1" x14ac:dyDescent="0.3">
      <c r="A10292" t="s">
        <v>4428</v>
      </c>
      <c r="B10292">
        <f t="shared" si="1396"/>
        <v>20</v>
      </c>
    </row>
    <row r="10293" spans="1:2" ht="15" customHeight="1" x14ac:dyDescent="0.3">
      <c r="A10293" t="s">
        <v>4429</v>
      </c>
      <c r="B10293">
        <f t="shared" si="1396"/>
        <v>20</v>
      </c>
    </row>
    <row r="10294" spans="1:2" ht="15" customHeight="1" x14ac:dyDescent="0.3">
      <c r="A10294" t="s">
        <v>4430</v>
      </c>
      <c r="B10294">
        <f t="shared" si="1396"/>
        <v>20</v>
      </c>
    </row>
    <row r="10295" spans="1:2" ht="15" customHeight="1" x14ac:dyDescent="0.3">
      <c r="A10295" t="s">
        <v>4431</v>
      </c>
      <c r="B10295">
        <f t="shared" si="1396"/>
        <v>15</v>
      </c>
    </row>
    <row r="10296" spans="1:2" ht="15" customHeight="1" x14ac:dyDescent="0.3">
      <c r="A10296" t="s">
        <v>10372</v>
      </c>
      <c r="B10296">
        <f t="shared" si="1396"/>
        <v>15</v>
      </c>
    </row>
    <row r="10297" spans="1:2" ht="15" customHeight="1" x14ac:dyDescent="0.3">
      <c r="A10297" t="s">
        <v>10371</v>
      </c>
      <c r="B10297">
        <f t="shared" si="1396"/>
        <v>25</v>
      </c>
    </row>
    <row r="10298" spans="1:2" ht="15" customHeight="1" x14ac:dyDescent="0.3">
      <c r="A10298" t="s">
        <v>10373</v>
      </c>
      <c r="B10298">
        <f t="shared" si="1396"/>
        <v>15</v>
      </c>
    </row>
    <row r="10299" spans="1:2" ht="15" customHeight="1" x14ac:dyDescent="0.3">
      <c r="A10299" t="s">
        <v>10374</v>
      </c>
      <c r="B10299">
        <f t="shared" ref="B10299:B10330" si="1397">B10188</f>
        <v>15</v>
      </c>
    </row>
    <row r="10300" spans="1:2" ht="15" customHeight="1" x14ac:dyDescent="0.3">
      <c r="A10300" t="s">
        <v>10375</v>
      </c>
      <c r="B10300">
        <f t="shared" si="1397"/>
        <v>20</v>
      </c>
    </row>
    <row r="10301" spans="1:2" ht="15" customHeight="1" x14ac:dyDescent="0.3">
      <c r="A10301" t="s">
        <v>10376</v>
      </c>
      <c r="B10301">
        <f t="shared" si="1397"/>
        <v>20</v>
      </c>
    </row>
    <row r="10302" spans="1:2" ht="15" customHeight="1" x14ac:dyDescent="0.3">
      <c r="A10302" t="s">
        <v>10327</v>
      </c>
      <c r="B10302">
        <f t="shared" si="1397"/>
        <v>20</v>
      </c>
    </row>
    <row r="10303" spans="1:2" ht="15" customHeight="1" x14ac:dyDescent="0.3">
      <c r="A10303" t="s">
        <v>10328</v>
      </c>
      <c r="B10303">
        <f t="shared" si="1397"/>
        <v>20</v>
      </c>
    </row>
    <row r="10304" spans="1:2" ht="15" customHeight="1" x14ac:dyDescent="0.3">
      <c r="A10304" t="s">
        <v>10329</v>
      </c>
      <c r="B10304">
        <f t="shared" si="1397"/>
        <v>20</v>
      </c>
    </row>
    <row r="10305" spans="1:2" ht="15" customHeight="1" x14ac:dyDescent="0.3">
      <c r="A10305" t="s">
        <v>10377</v>
      </c>
      <c r="B10305">
        <f t="shared" si="1397"/>
        <v>15</v>
      </c>
    </row>
    <row r="10306" spans="1:2" ht="15" customHeight="1" x14ac:dyDescent="0.3">
      <c r="A10306" t="s">
        <v>10378</v>
      </c>
      <c r="B10306">
        <f t="shared" si="1397"/>
        <v>20</v>
      </c>
    </row>
    <row r="10307" spans="1:2" ht="15" customHeight="1" x14ac:dyDescent="0.3">
      <c r="A10307" t="s">
        <v>10379</v>
      </c>
      <c r="B10307">
        <f t="shared" si="1397"/>
        <v>20</v>
      </c>
    </row>
    <row r="10308" spans="1:2" ht="15" customHeight="1" x14ac:dyDescent="0.3">
      <c r="A10308" t="s">
        <v>10380</v>
      </c>
      <c r="B10308">
        <f t="shared" si="1397"/>
        <v>20</v>
      </c>
    </row>
    <row r="10309" spans="1:2" ht="15" customHeight="1" x14ac:dyDescent="0.3">
      <c r="A10309" t="s">
        <v>10381</v>
      </c>
      <c r="B10309">
        <f t="shared" si="1397"/>
        <v>20</v>
      </c>
    </row>
    <row r="10310" spans="1:2" ht="15" customHeight="1" x14ac:dyDescent="0.3">
      <c r="A10310" t="s">
        <v>10382</v>
      </c>
      <c r="B10310">
        <f t="shared" si="1397"/>
        <v>20</v>
      </c>
    </row>
    <row r="10311" spans="1:2" ht="15" customHeight="1" x14ac:dyDescent="0.3">
      <c r="A10311" t="s">
        <v>10383</v>
      </c>
      <c r="B10311">
        <f t="shared" si="1397"/>
        <v>20</v>
      </c>
    </row>
    <row r="10312" spans="1:2" ht="15" customHeight="1" x14ac:dyDescent="0.3">
      <c r="A10312" t="s">
        <v>10384</v>
      </c>
      <c r="B10312">
        <f t="shared" si="1397"/>
        <v>20</v>
      </c>
    </row>
    <row r="10313" spans="1:2" ht="15" customHeight="1" x14ac:dyDescent="0.3">
      <c r="A10313" t="s">
        <v>10385</v>
      </c>
      <c r="B10313">
        <f t="shared" si="1397"/>
        <v>20</v>
      </c>
    </row>
    <row r="10314" spans="1:2" ht="15" customHeight="1" x14ac:dyDescent="0.3">
      <c r="A10314" t="s">
        <v>10386</v>
      </c>
      <c r="B10314">
        <f t="shared" si="1397"/>
        <v>15</v>
      </c>
    </row>
    <row r="10315" spans="1:2" ht="15" customHeight="1" x14ac:dyDescent="0.3">
      <c r="A10315" t="s">
        <v>10387</v>
      </c>
      <c r="B10315">
        <f t="shared" si="1397"/>
        <v>20</v>
      </c>
    </row>
    <row r="10316" spans="1:2" ht="15" customHeight="1" x14ac:dyDescent="0.3">
      <c r="A10316" t="s">
        <v>10388</v>
      </c>
      <c r="B10316">
        <f t="shared" si="1397"/>
        <v>15</v>
      </c>
    </row>
    <row r="10317" spans="1:2" ht="15" customHeight="1" x14ac:dyDescent="0.3">
      <c r="A10317" t="s">
        <v>10389</v>
      </c>
      <c r="B10317">
        <f t="shared" si="1397"/>
        <v>0</v>
      </c>
    </row>
    <row r="10318" spans="1:2" ht="15" customHeight="1" x14ac:dyDescent="0.3">
      <c r="A10318" t="s">
        <v>10390</v>
      </c>
      <c r="B10318">
        <f t="shared" si="1397"/>
        <v>20</v>
      </c>
    </row>
    <row r="10319" spans="1:2" ht="15" customHeight="1" x14ac:dyDescent="0.3">
      <c r="A10319" t="s">
        <v>10391</v>
      </c>
      <c r="B10319">
        <f t="shared" si="1397"/>
        <v>15</v>
      </c>
    </row>
    <row r="10320" spans="1:2" ht="15" customHeight="1" x14ac:dyDescent="0.3">
      <c r="A10320" t="s">
        <v>10392</v>
      </c>
      <c r="B10320">
        <f t="shared" si="1397"/>
        <v>20</v>
      </c>
    </row>
    <row r="10321" spans="1:2" ht="15" customHeight="1" x14ac:dyDescent="0.3">
      <c r="A10321" t="s">
        <v>10393</v>
      </c>
      <c r="B10321">
        <f t="shared" si="1397"/>
        <v>20</v>
      </c>
    </row>
    <row r="10322" spans="1:2" ht="15" customHeight="1" x14ac:dyDescent="0.3">
      <c r="A10322" t="s">
        <v>10394</v>
      </c>
      <c r="B10322">
        <f t="shared" si="1397"/>
        <v>15</v>
      </c>
    </row>
    <row r="10323" spans="1:2" ht="15" customHeight="1" x14ac:dyDescent="0.3">
      <c r="A10323" t="s">
        <v>10395</v>
      </c>
      <c r="B10323">
        <f t="shared" si="1397"/>
        <v>15</v>
      </c>
    </row>
    <row r="10324" spans="1:2" ht="15" customHeight="1" x14ac:dyDescent="0.3">
      <c r="A10324" t="s">
        <v>10396</v>
      </c>
      <c r="B10324">
        <f t="shared" si="1397"/>
        <v>15</v>
      </c>
    </row>
    <row r="10325" spans="1:2" ht="15" customHeight="1" x14ac:dyDescent="0.3">
      <c r="A10325" t="s">
        <v>10397</v>
      </c>
      <c r="B10325">
        <f t="shared" si="1397"/>
        <v>15</v>
      </c>
    </row>
    <row r="10326" spans="1:2" ht="15" customHeight="1" x14ac:dyDescent="0.3">
      <c r="A10326" t="s">
        <v>10398</v>
      </c>
      <c r="B10326">
        <f t="shared" si="1397"/>
        <v>15</v>
      </c>
    </row>
    <row r="10327" spans="1:2" ht="15" customHeight="1" x14ac:dyDescent="0.3">
      <c r="A10327" t="s">
        <v>10399</v>
      </c>
      <c r="B10327">
        <f t="shared" si="1397"/>
        <v>15</v>
      </c>
    </row>
    <row r="10328" spans="1:2" ht="15" customHeight="1" x14ac:dyDescent="0.3">
      <c r="A10328" t="s">
        <v>10400</v>
      </c>
      <c r="B10328">
        <f t="shared" si="1397"/>
        <v>15</v>
      </c>
    </row>
    <row r="10329" spans="1:2" ht="15" customHeight="1" x14ac:dyDescent="0.3">
      <c r="A10329" t="s">
        <v>10401</v>
      </c>
      <c r="B10329">
        <f t="shared" si="1397"/>
        <v>15</v>
      </c>
    </row>
    <row r="10330" spans="1:2" ht="15" customHeight="1" x14ac:dyDescent="0.3">
      <c r="A10330" t="s">
        <v>10402</v>
      </c>
      <c r="B10330">
        <f t="shared" si="1397"/>
        <v>15</v>
      </c>
    </row>
    <row r="10331" spans="1:2" ht="15" customHeight="1" x14ac:dyDescent="0.3">
      <c r="A10331" t="s">
        <v>10403</v>
      </c>
      <c r="B10331">
        <f t="shared" ref="B10331:B10345" si="1398">B10220</f>
        <v>15</v>
      </c>
    </row>
    <row r="10332" spans="1:2" ht="15" customHeight="1" x14ac:dyDescent="0.3">
      <c r="A10332" t="s">
        <v>10404</v>
      </c>
      <c r="B10332">
        <f t="shared" si="1398"/>
        <v>15</v>
      </c>
    </row>
    <row r="10333" spans="1:2" ht="15" customHeight="1" x14ac:dyDescent="0.3">
      <c r="A10333" t="s">
        <v>10405</v>
      </c>
      <c r="B10333">
        <f t="shared" si="1398"/>
        <v>15</v>
      </c>
    </row>
    <row r="10334" spans="1:2" ht="15" customHeight="1" x14ac:dyDescent="0.3">
      <c r="A10334" t="s">
        <v>10406</v>
      </c>
      <c r="B10334">
        <f t="shared" si="1398"/>
        <v>15</v>
      </c>
    </row>
    <row r="10335" spans="1:2" ht="15" customHeight="1" x14ac:dyDescent="0.3">
      <c r="A10335" t="s">
        <v>10407</v>
      </c>
      <c r="B10335">
        <f t="shared" si="1398"/>
        <v>15</v>
      </c>
    </row>
    <row r="10336" spans="1:2" ht="15" customHeight="1" x14ac:dyDescent="0.3">
      <c r="A10336" t="s">
        <v>10408</v>
      </c>
      <c r="B10336">
        <f t="shared" si="1398"/>
        <v>15</v>
      </c>
    </row>
    <row r="10337" spans="1:2" ht="15" customHeight="1" x14ac:dyDescent="0.3">
      <c r="A10337" t="s">
        <v>10409</v>
      </c>
      <c r="B10337">
        <f t="shared" si="1398"/>
        <v>20</v>
      </c>
    </row>
    <row r="10338" spans="1:2" ht="15" customHeight="1" x14ac:dyDescent="0.3">
      <c r="A10338" t="s">
        <v>10410</v>
      </c>
      <c r="B10338">
        <f t="shared" si="1398"/>
        <v>20</v>
      </c>
    </row>
    <row r="10339" spans="1:2" ht="15" customHeight="1" x14ac:dyDescent="0.3">
      <c r="A10339" t="s">
        <v>10411</v>
      </c>
      <c r="B10339">
        <f t="shared" si="1398"/>
        <v>20</v>
      </c>
    </row>
    <row r="10340" spans="1:2" ht="15" customHeight="1" x14ac:dyDescent="0.3">
      <c r="A10340" t="s">
        <v>10412</v>
      </c>
      <c r="B10340">
        <f t="shared" si="1398"/>
        <v>15</v>
      </c>
    </row>
    <row r="10341" spans="1:2" ht="15" customHeight="1" x14ac:dyDescent="0.3">
      <c r="A10341" t="s">
        <v>10413</v>
      </c>
      <c r="B10341">
        <f t="shared" si="1398"/>
        <v>15</v>
      </c>
    </row>
    <row r="10342" spans="1:2" ht="15" customHeight="1" x14ac:dyDescent="0.3">
      <c r="A10342" t="s">
        <v>10414</v>
      </c>
      <c r="B10342">
        <f t="shared" si="1398"/>
        <v>15</v>
      </c>
    </row>
    <row r="10343" spans="1:2" ht="15" customHeight="1" x14ac:dyDescent="0.3">
      <c r="A10343" t="s">
        <v>10415</v>
      </c>
      <c r="B10343">
        <f t="shared" si="1398"/>
        <v>15</v>
      </c>
    </row>
    <row r="10344" spans="1:2" ht="15" customHeight="1" x14ac:dyDescent="0.3">
      <c r="A10344" t="s">
        <v>10416</v>
      </c>
      <c r="B10344">
        <f t="shared" si="1398"/>
        <v>20</v>
      </c>
    </row>
    <row r="10345" spans="1:2" ht="15" customHeight="1" x14ac:dyDescent="0.3">
      <c r="A10345" t="s">
        <v>10417</v>
      </c>
      <c r="B10345">
        <f t="shared" si="1398"/>
        <v>20</v>
      </c>
    </row>
    <row r="10346" spans="1:2" ht="15" customHeight="1" x14ac:dyDescent="0.3">
      <c r="A10346" t="s">
        <v>4353</v>
      </c>
      <c r="B10346">
        <f t="shared" ref="B10346:B10377" si="1399">B4291</f>
        <v>15</v>
      </c>
    </row>
    <row r="10347" spans="1:2" ht="15" customHeight="1" x14ac:dyDescent="0.3">
      <c r="A10347" t="s">
        <v>4354</v>
      </c>
      <c r="B10347">
        <f t="shared" si="1399"/>
        <v>15</v>
      </c>
    </row>
    <row r="10348" spans="1:2" ht="15" customHeight="1" x14ac:dyDescent="0.3">
      <c r="A10348" t="s">
        <v>4355</v>
      </c>
      <c r="B10348">
        <f t="shared" si="1399"/>
        <v>15</v>
      </c>
    </row>
    <row r="10349" spans="1:2" ht="15" customHeight="1" x14ac:dyDescent="0.3">
      <c r="A10349" t="s">
        <v>4356</v>
      </c>
      <c r="B10349">
        <f t="shared" si="1399"/>
        <v>15</v>
      </c>
    </row>
    <row r="10350" spans="1:2" ht="15" customHeight="1" x14ac:dyDescent="0.3">
      <c r="A10350" t="s">
        <v>4357</v>
      </c>
      <c r="B10350">
        <f t="shared" si="1399"/>
        <v>15</v>
      </c>
    </row>
    <row r="10351" spans="1:2" ht="15" customHeight="1" x14ac:dyDescent="0.3">
      <c r="A10351" t="s">
        <v>4358</v>
      </c>
      <c r="B10351">
        <f t="shared" si="1399"/>
        <v>15</v>
      </c>
    </row>
    <row r="10352" spans="1:2" ht="15" customHeight="1" x14ac:dyDescent="0.3">
      <c r="A10352" t="s">
        <v>4359</v>
      </c>
      <c r="B10352">
        <f t="shared" si="1399"/>
        <v>15</v>
      </c>
    </row>
    <row r="10353" spans="1:2" ht="15" customHeight="1" x14ac:dyDescent="0.3">
      <c r="A10353" t="s">
        <v>4360</v>
      </c>
      <c r="B10353">
        <f t="shared" si="1399"/>
        <v>15</v>
      </c>
    </row>
    <row r="10354" spans="1:2" ht="15" customHeight="1" x14ac:dyDescent="0.3">
      <c r="A10354" t="s">
        <v>4361</v>
      </c>
      <c r="B10354">
        <f t="shared" si="1399"/>
        <v>0</v>
      </c>
    </row>
    <row r="10355" spans="1:2" ht="15" customHeight="1" x14ac:dyDescent="0.3">
      <c r="A10355" t="s">
        <v>4362</v>
      </c>
      <c r="B10355">
        <f t="shared" si="1399"/>
        <v>15</v>
      </c>
    </row>
    <row r="10356" spans="1:2" ht="15" customHeight="1" x14ac:dyDescent="0.3">
      <c r="A10356" t="s">
        <v>4363</v>
      </c>
      <c r="B10356">
        <f t="shared" si="1399"/>
        <v>15</v>
      </c>
    </row>
    <row r="10357" spans="1:2" ht="15" customHeight="1" x14ac:dyDescent="0.3">
      <c r="A10357" t="s">
        <v>4364</v>
      </c>
      <c r="B10357">
        <f t="shared" si="1399"/>
        <v>15</v>
      </c>
    </row>
    <row r="10358" spans="1:2" ht="15" customHeight="1" x14ac:dyDescent="0.3">
      <c r="A10358" t="s">
        <v>4365</v>
      </c>
      <c r="B10358">
        <f t="shared" si="1399"/>
        <v>15</v>
      </c>
    </row>
    <row r="10359" spans="1:2" ht="15" customHeight="1" x14ac:dyDescent="0.3">
      <c r="A10359" t="s">
        <v>4366</v>
      </c>
      <c r="B10359">
        <f t="shared" si="1399"/>
        <v>15</v>
      </c>
    </row>
    <row r="10360" spans="1:2" ht="15" customHeight="1" x14ac:dyDescent="0.3">
      <c r="A10360" t="s">
        <v>4367</v>
      </c>
      <c r="B10360">
        <f t="shared" si="1399"/>
        <v>15</v>
      </c>
    </row>
    <row r="10361" spans="1:2" ht="15" customHeight="1" x14ac:dyDescent="0.3">
      <c r="A10361" t="s">
        <v>4368</v>
      </c>
      <c r="B10361">
        <f t="shared" si="1399"/>
        <v>15</v>
      </c>
    </row>
    <row r="10362" spans="1:2" ht="15" customHeight="1" x14ac:dyDescent="0.3">
      <c r="A10362" t="s">
        <v>4369</v>
      </c>
      <c r="B10362">
        <f t="shared" si="1399"/>
        <v>15</v>
      </c>
    </row>
    <row r="10363" spans="1:2" ht="15" customHeight="1" x14ac:dyDescent="0.3">
      <c r="A10363" t="s">
        <v>4370</v>
      </c>
      <c r="B10363">
        <f t="shared" si="1399"/>
        <v>15</v>
      </c>
    </row>
    <row r="10364" spans="1:2" ht="15" customHeight="1" x14ac:dyDescent="0.3">
      <c r="A10364" t="s">
        <v>4371</v>
      </c>
      <c r="B10364">
        <f t="shared" si="1399"/>
        <v>15</v>
      </c>
    </row>
    <row r="10365" spans="1:2" ht="15" customHeight="1" x14ac:dyDescent="0.3">
      <c r="A10365" t="s">
        <v>4372</v>
      </c>
      <c r="B10365">
        <f t="shared" si="1399"/>
        <v>15</v>
      </c>
    </row>
    <row r="10366" spans="1:2" ht="15" customHeight="1" x14ac:dyDescent="0.3">
      <c r="A10366" t="s">
        <v>4373</v>
      </c>
      <c r="B10366">
        <f t="shared" si="1399"/>
        <v>15</v>
      </c>
    </row>
    <row r="10367" spans="1:2" ht="15" customHeight="1" x14ac:dyDescent="0.3">
      <c r="A10367" t="s">
        <v>4374</v>
      </c>
      <c r="B10367">
        <f t="shared" si="1399"/>
        <v>15</v>
      </c>
    </row>
    <row r="10368" spans="1:2" ht="15" customHeight="1" x14ac:dyDescent="0.3">
      <c r="A10368" t="s">
        <v>4375</v>
      </c>
      <c r="B10368">
        <f t="shared" si="1399"/>
        <v>15</v>
      </c>
    </row>
    <row r="10369" spans="1:2" ht="15" customHeight="1" x14ac:dyDescent="0.3">
      <c r="A10369" t="s">
        <v>4376</v>
      </c>
      <c r="B10369">
        <f t="shared" si="1399"/>
        <v>15</v>
      </c>
    </row>
    <row r="10370" spans="1:2" ht="15" customHeight="1" x14ac:dyDescent="0.3">
      <c r="A10370" t="s">
        <v>4377</v>
      </c>
      <c r="B10370">
        <f t="shared" si="1399"/>
        <v>15</v>
      </c>
    </row>
    <row r="10371" spans="1:2" ht="15" customHeight="1" x14ac:dyDescent="0.3">
      <c r="A10371" t="s">
        <v>4378</v>
      </c>
      <c r="B10371">
        <f t="shared" si="1399"/>
        <v>15</v>
      </c>
    </row>
    <row r="10372" spans="1:2" ht="15" customHeight="1" x14ac:dyDescent="0.3">
      <c r="A10372" t="s">
        <v>4379</v>
      </c>
      <c r="B10372">
        <f t="shared" si="1399"/>
        <v>15</v>
      </c>
    </row>
    <row r="10373" spans="1:2" ht="15" customHeight="1" x14ac:dyDescent="0.3">
      <c r="A10373" t="s">
        <v>4380</v>
      </c>
      <c r="B10373">
        <f t="shared" si="1399"/>
        <v>15</v>
      </c>
    </row>
    <row r="10374" spans="1:2" ht="15" customHeight="1" x14ac:dyDescent="0.3">
      <c r="A10374" t="s">
        <v>4381</v>
      </c>
      <c r="B10374">
        <f t="shared" si="1399"/>
        <v>15</v>
      </c>
    </row>
    <row r="10375" spans="1:2" ht="15" customHeight="1" x14ac:dyDescent="0.3">
      <c r="A10375" t="s">
        <v>4382</v>
      </c>
      <c r="B10375">
        <f t="shared" si="1399"/>
        <v>15</v>
      </c>
    </row>
    <row r="10376" spans="1:2" ht="15" customHeight="1" x14ac:dyDescent="0.3">
      <c r="A10376" t="s">
        <v>4383</v>
      </c>
      <c r="B10376">
        <f t="shared" si="1399"/>
        <v>15</v>
      </c>
    </row>
    <row r="10377" spans="1:2" ht="15" customHeight="1" x14ac:dyDescent="0.3">
      <c r="A10377" t="s">
        <v>4384</v>
      </c>
      <c r="B10377">
        <f t="shared" si="1399"/>
        <v>15</v>
      </c>
    </row>
    <row r="10378" spans="1:2" ht="15" customHeight="1" x14ac:dyDescent="0.3">
      <c r="A10378" t="s">
        <v>4385</v>
      </c>
      <c r="B10378">
        <f t="shared" ref="B10378:B10406" si="1400">B4323</f>
        <v>15</v>
      </c>
    </row>
    <row r="10379" spans="1:2" ht="15" customHeight="1" x14ac:dyDescent="0.3">
      <c r="A10379" t="s">
        <v>4386</v>
      </c>
      <c r="B10379">
        <f t="shared" si="1400"/>
        <v>15</v>
      </c>
    </row>
    <row r="10380" spans="1:2" ht="15" customHeight="1" x14ac:dyDescent="0.3">
      <c r="A10380" t="s">
        <v>4387</v>
      </c>
      <c r="B10380">
        <f t="shared" si="1400"/>
        <v>15</v>
      </c>
    </row>
    <row r="10381" spans="1:2" ht="15" customHeight="1" x14ac:dyDescent="0.3">
      <c r="A10381" t="s">
        <v>4388</v>
      </c>
      <c r="B10381">
        <f t="shared" si="1400"/>
        <v>0</v>
      </c>
    </row>
    <row r="10382" spans="1:2" ht="15" customHeight="1" x14ac:dyDescent="0.3">
      <c r="A10382" t="s">
        <v>4389</v>
      </c>
      <c r="B10382">
        <f t="shared" si="1400"/>
        <v>20</v>
      </c>
    </row>
    <row r="10383" spans="1:2" ht="15" customHeight="1" x14ac:dyDescent="0.3">
      <c r="A10383" t="s">
        <v>4390</v>
      </c>
      <c r="B10383">
        <f t="shared" si="1400"/>
        <v>20</v>
      </c>
    </row>
    <row r="10384" spans="1:2" ht="15" customHeight="1" x14ac:dyDescent="0.3">
      <c r="A10384" t="s">
        <v>4391</v>
      </c>
      <c r="B10384">
        <f t="shared" si="1400"/>
        <v>20</v>
      </c>
    </row>
    <row r="10385" spans="1:2" ht="15" customHeight="1" x14ac:dyDescent="0.3">
      <c r="A10385" t="s">
        <v>4392</v>
      </c>
      <c r="B10385">
        <f t="shared" si="1400"/>
        <v>20</v>
      </c>
    </row>
    <row r="10386" spans="1:2" ht="15" customHeight="1" x14ac:dyDescent="0.3">
      <c r="A10386" t="s">
        <v>4393</v>
      </c>
      <c r="B10386">
        <f t="shared" si="1400"/>
        <v>20</v>
      </c>
    </row>
    <row r="10387" spans="1:2" ht="15" customHeight="1" x14ac:dyDescent="0.3">
      <c r="A10387" t="s">
        <v>4394</v>
      </c>
      <c r="B10387">
        <f t="shared" si="1400"/>
        <v>20</v>
      </c>
    </row>
    <row r="10388" spans="1:2" ht="15" customHeight="1" x14ac:dyDescent="0.3">
      <c r="A10388" t="s">
        <v>4395</v>
      </c>
      <c r="B10388">
        <f t="shared" si="1400"/>
        <v>20</v>
      </c>
    </row>
    <row r="10389" spans="1:2" ht="15" customHeight="1" x14ac:dyDescent="0.3">
      <c r="A10389" t="s">
        <v>4414</v>
      </c>
      <c r="B10389">
        <f t="shared" si="1400"/>
        <v>0</v>
      </c>
    </row>
    <row r="10390" spans="1:2" ht="15" customHeight="1" x14ac:dyDescent="0.3">
      <c r="A10390" t="s">
        <v>4415</v>
      </c>
      <c r="B10390">
        <f t="shared" si="1400"/>
        <v>10</v>
      </c>
    </row>
    <row r="10391" spans="1:2" ht="15" customHeight="1" x14ac:dyDescent="0.3">
      <c r="A10391" t="s">
        <v>4416</v>
      </c>
      <c r="B10391">
        <f t="shared" si="1400"/>
        <v>20</v>
      </c>
    </row>
    <row r="10392" spans="1:2" ht="15" customHeight="1" x14ac:dyDescent="0.3">
      <c r="A10392" t="s">
        <v>4417</v>
      </c>
      <c r="B10392">
        <f t="shared" si="1400"/>
        <v>20</v>
      </c>
    </row>
    <row r="10393" spans="1:2" ht="15" customHeight="1" x14ac:dyDescent="0.3">
      <c r="A10393" t="s">
        <v>4418</v>
      </c>
      <c r="B10393">
        <f t="shared" si="1400"/>
        <v>20</v>
      </c>
    </row>
    <row r="10394" spans="1:2" ht="15" customHeight="1" x14ac:dyDescent="0.3">
      <c r="A10394" t="s">
        <v>4419</v>
      </c>
      <c r="B10394">
        <f t="shared" si="1400"/>
        <v>20</v>
      </c>
    </row>
    <row r="10395" spans="1:2" ht="15" customHeight="1" x14ac:dyDescent="0.3">
      <c r="A10395" t="s">
        <v>4420</v>
      </c>
      <c r="B10395">
        <f t="shared" si="1400"/>
        <v>20</v>
      </c>
    </row>
    <row r="10396" spans="1:2" ht="15" customHeight="1" x14ac:dyDescent="0.3">
      <c r="A10396" t="s">
        <v>4421</v>
      </c>
      <c r="B10396">
        <f t="shared" si="1400"/>
        <v>20</v>
      </c>
    </row>
    <row r="10397" spans="1:2" ht="15" customHeight="1" x14ac:dyDescent="0.3">
      <c r="A10397" t="s">
        <v>4422</v>
      </c>
      <c r="B10397">
        <f t="shared" si="1400"/>
        <v>20</v>
      </c>
    </row>
    <row r="10398" spans="1:2" ht="15" customHeight="1" x14ac:dyDescent="0.3">
      <c r="A10398" t="s">
        <v>4423</v>
      </c>
      <c r="B10398">
        <f t="shared" si="1400"/>
        <v>0</v>
      </c>
    </row>
    <row r="10399" spans="1:2" ht="15" customHeight="1" x14ac:dyDescent="0.3">
      <c r="A10399" t="s">
        <v>4424</v>
      </c>
      <c r="B10399">
        <f t="shared" si="1400"/>
        <v>15</v>
      </c>
    </row>
    <row r="10400" spans="1:2" ht="15" customHeight="1" x14ac:dyDescent="0.3">
      <c r="A10400" t="s">
        <v>4425</v>
      </c>
      <c r="B10400">
        <f t="shared" si="1400"/>
        <v>15</v>
      </c>
    </row>
    <row r="10401" spans="1:2" ht="15" customHeight="1" x14ac:dyDescent="0.3">
      <c r="A10401" t="s">
        <v>4426</v>
      </c>
      <c r="B10401">
        <f t="shared" si="1400"/>
        <v>20</v>
      </c>
    </row>
    <row r="10402" spans="1:2" ht="15" customHeight="1" x14ac:dyDescent="0.3">
      <c r="A10402" t="s">
        <v>4427</v>
      </c>
      <c r="B10402">
        <f t="shared" si="1400"/>
        <v>20</v>
      </c>
    </row>
    <row r="10403" spans="1:2" ht="15" customHeight="1" x14ac:dyDescent="0.3">
      <c r="A10403" t="s">
        <v>4428</v>
      </c>
      <c r="B10403">
        <f t="shared" si="1400"/>
        <v>20</v>
      </c>
    </row>
    <row r="10404" spans="1:2" ht="15" customHeight="1" x14ac:dyDescent="0.3">
      <c r="A10404" t="s">
        <v>4429</v>
      </c>
      <c r="B10404">
        <f t="shared" si="1400"/>
        <v>20</v>
      </c>
    </row>
    <row r="10405" spans="1:2" ht="15" customHeight="1" x14ac:dyDescent="0.3">
      <c r="A10405" t="s">
        <v>4430</v>
      </c>
      <c r="B10405">
        <f t="shared" si="1400"/>
        <v>20</v>
      </c>
    </row>
    <row r="10406" spans="1:2" ht="15" customHeight="1" x14ac:dyDescent="0.3">
      <c r="A10406" t="s">
        <v>4431</v>
      </c>
      <c r="B10406">
        <f t="shared" si="1400"/>
        <v>15</v>
      </c>
    </row>
    <row r="10407" spans="1:2" ht="15" customHeight="1" x14ac:dyDescent="0.3">
      <c r="A10407" s="33" t="s">
        <v>3970</v>
      </c>
      <c r="B10407">
        <f t="shared" ref="B10407:B10441" si="1401">B4498</f>
        <v>3</v>
      </c>
    </row>
    <row r="10408" spans="1:2" ht="15" customHeight="1" x14ac:dyDescent="0.3">
      <c r="A10408" s="33" t="s">
        <v>3971</v>
      </c>
      <c r="B10408">
        <f t="shared" si="1401"/>
        <v>3</v>
      </c>
    </row>
    <row r="10409" spans="1:2" ht="15" customHeight="1" x14ac:dyDescent="0.3">
      <c r="A10409" s="33" t="s">
        <v>3972</v>
      </c>
      <c r="B10409">
        <f t="shared" si="1401"/>
        <v>3</v>
      </c>
    </row>
    <row r="10410" spans="1:2" ht="15" customHeight="1" x14ac:dyDescent="0.3">
      <c r="A10410" s="33" t="s">
        <v>3973</v>
      </c>
      <c r="B10410">
        <f t="shared" si="1401"/>
        <v>3</v>
      </c>
    </row>
    <row r="10411" spans="1:2" ht="15" customHeight="1" x14ac:dyDescent="0.3">
      <c r="A10411" s="33" t="s">
        <v>3974</v>
      </c>
      <c r="B10411">
        <f t="shared" si="1401"/>
        <v>3</v>
      </c>
    </row>
    <row r="10412" spans="1:2" ht="15" customHeight="1" x14ac:dyDescent="0.3">
      <c r="A10412" s="33" t="s">
        <v>3975</v>
      </c>
      <c r="B10412">
        <f t="shared" si="1401"/>
        <v>3</v>
      </c>
    </row>
    <row r="10413" spans="1:2" ht="15" customHeight="1" x14ac:dyDescent="0.3">
      <c r="A10413" s="33" t="s">
        <v>3976</v>
      </c>
      <c r="B10413">
        <f t="shared" si="1401"/>
        <v>3</v>
      </c>
    </row>
    <row r="10414" spans="1:2" ht="15" customHeight="1" x14ac:dyDescent="0.3">
      <c r="A10414" s="33" t="s">
        <v>3977</v>
      </c>
      <c r="B10414">
        <f t="shared" si="1401"/>
        <v>3</v>
      </c>
    </row>
    <row r="10415" spans="1:2" ht="15" customHeight="1" x14ac:dyDescent="0.3">
      <c r="A10415" s="33" t="s">
        <v>3978</v>
      </c>
      <c r="B10415">
        <f t="shared" si="1401"/>
        <v>3</v>
      </c>
    </row>
    <row r="10416" spans="1:2" ht="15" customHeight="1" x14ac:dyDescent="0.3">
      <c r="A10416" s="33" t="s">
        <v>3979</v>
      </c>
      <c r="B10416">
        <f t="shared" si="1401"/>
        <v>3</v>
      </c>
    </row>
    <row r="10417" spans="1:2" ht="15" customHeight="1" x14ac:dyDescent="0.3">
      <c r="A10417" s="33" t="s">
        <v>3980</v>
      </c>
      <c r="B10417">
        <f t="shared" si="1401"/>
        <v>3</v>
      </c>
    </row>
    <row r="10418" spans="1:2" ht="15" customHeight="1" x14ac:dyDescent="0.3">
      <c r="A10418" s="33" t="s">
        <v>3981</v>
      </c>
      <c r="B10418">
        <f t="shared" si="1401"/>
        <v>3</v>
      </c>
    </row>
    <row r="10419" spans="1:2" ht="15" customHeight="1" x14ac:dyDescent="0.3">
      <c r="A10419" s="33" t="s">
        <v>3982</v>
      </c>
      <c r="B10419">
        <f t="shared" si="1401"/>
        <v>3</v>
      </c>
    </row>
    <row r="10420" spans="1:2" ht="15" customHeight="1" x14ac:dyDescent="0.3">
      <c r="A10420" s="33" t="s">
        <v>3983</v>
      </c>
      <c r="B10420">
        <f t="shared" si="1401"/>
        <v>3</v>
      </c>
    </row>
    <row r="10421" spans="1:2" ht="15" customHeight="1" x14ac:dyDescent="0.3">
      <c r="A10421" s="33" t="s">
        <v>3984</v>
      </c>
      <c r="B10421">
        <f t="shared" si="1401"/>
        <v>3</v>
      </c>
    </row>
    <row r="10422" spans="1:2" ht="15" customHeight="1" x14ac:dyDescent="0.3">
      <c r="A10422" s="33" t="s">
        <v>3985</v>
      </c>
      <c r="B10422">
        <f t="shared" si="1401"/>
        <v>3</v>
      </c>
    </row>
    <row r="10423" spans="1:2" ht="15" customHeight="1" x14ac:dyDescent="0.3">
      <c r="A10423" s="33" t="s">
        <v>3986</v>
      </c>
      <c r="B10423">
        <f t="shared" si="1401"/>
        <v>3</v>
      </c>
    </row>
    <row r="10424" spans="1:2" ht="15" customHeight="1" x14ac:dyDescent="0.3">
      <c r="A10424" s="33" t="s">
        <v>3987</v>
      </c>
      <c r="B10424">
        <f t="shared" si="1401"/>
        <v>3</v>
      </c>
    </row>
    <row r="10425" spans="1:2" ht="15" customHeight="1" x14ac:dyDescent="0.3">
      <c r="A10425" s="33" t="s">
        <v>3988</v>
      </c>
      <c r="B10425">
        <f t="shared" si="1401"/>
        <v>3</v>
      </c>
    </row>
    <row r="10426" spans="1:2" ht="15" customHeight="1" x14ac:dyDescent="0.3">
      <c r="A10426" s="33" t="s">
        <v>3989</v>
      </c>
      <c r="B10426">
        <f t="shared" si="1401"/>
        <v>3</v>
      </c>
    </row>
    <row r="10427" spans="1:2" ht="15" customHeight="1" x14ac:dyDescent="0.3">
      <c r="A10427" s="33" t="s">
        <v>3990</v>
      </c>
      <c r="B10427">
        <f t="shared" si="1401"/>
        <v>3</v>
      </c>
    </row>
    <row r="10428" spans="1:2" ht="15" customHeight="1" x14ac:dyDescent="0.3">
      <c r="A10428" s="33" t="s">
        <v>3991</v>
      </c>
      <c r="B10428">
        <f t="shared" si="1401"/>
        <v>3</v>
      </c>
    </row>
    <row r="10429" spans="1:2" ht="15" customHeight="1" x14ac:dyDescent="0.3">
      <c r="A10429" s="33" t="s">
        <v>3992</v>
      </c>
      <c r="B10429">
        <f t="shared" si="1401"/>
        <v>3</v>
      </c>
    </row>
    <row r="10430" spans="1:2" ht="15" customHeight="1" x14ac:dyDescent="0.3">
      <c r="A10430" s="33" t="s">
        <v>3993</v>
      </c>
      <c r="B10430">
        <f t="shared" si="1401"/>
        <v>3</v>
      </c>
    </row>
    <row r="10431" spans="1:2" ht="15" customHeight="1" x14ac:dyDescent="0.3">
      <c r="A10431" s="33" t="s">
        <v>3994</v>
      </c>
      <c r="B10431">
        <f t="shared" si="1401"/>
        <v>3</v>
      </c>
    </row>
    <row r="10432" spans="1:2" ht="15" customHeight="1" x14ac:dyDescent="0.3">
      <c r="A10432" s="33" t="s">
        <v>3995</v>
      </c>
      <c r="B10432">
        <f t="shared" si="1401"/>
        <v>3</v>
      </c>
    </row>
    <row r="10433" spans="1:2" ht="15" customHeight="1" x14ac:dyDescent="0.3">
      <c r="A10433" s="33" t="s">
        <v>3996</v>
      </c>
      <c r="B10433">
        <f t="shared" si="1401"/>
        <v>4</v>
      </c>
    </row>
    <row r="10434" spans="1:2" ht="15" customHeight="1" x14ac:dyDescent="0.3">
      <c r="A10434" s="33" t="s">
        <v>3997</v>
      </c>
      <c r="B10434">
        <f t="shared" si="1401"/>
        <v>4</v>
      </c>
    </row>
    <row r="10435" spans="1:2" ht="15" customHeight="1" x14ac:dyDescent="0.3">
      <c r="A10435" s="33" t="s">
        <v>3998</v>
      </c>
      <c r="B10435">
        <f t="shared" si="1401"/>
        <v>4</v>
      </c>
    </row>
    <row r="10436" spans="1:2" ht="15" customHeight="1" x14ac:dyDescent="0.3">
      <c r="A10436" s="33" t="s">
        <v>3999</v>
      </c>
      <c r="B10436">
        <f t="shared" si="1401"/>
        <v>4</v>
      </c>
    </row>
    <row r="10437" spans="1:2" ht="15" customHeight="1" x14ac:dyDescent="0.3">
      <c r="A10437" s="33" t="s">
        <v>4000</v>
      </c>
      <c r="B10437">
        <f t="shared" si="1401"/>
        <v>4</v>
      </c>
    </row>
    <row r="10438" spans="1:2" ht="15" customHeight="1" x14ac:dyDescent="0.3">
      <c r="A10438" s="33" t="s">
        <v>4001</v>
      </c>
      <c r="B10438">
        <f t="shared" si="1401"/>
        <v>4</v>
      </c>
    </row>
    <row r="10439" spans="1:2" ht="15" customHeight="1" x14ac:dyDescent="0.3">
      <c r="A10439" s="33" t="s">
        <v>4002</v>
      </c>
      <c r="B10439">
        <f t="shared" si="1401"/>
        <v>4</v>
      </c>
    </row>
    <row r="10440" spans="1:2" ht="15" customHeight="1" x14ac:dyDescent="0.3">
      <c r="A10440" s="33" t="s">
        <v>4003</v>
      </c>
      <c r="B10440">
        <f t="shared" si="1401"/>
        <v>3</v>
      </c>
    </row>
    <row r="10441" spans="1:2" ht="15" customHeight="1" x14ac:dyDescent="0.3">
      <c r="A10441" s="33" t="s">
        <v>4004</v>
      </c>
      <c r="B10441">
        <f t="shared" si="1401"/>
        <v>4</v>
      </c>
    </row>
    <row r="10442" spans="1:2" ht="15" customHeight="1" x14ac:dyDescent="0.3">
      <c r="A10442" s="33" t="s">
        <v>9529</v>
      </c>
      <c r="B10442">
        <f t="shared" ref="B10442:B10476" si="1402">B10407</f>
        <v>3</v>
      </c>
    </row>
    <row r="10443" spans="1:2" ht="15" customHeight="1" x14ac:dyDescent="0.3">
      <c r="A10443" s="33" t="s">
        <v>9530</v>
      </c>
      <c r="B10443">
        <f t="shared" si="1402"/>
        <v>3</v>
      </c>
    </row>
    <row r="10444" spans="1:2" ht="15" customHeight="1" x14ac:dyDescent="0.3">
      <c r="A10444" s="33" t="s">
        <v>9531</v>
      </c>
      <c r="B10444">
        <f t="shared" si="1402"/>
        <v>3</v>
      </c>
    </row>
    <row r="10445" spans="1:2" ht="15" customHeight="1" x14ac:dyDescent="0.3">
      <c r="A10445" s="33" t="s">
        <v>9532</v>
      </c>
      <c r="B10445">
        <f t="shared" si="1402"/>
        <v>3</v>
      </c>
    </row>
    <row r="10446" spans="1:2" ht="15" customHeight="1" x14ac:dyDescent="0.3">
      <c r="A10446" s="33" t="s">
        <v>9533</v>
      </c>
      <c r="B10446">
        <f t="shared" si="1402"/>
        <v>3</v>
      </c>
    </row>
    <row r="10447" spans="1:2" ht="15" customHeight="1" x14ac:dyDescent="0.3">
      <c r="A10447" s="33" t="s">
        <v>9534</v>
      </c>
      <c r="B10447">
        <f t="shared" si="1402"/>
        <v>3</v>
      </c>
    </row>
    <row r="10448" spans="1:2" ht="15" customHeight="1" x14ac:dyDescent="0.3">
      <c r="A10448" s="33" t="s">
        <v>9535</v>
      </c>
      <c r="B10448">
        <f t="shared" si="1402"/>
        <v>3</v>
      </c>
    </row>
    <row r="10449" spans="1:2" ht="15" customHeight="1" x14ac:dyDescent="0.3">
      <c r="A10449" s="33" t="s">
        <v>9536</v>
      </c>
      <c r="B10449">
        <f t="shared" si="1402"/>
        <v>3</v>
      </c>
    </row>
    <row r="10450" spans="1:2" ht="15" customHeight="1" x14ac:dyDescent="0.3">
      <c r="A10450" s="33" t="s">
        <v>9537</v>
      </c>
      <c r="B10450">
        <f t="shared" si="1402"/>
        <v>3</v>
      </c>
    </row>
    <row r="10451" spans="1:2" ht="15" customHeight="1" x14ac:dyDescent="0.3">
      <c r="A10451" s="33" t="s">
        <v>9538</v>
      </c>
      <c r="B10451">
        <f t="shared" si="1402"/>
        <v>3</v>
      </c>
    </row>
    <row r="10452" spans="1:2" ht="15" customHeight="1" x14ac:dyDescent="0.3">
      <c r="A10452" s="33" t="s">
        <v>9539</v>
      </c>
      <c r="B10452">
        <f t="shared" si="1402"/>
        <v>3</v>
      </c>
    </row>
    <row r="10453" spans="1:2" ht="15" customHeight="1" x14ac:dyDescent="0.3">
      <c r="A10453" s="33" t="s">
        <v>9540</v>
      </c>
      <c r="B10453">
        <f t="shared" si="1402"/>
        <v>3</v>
      </c>
    </row>
    <row r="10454" spans="1:2" ht="15" customHeight="1" x14ac:dyDescent="0.3">
      <c r="A10454" s="33" t="s">
        <v>9541</v>
      </c>
      <c r="B10454">
        <f t="shared" si="1402"/>
        <v>3</v>
      </c>
    </row>
    <row r="10455" spans="1:2" ht="15" customHeight="1" x14ac:dyDescent="0.3">
      <c r="A10455" s="33" t="s">
        <v>9542</v>
      </c>
      <c r="B10455">
        <f t="shared" si="1402"/>
        <v>3</v>
      </c>
    </row>
    <row r="10456" spans="1:2" ht="15" customHeight="1" x14ac:dyDescent="0.3">
      <c r="A10456" s="33" t="s">
        <v>9543</v>
      </c>
      <c r="B10456">
        <f t="shared" si="1402"/>
        <v>3</v>
      </c>
    </row>
    <row r="10457" spans="1:2" ht="15" customHeight="1" x14ac:dyDescent="0.3">
      <c r="A10457" s="33" t="s">
        <v>9544</v>
      </c>
      <c r="B10457">
        <f t="shared" si="1402"/>
        <v>3</v>
      </c>
    </row>
    <row r="10458" spans="1:2" ht="15" customHeight="1" x14ac:dyDescent="0.3">
      <c r="A10458" s="33" t="s">
        <v>9545</v>
      </c>
      <c r="B10458">
        <f t="shared" si="1402"/>
        <v>3</v>
      </c>
    </row>
    <row r="10459" spans="1:2" ht="15" customHeight="1" x14ac:dyDescent="0.3">
      <c r="A10459" s="33" t="s">
        <v>9546</v>
      </c>
      <c r="B10459">
        <f t="shared" si="1402"/>
        <v>3</v>
      </c>
    </row>
    <row r="10460" spans="1:2" ht="15" customHeight="1" x14ac:dyDescent="0.3">
      <c r="A10460" s="33" t="s">
        <v>9547</v>
      </c>
      <c r="B10460">
        <f t="shared" si="1402"/>
        <v>3</v>
      </c>
    </row>
    <row r="10461" spans="1:2" ht="15" customHeight="1" x14ac:dyDescent="0.3">
      <c r="A10461" s="33" t="s">
        <v>9548</v>
      </c>
      <c r="B10461">
        <f t="shared" si="1402"/>
        <v>3</v>
      </c>
    </row>
    <row r="10462" spans="1:2" ht="15" customHeight="1" x14ac:dyDescent="0.3">
      <c r="A10462" s="33" t="s">
        <v>9549</v>
      </c>
      <c r="B10462">
        <f t="shared" si="1402"/>
        <v>3</v>
      </c>
    </row>
    <row r="10463" spans="1:2" ht="15" customHeight="1" x14ac:dyDescent="0.3">
      <c r="A10463" s="33" t="s">
        <v>9550</v>
      </c>
      <c r="B10463">
        <f t="shared" si="1402"/>
        <v>3</v>
      </c>
    </row>
    <row r="10464" spans="1:2" ht="15" customHeight="1" x14ac:dyDescent="0.3">
      <c r="A10464" s="33" t="s">
        <v>9551</v>
      </c>
      <c r="B10464">
        <f t="shared" si="1402"/>
        <v>3</v>
      </c>
    </row>
    <row r="10465" spans="1:2" ht="15" customHeight="1" x14ac:dyDescent="0.3">
      <c r="A10465" s="33" t="s">
        <v>9552</v>
      </c>
      <c r="B10465">
        <f t="shared" si="1402"/>
        <v>3</v>
      </c>
    </row>
    <row r="10466" spans="1:2" ht="15" customHeight="1" x14ac:dyDescent="0.3">
      <c r="A10466" s="33" t="s">
        <v>9553</v>
      </c>
      <c r="B10466">
        <f t="shared" si="1402"/>
        <v>3</v>
      </c>
    </row>
    <row r="10467" spans="1:2" ht="15" customHeight="1" x14ac:dyDescent="0.3">
      <c r="A10467" s="33" t="s">
        <v>9554</v>
      </c>
      <c r="B10467">
        <f t="shared" si="1402"/>
        <v>3</v>
      </c>
    </row>
    <row r="10468" spans="1:2" ht="15" customHeight="1" x14ac:dyDescent="0.3">
      <c r="A10468" s="33" t="s">
        <v>9555</v>
      </c>
      <c r="B10468">
        <f t="shared" si="1402"/>
        <v>4</v>
      </c>
    </row>
    <row r="10469" spans="1:2" ht="15" customHeight="1" x14ac:dyDescent="0.3">
      <c r="A10469" s="33" t="s">
        <v>9556</v>
      </c>
      <c r="B10469">
        <f t="shared" si="1402"/>
        <v>4</v>
      </c>
    </row>
    <row r="10470" spans="1:2" ht="15" customHeight="1" x14ac:dyDescent="0.3">
      <c r="A10470" s="33" t="s">
        <v>9557</v>
      </c>
      <c r="B10470">
        <f t="shared" si="1402"/>
        <v>4</v>
      </c>
    </row>
    <row r="10471" spans="1:2" ht="15" customHeight="1" x14ac:dyDescent="0.3">
      <c r="A10471" s="33" t="s">
        <v>9558</v>
      </c>
      <c r="B10471">
        <f t="shared" si="1402"/>
        <v>4</v>
      </c>
    </row>
    <row r="10472" spans="1:2" ht="15" customHeight="1" x14ac:dyDescent="0.3">
      <c r="A10472" s="33" t="s">
        <v>9559</v>
      </c>
      <c r="B10472">
        <f t="shared" si="1402"/>
        <v>4</v>
      </c>
    </row>
    <row r="10473" spans="1:2" ht="15" customHeight="1" x14ac:dyDescent="0.3">
      <c r="A10473" s="33" t="s">
        <v>9560</v>
      </c>
      <c r="B10473">
        <f t="shared" si="1402"/>
        <v>4</v>
      </c>
    </row>
    <row r="10474" spans="1:2" ht="15" customHeight="1" x14ac:dyDescent="0.3">
      <c r="A10474" s="33" t="s">
        <v>9561</v>
      </c>
      <c r="B10474">
        <f t="shared" si="1402"/>
        <v>4</v>
      </c>
    </row>
    <row r="10475" spans="1:2" ht="15" customHeight="1" x14ac:dyDescent="0.3">
      <c r="A10475" s="33" t="s">
        <v>9562</v>
      </c>
      <c r="B10475">
        <f t="shared" si="1402"/>
        <v>3</v>
      </c>
    </row>
    <row r="10476" spans="1:2" ht="15" customHeight="1" x14ac:dyDescent="0.3">
      <c r="A10476" s="33" t="s">
        <v>9563</v>
      </c>
      <c r="B10476">
        <f t="shared" si="1402"/>
        <v>4</v>
      </c>
    </row>
  </sheetData>
  <mergeCells count="12">
    <mergeCell ref="E1:F1"/>
    <mergeCell ref="E1013:F1013"/>
    <mergeCell ref="H1:I1"/>
    <mergeCell ref="E2:F2"/>
    <mergeCell ref="E735:F735"/>
    <mergeCell ref="E785:F785"/>
    <mergeCell ref="E986:F986"/>
    <mergeCell ref="E457:F457"/>
    <mergeCell ref="E998:F998"/>
    <mergeCell ref="E1009:F1009"/>
    <mergeCell ref="E349:F349"/>
    <mergeCell ref="E973:F973"/>
  </mergeCells>
  <conditionalFormatting sqref="A1103:A1112">
    <cfRule type="duplicateValues" dxfId="8" priority="169"/>
  </conditionalFormatting>
  <conditionalFormatting sqref="A8096:A8246">
    <cfRule type="duplicateValues" dxfId="7" priority="1484"/>
  </conditionalFormatting>
  <conditionalFormatting sqref="A10235:A10345">
    <cfRule type="duplicateValues" dxfId="6" priority="2"/>
  </conditionalFormatting>
  <conditionalFormatting sqref="M4689:M4827">
    <cfRule type="duplicateValues" dxfId="5" priority="25"/>
  </conditionalFormatting>
  <conditionalFormatting sqref="N5929:N6092">
    <cfRule type="duplicateValues" dxfId="4" priority="284"/>
  </conditionalFormatting>
  <conditionalFormatting sqref="O4689:O4827">
    <cfRule type="duplicateValues" dxfId="3" priority="24"/>
  </conditionalFormatting>
  <conditionalFormatting sqref="A4997 A5000:A1048576 A1:A4994">
    <cfRule type="duplicateValues" dxfId="2" priority="1503"/>
  </conditionalFormatting>
  <conditionalFormatting sqref="A4998:A4999 A4995:A4996">
    <cfRule type="duplicateValues" dxfId="1" priority="1504"/>
  </conditionalFormatting>
  <conditionalFormatting sqref="E1014:E2398">
    <cfRule type="duplicateValues" dxfId="0" priority="1897"/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Couto</dc:creator>
  <cp:lastModifiedBy>David Couto</cp:lastModifiedBy>
  <cp:lastPrinted>2026-01-15T17:21:06Z</cp:lastPrinted>
  <dcterms:created xsi:type="dcterms:W3CDTF">2021-04-14T02:08:43Z</dcterms:created>
  <dcterms:modified xsi:type="dcterms:W3CDTF">2026-05-07T15:06:45Z</dcterms:modified>
</cp:coreProperties>
</file>